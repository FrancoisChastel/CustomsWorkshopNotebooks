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ock" sheetId="2" state="visible" r:id="rId2"/>
    <sheet xmlns:r="http://schemas.openxmlformats.org/officeDocument/2006/relationships" name="Corridors" sheetId="3" state="visible" r:id="rId3"/>
    <sheet xmlns:r="http://schemas.openxmlformats.org/officeDocument/2006/relationships" name="Importers" sheetId="4" state="visible" r:id="rId4"/>
    <sheet xmlns:r="http://schemas.openxmlformats.org/officeDocument/2006/relationships" name="Trader" sheetId="5" state="visible" r:id="rId5"/>
    <sheet xmlns:r="http://schemas.openxmlformats.org/officeDocument/2006/relationships" name="Invoices" sheetId="6" state="visible" r:id="rId6"/>
    <sheet xmlns:r="http://schemas.openxmlformats.org/officeDocument/2006/relationships" name="Neighbours" sheetId="7" state="visible" r:id="rId7"/>
    <sheet xmlns:r="http://schemas.openxmlformats.org/officeDocument/2006/relationships" name="Glossary" sheetId="8" state="visible" r:id="rId8"/>
  </sheets>
  <definedNames>
    <definedName name="_xlnm._FilterDatabase" localSheetId="3" hidden="1">'Importers'!$A$7:$U$715</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2">
    <font>
      <name val="Calibri"/>
      <family val="2"/>
      <color theme="1"/>
      <sz val="11"/>
      <scheme val="minor"/>
    </font>
    <font>
      <name val="Arial"/>
      <b val="1"/>
      <color rgb="000E2F5A"/>
      <sz val="14"/>
    </font>
    <font>
      <name val="Arial"/>
      <color rgb="003C4A5E"/>
      <sz val="10"/>
    </font>
    <font>
      <name val="Arial"/>
      <b val="1"/>
      <color rgb="000E2F5A"/>
      <sz val="10"/>
    </font>
    <font>
      <name val="Arial"/>
      <color rgb="003C4A5E"/>
    </font>
    <font>
      <name val="Arial"/>
      <b val="1"/>
      <color rgb="00FFFFFF"/>
      <sz val="11"/>
    </font>
    <font>
      <name val="Arial"/>
      <b val="1"/>
      <color rgb="000E2F5A"/>
    </font>
    <font>
      <name val="Arial"/>
      <i val="1"/>
      <color rgb="006A7686"/>
    </font>
    <font>
      <name val="Arial"/>
      <color theme="1"/>
    </font>
    <font>
      <name val="Arial"/>
      <b val="1"/>
      <color rgb="006A7686"/>
      <sz val="10"/>
    </font>
    <font>
      <name val="Arial"/>
      <b val="1"/>
      <color rgb="00FFFFFF"/>
    </font>
    <font>
      <name val="Arial"/>
      <i val="1"/>
      <color rgb="006A7686"/>
      <sz val="9"/>
    </font>
  </fonts>
  <fills count="6">
    <fill>
      <patternFill/>
    </fill>
    <fill>
      <patternFill patternType="gray125"/>
    </fill>
    <fill>
      <patternFill patternType="solid">
        <fgColor rgb="000E2F5A"/>
      </patternFill>
    </fill>
    <fill>
      <patternFill patternType="solid">
        <fgColor rgb="00FFF2CC"/>
      </patternFill>
    </fill>
    <fill>
      <patternFill patternType="solid">
        <fgColor rgb="00E9EEF5"/>
      </patternFill>
    </fill>
    <fill>
      <patternFill patternType="solid">
        <fgColor rgb="00FBE5C8"/>
      </patternFill>
    </fill>
  </fills>
  <borders count="1">
    <border>
      <left/>
      <right/>
      <top/>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8" fillId="0" borderId="0" pivotButton="0" quotePrefix="0" xfId="0"/>
    <xf numFmtId="0" fontId="3" fillId="0" borderId="0" applyAlignment="1" pivotButton="0" quotePrefix="0" xfId="0">
      <alignment/>
    </xf>
    <xf numFmtId="0" fontId="2" fillId="0" borderId="0" pivotButton="0" quotePrefix="0" xfId="0"/>
    <xf numFmtId="0" fontId="4" fillId="0" borderId="0" applyAlignment="1" pivotButton="0" quotePrefix="0" xfId="0">
      <alignment vertical="top" wrapText="1"/>
    </xf>
    <xf numFmtId="0" fontId="5" fillId="2" borderId="0" pivotButton="0" quotePrefix="0" xfId="0"/>
    <xf numFmtId="0" fontId="8" fillId="2" borderId="0" pivotButton="0" quotePrefix="0" xfId="0"/>
    <xf numFmtId="0" fontId="6" fillId="0" borderId="0" pivotButton="0" quotePrefix="0" xfId="0"/>
    <xf numFmtId="0" fontId="7" fillId="0" borderId="0" pivotButton="0" quotePrefix="0" xfId="0"/>
    <xf numFmtId="0" fontId="3" fillId="0" borderId="0" pivotButton="0" quotePrefix="0" xfId="0"/>
    <xf numFmtId="0" fontId="2" fillId="0" borderId="0" applyAlignment="1" pivotButton="0" quotePrefix="0" xfId="0">
      <alignment vertical="top" wrapText="1"/>
    </xf>
    <xf numFmtId="0" fontId="3" fillId="3"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2" fillId="0" borderId="0" applyAlignment="1" pivotButton="0" quotePrefix="0" xfId="0">
      <alignment/>
    </xf>
    <xf numFmtId="0" fontId="10" fillId="2" borderId="0" applyAlignment="1" pivotButton="0" quotePrefix="0" xfId="0">
      <alignment vertical="center" wrapText="1"/>
    </xf>
    <xf numFmtId="0" fontId="11" fillId="4" borderId="0" pivotButton="0" quotePrefix="0" xfId="0"/>
    <xf numFmtId="164" fontId="8" fillId="0" borderId="0" pivotButton="0" quotePrefix="0" xfId="0"/>
    <xf numFmtId="2" fontId="8" fillId="0" borderId="0" pivotButton="0" quotePrefix="0" xfId="0"/>
    <xf numFmtId="164" fontId="4" fillId="4" borderId="0" pivotButton="0" quotePrefix="0" xfId="0"/>
    <xf numFmtId="165" fontId="4" fillId="4" borderId="0" pivotButton="0" quotePrefix="0" xfId="0"/>
    <xf numFmtId="166" fontId="8" fillId="0" borderId="0" pivotButton="0" quotePrefix="0" xfId="0"/>
    <xf numFmtId="166" fontId="4" fillId="4" borderId="0" pivotButton="0" quotePrefix="0" xfId="0"/>
    <xf numFmtId="0" fontId="6" fillId="3" borderId="0" pivotButton="0" quotePrefix="0" xfId="0"/>
    <xf numFmtId="0" fontId="10" fillId="2" borderId="0" pivotButton="0" quotePrefix="0" xfId="0"/>
    <xf numFmtId="0" fontId="11" fillId="0" borderId="0" pivotButton="0" quotePrefix="0" xfId="0"/>
    <xf numFmtId="3" fontId="8" fillId="0" borderId="0" pivotButton="0" quotePrefix="0" xfId="0"/>
    <xf numFmtId="165" fontId="8" fillId="0" borderId="0" pivotButton="0" quotePrefix="0" xfId="0"/>
    <xf numFmtId="9" fontId="8" fillId="0" borderId="0" pivotButton="0" quotePrefix="0" xfId="0"/>
    <xf numFmtId="0" fontId="4" fillId="4" borderId="0" pivotButton="0" quotePrefix="0" xfId="0"/>
    <xf numFmtId="0" fontId="8" fillId="5" borderId="0" pivotButton="0" quotePrefix="0" xfId="0"/>
    <xf numFmtId="4" fontId="8" fillId="5" borderId="0" pivotButton="0" quotePrefix="0" xfId="0"/>
    <xf numFmtId="9" fontId="8" fillId="5" borderId="0" pivotButton="0" quotePrefix="0" xfId="0"/>
    <xf numFmtId="164" fontId="8" fillId="5" borderId="0" pivotButton="0" quotePrefix="0" xfId="0"/>
    <xf numFmtId="4" fontId="8" fillId="0" borderId="0" pivotButton="0" quotePrefix="0" xfId="0"/>
    <xf numFmtId="4" fontId="4" fillId="4" borderId="0" pivotButton="0" quotePrefix="0" xfId="0"/>
    <xf numFmtId="9" fontId="4" fillId="4" borderId="0" pivotButton="0" quotePrefix="0" xfId="0"/>
    <xf numFmtId="0" fontId="8"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7"/>
  <sheetViews>
    <sheetView workbookViewId="0">
      <selection activeCell="A1" sqref="A1"/>
    </sheetView>
  </sheetViews>
  <sheetFormatPr baseColWidth="8" defaultRowHeight="15"/>
  <cols>
    <col width="30" customWidth="1" min="1" max="1"/>
    <col width="110" customWidth="1" min="2" max="2"/>
  </cols>
  <sheetData>
    <row r="1">
      <c r="A1" s="1" t="inlineStr">
        <is>
          <t>Breakout 2B · Trade and the border · the Excel path, step by step</t>
        </is>
      </c>
      <c r="B1" s="2" t="n"/>
    </row>
    <row r="2">
      <c r="A2" s="3" t="inlineStr">
        <is>
          <t>Every number in this workbook is already computed. You may use it to check, or if you are stuck; you learn more by computing first in 2B_compute.xlsx.</t>
        </is>
      </c>
      <c r="B2" s="2" t="n"/>
    </row>
    <row r="3">
      <c r="A3" s="4" t="inlineStr">
        <is>
          <t>Yellow cells are yours. Grey cells are formulas you can click on and read. White cells are the data. No macros.</t>
        </is>
      </c>
      <c r="B3" s="2" t="n"/>
    </row>
    <row r="4" ht="34" customHeight="1">
      <c r="A4" s="5" t="inlineStr">
        <is>
          <t>Everyone does every step. Each lock has three parts anyone can fill: what the data says, what we decide, who signs and what it costs. One lock per group: one laptop presses it, the others feed it.</t>
        </is>
      </c>
      <c r="B4" s="2" t="n"/>
    </row>
    <row r="5" ht="34" customHeight="1">
      <c r="A5" s="5" t="inlineStr">
        <is>
          <t>If the site is down: work from this sheet, fill the Lock sheet and hand it to the facilitator. Everything you need is in this workbook.</t>
        </is>
      </c>
      <c r="B5" s="2" t="n"/>
    </row>
    <row r="6" ht="34" customHeight="1">
      <c r="A6" s="5" t="inlineStr">
        <is>
          <t>The coach: in OpenCode, the agent coach-2b; it computes with you one step at a time and never names a seeded answer. The sheets: 2B_descent.xlsx, one sheet per sprint, the Lock sheet if the site is down. The data: 24 corridors with the partner's figures; the corridor's importers and the two trader recipes; the invoices with their extracts, on the Data page.</t>
        </is>
      </c>
      <c r="B6" s="2" t="n"/>
    </row>
    <row r="7">
      <c r="A7" s="2" t="n"/>
      <c r="B7" s="2" t="n"/>
    </row>
    <row r="8">
      <c r="A8" s="6" t="inlineStr">
        <is>
          <t>Sprint 1 · Macro: the corridor</t>
        </is>
      </c>
      <c r="B8" s="7" t="n"/>
    </row>
    <row r="9">
      <c r="A9" s="8" t="inlineStr">
        <is>
          <t>What you do</t>
        </is>
      </c>
      <c r="B9" s="5" t="inlineStr">
        <is>
          <t>Take shipping, timing and the hub out of each of the 24 corridors. Then name the one with the largest residual as a share of what we should see, and persistent.</t>
        </is>
      </c>
    </row>
    <row r="10">
      <c r="A10" s="8" t="inlineStr">
        <is>
          <t>What you lock</t>
        </is>
      </c>
      <c r="B10" s="5" t="inlineStr">
        <is>
          <t>A bin per corridor (explained, investigate, needs better data) and one corridor named.</t>
        </is>
      </c>
    </row>
    <row r="11">
      <c r="A11" s="8" t="inlineStr">
        <is>
          <t>Why it matters</t>
        </is>
      </c>
      <c r="B11" s="5" t="inlineStr">
        <is>
          <t>A gap between what a partner says it sent and what we recorded is a question, not a verdict. The known explanations come out first, one by one.</t>
        </is>
      </c>
    </row>
    <row r="12" ht="75" customHeight="1">
      <c r="A12" s="8" t="inlineStr">
        <is>
          <t>Step 1 · Build one corridor's bridge by hand</t>
        </is>
      </c>
      <c r="B12" s="5" t="inlineStr">
        <is>
          <t>Four additions and one division. Once you have done one corridor, the table of 24 reads itself. Expected at home = the partner's exports × (1 + the shipping and insurance wedge). Accounted for = recorded at home + timing (goods in transit at the year end) + what we recorded under the hub. What is left unexplained (the residual) = expected − accounted for. Divide it by expected to read it as a share. Read the weight ratio beside it: far from 1 means a data question first. Where: Corridors.</t>
        </is>
      </c>
    </row>
    <row r="13" ht="60" customHeight="1">
      <c r="A13" s="8" t="inlineStr">
        <is>
          <t>Step 2 · Read the share left unexplained, year by year</t>
        </is>
      </c>
      <c r="B13" s="5" t="inlineStr">
        <is>
          <t>One year can be an accident. A gap that holds every year is a habit worth a case. The grey columns put both sides on FOB: the ratio, and 1 − the ratio, the share we should see but do not. Years below 0.85 counts how many of the eight years the ratio stays under 0.85. Read the series shape (persistent, growing, a spike, new) and the flags (no report, estimated weights, a hub, a recode). Where: Corridors.</t>
        </is>
      </c>
    </row>
    <row r="14" ht="90" customHeight="1">
      <c r="A14" s="8" t="inlineStr">
        <is>
          <t>Step 3 · Bin every corridor and name one</t>
        </is>
      </c>
      <c r="B14" s="5" t="inlineStr">
        <is>
          <t>Only a residual that survives every known explanation is worth an officer's time. The rest is explained, or it is a data question. Explained: the known explanations close the gap, or the goods are duty-free. Needs better data: the partner does not report, the weights are estimated, the chapter was recoded. Investigate: a residual that survives, with a first check named. Name one corridor: the largest residual as a share of what we should see, and persistent. Never an importer at this gate. After the lock, the site shows the test of the corridor you named: its random-draw lines of months 19 to 36, how many found something, and how many of those Monday's new rule book misses. Where: Corridors.</t>
        </is>
      </c>
    </row>
    <row r="15" ht="75" customHeight="1">
      <c r="A15" s="8" t="inlineStr">
        <is>
          <t>The worked case, talked through</t>
        </is>
      </c>
      <c r="B15" s="5" t="inlineStr">
        <is>
          <t>Take the bridge from the slide. It is an illustration, not a row of the table. The partner says it exported 120 million dollars. Shipping and insurance add 8 %, so we should see 129.6 at home. We recorded 70. Goods in transit at the year end explain 6 more, and 12 more were recorded under the hub: 70 + 6 + 12 = 88 accounted for. 129.6 − 88 = 41.6 is left unexplained. As a share of what we should see: 41.6 ÷ 129.6 = 32 %. Then count the years. A gap in one year is a spike. A gap in every year, with weights that agree, is a price question.</t>
        </is>
      </c>
    </row>
    <row r="16">
      <c r="A16" s="8" t="inlineStr">
        <is>
          <t>Lock · what the data says</t>
        </is>
      </c>
      <c r="B16" s="5" t="inlineStr">
        <is>
          <t>The 24 residual shares after shipping, timing and the hub, with the years below 0.85 and the weight ratio.</t>
        </is>
      </c>
    </row>
    <row r="17">
      <c r="A17" s="8" t="inlineStr">
        <is>
          <t>Lock · what we decide</t>
        </is>
      </c>
      <c r="B17" s="5" t="inlineStr">
        <is>
          <t>A bin per corridor; a first check for every investigate; the corridor named.</t>
        </is>
      </c>
    </row>
    <row r="18">
      <c r="A18" s="8" t="inlineStr">
        <is>
          <t>Lock · who signs and what it costs</t>
        </is>
      </c>
      <c r="B18" s="5" t="inlineStr">
        <is>
          <t>Who asks the partner's statistics office about the hub corridor, and what a wrong bin costs.</t>
        </is>
      </c>
    </row>
    <row r="19">
      <c r="A19" s="8" t="inlineStr">
        <is>
          <t>The mistakes we see most</t>
        </is>
      </c>
      <c r="B19" s="5" t="inlineStr">
        <is>
          <t>Binning on the raw ratio before the wedge, or without the weight ratio. Naming a corridor on one year: a one-year jump is a spike. Naming an importer at this gate.</t>
        </is>
      </c>
    </row>
    <row r="20">
      <c r="A20" s="2" t="n"/>
      <c r="B20" s="2" t="n"/>
    </row>
    <row r="21">
      <c r="A21" s="6" t="inlineStr">
        <is>
          <t>Sprint 2 · Micro: the importers</t>
        </is>
      </c>
      <c r="B21" s="7" t="n"/>
    </row>
    <row r="22">
      <c r="A22" s="8" t="inlineStr">
        <is>
          <t>What you do</t>
        </is>
      </c>
      <c r="B22" s="5" t="inlineStr">
        <is>
          <t>Rank the corridor's importers by what is at stake, give five of them a reason code each, and name the one never to open.</t>
        </is>
      </c>
    </row>
    <row r="23">
      <c r="A23" s="8" t="inlineStr">
        <is>
          <t>What you lock</t>
        </is>
      </c>
      <c r="B23" s="5" t="inlineStr">
        <is>
          <t>Five importers with a reason code each, and the one never to open.</t>
        </is>
      </c>
    </row>
    <row r="24">
      <c r="A24" s="8" t="inlineStr">
        <is>
          <t>Why it matters</t>
        </is>
      </c>
      <c r="B24" s="5" t="inlineStr">
        <is>
          <t>The residual belongs to importers, not to a corridor. Where everyone prices low, the price alone does not tell them apart. The value at stake and the habits do.</t>
        </is>
      </c>
    </row>
    <row r="25" ht="45" customHeight="1">
      <c r="A25" s="8" t="inlineStr">
        <is>
          <t>Step 1 · Add up the five largest importers' share by hand</t>
        </is>
      </c>
      <c r="B25" s="5" t="inlineStr">
        <is>
          <t>If five names carry most of the corridor's value, five files are where the work is. The Importers sheet lists every importer of the corridor with its declared value in months 1 to 18, largest first. Its value share = its value ÷ the corridor's value. Add the shares of ranks 1 to 5. The grey running share does the same sum. Where: Importers.</t>
        </is>
      </c>
    </row>
    <row r="26" ht="90" customHeight="1">
      <c r="A26" s="8" t="inlineStr">
        <is>
          <t>Step 2 · Read each importer's habits</t>
        </is>
      </c>
      <c r="B26" s="5" t="inlineStr">
        <is>
          <t>A price alone is a weak reason. A price habit, a second price level or a seller shared with many importers is a reason an officer can state. Median share of peers: where its prices usually sit against its peers. Under 0.80, it is habitually priced low. Lines under 0.75 of peers: between a quarter and three quarters of its lines means two price levels. Importers behind the seller: how many of the corridor's importers buy from its main seller. New, broker, office, shared address, bunching, alternating: the other fingerprints, 1 when they fire. The Trader sheet holds the two trader recipes for every importer: habitually priced low, and two price levels. Where: Importers, Trader.</t>
        </is>
      </c>
    </row>
    <row r="27" ht="60" customHeight="1">
      <c r="A27" s="8" t="inlineStr">
        <is>
          <t>Step 3 · Pick five, and the one never to open</t>
        </is>
      </c>
      <c r="B27" s="5" t="inlineStr">
        <is>
          <t>A reason code is what an officer can say to the trader. A rank is not. Five importers, a reason code each: price, two price levels, seller, new, broker, office, shared address, bunching, alternating. The one never to open: a large importer that prices like its peers, with nothing else firing. After the lock, the site shows the test of your five: their random-draw lines of months 19 to 36 and how many found something, beside the rest of the corridor. Where: Importers.</t>
        </is>
      </c>
    </row>
    <row r="28" ht="45" customHeight="1">
      <c r="A28" s="8" t="inlineStr">
        <is>
          <t>The worked case, talked through</t>
        </is>
      </c>
      <c r="B28" s="5" t="inlineStr">
        <is>
          <t>Open the Importers sheet. It is already sorted by declared value, largest first. Rank 1 carries 22.7 % of the corridor's value, rank 2 19.2 %, then 8.9 %, 5.3 % and 4.6 %. Added up, the five largest carry 61 % of the corridor's value in months 1 to 18. Now read the habits of each before you pick. The size says where the stake is; the habit says what to ask.</t>
        </is>
      </c>
    </row>
    <row r="29">
      <c r="A29" s="8" t="inlineStr">
        <is>
          <t>Lock · what the data says</t>
        </is>
      </c>
      <c r="B29" s="5" t="inlineStr">
        <is>
          <t>The table of the corridor's importers with their value, their price habits and their fingerprints.</t>
        </is>
      </c>
    </row>
    <row r="30">
      <c r="A30" s="8" t="inlineStr">
        <is>
          <t>Lock · what we decide</t>
        </is>
      </c>
      <c r="B30" s="5" t="inlineStr">
        <is>
          <t>Five importer ids with a reason code each; the one never to open, with the reason.</t>
        </is>
      </c>
    </row>
    <row r="31">
      <c r="A31" s="8" t="inlineStr">
        <is>
          <t>Lock · who signs and what it costs</t>
        </is>
      </c>
      <c r="B31" s="5" t="inlineStr">
        <is>
          <t>Who opens the files, and what a wrong pick costs the honest importer.</t>
        </is>
      </c>
    </row>
    <row r="32">
      <c r="A32" s="8" t="inlineStr">
        <is>
          <t>The mistakes we see most</t>
        </is>
      </c>
      <c r="B32" s="5" t="inlineStr">
        <is>
          <t>Ranking on price alone: in this corridor almost everyone prices low. Putting among the five an importer that prices like its peers. A reason code that is only a rank.</t>
        </is>
      </c>
    </row>
    <row r="33">
      <c r="A33" s="2" t="n"/>
      <c r="B33" s="2" t="n"/>
    </row>
    <row r="34">
      <c r="A34" s="6" t="inlineStr">
        <is>
          <t>Sprint 3 · Document: the invoice line</t>
        </is>
      </c>
      <c r="B34" s="7" t="n"/>
    </row>
    <row r="35">
      <c r="A35" s="8" t="inlineStr">
        <is>
          <t>What you do</t>
        </is>
      </c>
      <c r="B35" s="5" t="inlineStr">
        <is>
          <t>Read the invoice line C1 against its neighbours' range and the deal's perimeter, and decide the procedural step.</t>
        </is>
      </c>
    </row>
    <row r="36">
      <c r="A36" s="8" t="inlineStr">
        <is>
          <t>What you lock</t>
        </is>
      </c>
      <c r="B36" s="5" t="inlineStr">
        <is>
          <t>Question, indicator or nothing, with the field that decided.</t>
        </is>
      </c>
    </row>
    <row r="37">
      <c r="A37" s="8" t="inlineStr">
        <is>
          <t>Why it matters</t>
        </is>
      </c>
      <c r="B37" s="5" t="inlineStr">
        <is>
          <t>A low price is a reason to ask, never a value to impose. What the invoice says about the deal decides whether to ask.</t>
        </is>
      </c>
    </row>
    <row r="38" ht="75" customHeight="1">
      <c r="A38" s="8" t="inlineStr">
        <is>
          <t>Step 1 · Compute the range by hand</t>
        </is>
      </c>
      <c r="B38" s="5" t="inlineStr">
        <is>
          <t>The most similar accepted lines give a range. The declared price sits somewhere against it. Do it first on the slide's line (V2), then on C1, the sprint line, which the gate of sprint 2 hands out. Count the neighbours whose description is alike enough (similarity at or above 0.85). Put every price on one basis: dollars, FOB, net of any discount. Read the median and the middle half (the 25th to the 75th percentile). Share of the median = declared ÷ median. Distance in spreads = (declared − median) ÷ the spread: 1.4826 × the median distance from the median, as in 1B. Where: Neighbours.</t>
        </is>
      </c>
    </row>
    <row r="39" ht="75" customHeight="1">
      <c r="A39" s="8" t="inlineStr">
        <is>
          <t>Step 2 · Read what the document reader found</t>
        </is>
      </c>
      <c r="B39" s="5" t="inlineStr">
        <is>
          <t>The perimeter of a price changes what the price means: who sells, what is included, on what basis. Related party: is the seller an affiliate of the buyer? A price between related companies is not a market price by itself. Royalty or licence fee: a payment outside the invoice belongs in the value. Discount: what was taken off, and why. Incoterm on the invoice against the one declared: EXW on the paper moves the basis. Freight: a flat amount whatever the weight is worth a second look. Where: Invoices.</t>
        </is>
      </c>
    </row>
    <row r="40" ht="60" customHeight="1">
      <c r="A40" s="8" t="inlineStr">
        <is>
          <t>Step 3 · Decide the step, with Monday's five steps</t>
        </is>
      </c>
      <c r="B40" s="5" t="inlineStr">
        <is>
          <t>The procedure gives three honest answers. The field that decided is what you write to the importer. Question through the valuation procedure: the price sits under the middle half and a perimeter field explains why. Indicator only: the price is low but nothing on the perimeter speaks. Nothing: inside the range, or too few neighbours to carry a question. Cite the field that decided. The range gives a reason to ask, never a value. Where: Invoices.</t>
        </is>
      </c>
    </row>
    <row r="41" ht="75" customHeight="1">
      <c r="A41" s="8" t="inlineStr">
        <is>
          <t>The worked case, talked through</t>
        </is>
      </c>
      <c r="B41" s="5" t="inlineStr">
        <is>
          <t>Take the slide's line first: solar panels declared at 61 dollars a piece, FOB. Of its 30 nearest accepted lines, 27 pass the floor of 0.85. Their median is 74; the middle half runs from 66 to 83. 61 ÷ 74 = 82 % of the median, and 1.1 spreads below it: under the middle half. The reader found no related party (0.93 sure), no royalty clause (0.88), the invoice's 5 % discount (0.97) and FOB on the invoice, as declared (0.95). On that line nothing on the perimeter explains the low price: an indicator (a question needs a field that explains it). Then do the same steps on C1.</t>
        </is>
      </c>
    </row>
    <row r="42">
      <c r="A42" s="8" t="inlineStr">
        <is>
          <t>Lock · what the data says</t>
        </is>
      </c>
      <c r="B42" s="5" t="inlineStr">
        <is>
          <t>The range of the neighbours above the floor and the invoice's perimeter.</t>
        </is>
      </c>
    </row>
    <row r="43">
      <c r="A43" s="8" t="inlineStr">
        <is>
          <t>Lock · what we decide</t>
        </is>
      </c>
      <c r="B43" s="5" t="inlineStr">
        <is>
          <t>Question, indicator or nothing; the field that decided; the first sentence of the question.</t>
        </is>
      </c>
    </row>
    <row r="44">
      <c r="A44" s="8" t="inlineStr">
        <is>
          <t>Lock · who signs and what it costs</t>
        </is>
      </c>
      <c r="B44" s="5" t="inlineStr">
        <is>
          <t>Who sends the question, and that the range is never a value.</t>
        </is>
      </c>
    </row>
    <row r="45">
      <c r="A45" s="8" t="inlineStr">
        <is>
          <t>The mistakes we see most</t>
        </is>
      </c>
      <c r="B45" s="5" t="inlineStr">
        <is>
          <t>Reading the range as a value. Deciding on the median alone. Ignoring EXW on the invoice against the incoterm declared. Citing the price instead of the field that explains it.</t>
        </is>
      </c>
    </row>
    <row r="46">
      <c r="A46" s="2" t="n"/>
      <c r="B46" s="2" t="n"/>
    </row>
    <row r="47">
      <c r="A47" s="9" t="inlineStr">
        <is>
          <t>Everything in this workbook is synthetic. The answers stay with the evaluator and the facilitators until the gate.</t>
        </is>
      </c>
      <c r="B47" s="2" t="n"/>
    </row>
  </sheetData>
  <mergeCells count="3">
    <mergeCell ref="A4:B4"/>
    <mergeCell ref="A6:B6"/>
    <mergeCell ref="A5:B5"/>
  </mergeCells>
  <pageMargins left="0.75" right="0.75" top="1" bottom="1" header="0.5" footer="0.5"/>
  <pageSetup orientation="landscape" fitToWidth="1"/>
  <headerFooter>
    <oddHeader/>
    <oddFooter>&amp;LIMF · Data and AI for Customs&amp;R&amp;P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68"/>
  <sheetViews>
    <sheetView workbookViewId="0">
      <pane ySplit="3" topLeftCell="A4" activePane="bottomLeft" state="frozen"/>
      <selection pane="bottomLeft" activeCell="A1" sqref="A1"/>
    </sheetView>
  </sheetViews>
  <sheetFormatPr baseColWidth="8" defaultRowHeight="15"/>
  <cols>
    <col width="4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Breakout 2B · Trade and the border · the locks</t>
        </is>
      </c>
      <c r="B1" s="2" t="n"/>
      <c r="C1" s="2" t="n"/>
      <c r="D1" s="2" t="n"/>
      <c r="E1" s="2" t="n"/>
      <c r="F1" s="2" t="n"/>
      <c r="G1" s="2" t="n"/>
      <c r="H1" s="2" t="n"/>
    </row>
    <row r="2">
      <c r="A2" s="4" t="inlineStr">
        <is>
          <t>Every sprint locks three parts: what the data says, what we decide, who signs and what it costs. Yellow cells are yours. If the site is down, fill this sheet and hand it to the facilitator.</t>
        </is>
      </c>
      <c r="B2" s="2" t="n"/>
      <c r="C2" s="2" t="n"/>
      <c r="D2" s="2" t="n"/>
      <c r="E2" s="2" t="n"/>
      <c r="F2" s="2" t="n"/>
      <c r="G2" s="2" t="n"/>
      <c r="H2" s="2" t="n"/>
    </row>
    <row r="3">
      <c r="A3" s="2" t="n"/>
      <c r="B3" s="2" t="n"/>
      <c r="C3" s="2" t="n"/>
      <c r="D3" s="2" t="n"/>
      <c r="E3" s="2" t="n"/>
      <c r="F3" s="2" t="n"/>
      <c r="G3" s="2" t="n"/>
      <c r="H3" s="2" t="n"/>
    </row>
    <row r="4">
      <c r="A4" s="6" t="inlineStr">
        <is>
          <t>Sprint 1 · Macro: the corridor</t>
        </is>
      </c>
      <c r="B4" s="7" t="n"/>
      <c r="C4" s="7" t="n"/>
      <c r="D4" s="7" t="n"/>
      <c r="E4" s="7" t="n"/>
      <c r="F4" s="7" t="n"/>
      <c r="G4" s="7" t="n"/>
      <c r="H4" s="7" t="n"/>
    </row>
    <row r="5">
      <c r="A5" s="10" t="inlineStr">
        <is>
          <t>What the data says</t>
        </is>
      </c>
      <c r="B5" s="2" t="n"/>
      <c r="C5" s="2" t="n"/>
      <c r="D5" s="2" t="n"/>
      <c r="E5" s="2" t="n"/>
      <c r="F5" s="2" t="n"/>
      <c r="G5" s="2" t="n"/>
      <c r="H5" s="2" t="n"/>
    </row>
    <row r="6" ht="48" customHeight="1">
      <c r="A6" s="11" t="inlineStr">
        <is>
          <t>What the data says: the table of what is left unexplained (24 corridors after shipping, timing and the hub)</t>
        </is>
      </c>
      <c r="B6" s="12" t="n"/>
      <c r="C6" s="2" t="n"/>
      <c r="D6" s="2" t="n"/>
      <c r="E6" s="2" t="n"/>
      <c r="F6" s="2" t="n"/>
      <c r="G6" s="2" t="n"/>
      <c r="H6" s="2" t="n"/>
    </row>
    <row r="7">
      <c r="A7" s="10" t="inlineStr">
        <is>
          <t>What we decide</t>
        </is>
      </c>
      <c r="B7" s="2" t="n"/>
      <c r="C7" s="2" t="n"/>
      <c r="D7" s="2" t="n"/>
      <c r="E7" s="2" t="n"/>
      <c r="F7" s="2" t="n"/>
      <c r="G7" s="2" t="n"/>
      <c r="H7" s="2" t="n"/>
    </row>
    <row r="8">
      <c r="A8" s="4" t="inlineStr">
        <is>
          <t>A bin for each corridor, and a first check for each one marked investigate (required)</t>
        </is>
      </c>
      <c r="B8" s="2" t="n"/>
      <c r="C8" s="2" t="n"/>
      <c r="D8" s="2" t="n"/>
      <c r="E8" s="2" t="n"/>
      <c r="F8" s="2" t="n"/>
      <c r="G8" s="2" t="n"/>
      <c r="H8" s="2" t="n"/>
    </row>
    <row r="9">
      <c r="A9" s="13" t="inlineStr">
        <is>
          <t>row</t>
        </is>
      </c>
      <c r="B9" s="14" t="inlineStr">
        <is>
          <t>Bin · explained / investigate / needs better data</t>
        </is>
      </c>
      <c r="C9" s="14" t="inlineStr">
        <is>
          <t>First check (required for investigate)</t>
        </is>
      </c>
      <c r="D9" s="2" t="n"/>
      <c r="E9" s="2" t="n"/>
      <c r="F9" s="2" t="n"/>
      <c r="G9" s="2" t="n"/>
      <c r="H9" s="2" t="n"/>
    </row>
    <row r="10">
      <c r="A10" s="4" t="inlineStr">
        <is>
          <t>CHN-17</t>
        </is>
      </c>
      <c r="B10" s="12" t="n"/>
      <c r="C10" s="12" t="n"/>
      <c r="D10" s="2" t="n"/>
      <c r="E10" s="2" t="n"/>
      <c r="F10" s="2" t="n"/>
      <c r="G10" s="2" t="n"/>
      <c r="H10" s="2" t="n"/>
    </row>
    <row r="11">
      <c r="A11" s="4" t="inlineStr">
        <is>
          <t>CHN-33</t>
        </is>
      </c>
      <c r="B11" s="12" t="n"/>
      <c r="C11" s="12" t="n"/>
      <c r="D11" s="2" t="n"/>
      <c r="E11" s="2" t="n"/>
      <c r="F11" s="2" t="n"/>
      <c r="G11" s="2" t="n"/>
      <c r="H11" s="2" t="n"/>
    </row>
    <row r="12">
      <c r="A12" s="4" t="inlineStr">
        <is>
          <t>CHN-39</t>
        </is>
      </c>
      <c r="B12" s="12" t="n"/>
      <c r="C12" s="12" t="n"/>
      <c r="D12" s="2" t="n"/>
      <c r="E12" s="2" t="n"/>
      <c r="F12" s="2" t="n"/>
      <c r="G12" s="2" t="n"/>
      <c r="H12" s="2" t="n"/>
    </row>
    <row r="13">
      <c r="A13" s="4" t="inlineStr">
        <is>
          <t>CHN-52</t>
        </is>
      </c>
      <c r="B13" s="12" t="n"/>
      <c r="C13" s="12" t="n"/>
      <c r="D13" s="2" t="n"/>
      <c r="E13" s="2" t="n"/>
      <c r="F13" s="2" t="n"/>
      <c r="G13" s="2" t="n"/>
      <c r="H13" s="2" t="n"/>
    </row>
    <row r="14">
      <c r="A14" s="4" t="inlineStr">
        <is>
          <t>CHN-61</t>
        </is>
      </c>
      <c r="B14" s="12" t="n"/>
      <c r="C14" s="12" t="n"/>
      <c r="D14" s="2" t="n"/>
      <c r="E14" s="2" t="n"/>
      <c r="F14" s="2" t="n"/>
      <c r="G14" s="2" t="n"/>
      <c r="H14" s="2" t="n"/>
    </row>
    <row r="15">
      <c r="A15" s="4" t="inlineStr">
        <is>
          <t>CHN-72</t>
        </is>
      </c>
      <c r="B15" s="12" t="n"/>
      <c r="C15" s="12" t="n"/>
      <c r="D15" s="2" t="n"/>
      <c r="E15" s="2" t="n"/>
      <c r="F15" s="2" t="n"/>
      <c r="G15" s="2" t="n"/>
      <c r="H15" s="2" t="n"/>
    </row>
    <row r="16">
      <c r="A16" s="4" t="inlineStr">
        <is>
          <t>CHN-85</t>
        </is>
      </c>
      <c r="B16" s="12" t="n"/>
      <c r="C16" s="12" t="n"/>
      <c r="D16" s="2" t="n"/>
      <c r="E16" s="2" t="n"/>
      <c r="F16" s="2" t="n"/>
      <c r="G16" s="2" t="n"/>
      <c r="H16" s="2" t="n"/>
    </row>
    <row r="17">
      <c r="A17" s="4" t="inlineStr">
        <is>
          <t>CHN-87</t>
        </is>
      </c>
      <c r="B17" s="12" t="n"/>
      <c r="C17" s="12" t="n"/>
      <c r="D17" s="2" t="n"/>
      <c r="E17" s="2" t="n"/>
      <c r="F17" s="2" t="n"/>
      <c r="G17" s="2" t="n"/>
      <c r="H17" s="2" t="n"/>
    </row>
    <row r="18">
      <c r="A18" s="4" t="inlineStr">
        <is>
          <t>MYS-17</t>
        </is>
      </c>
      <c r="B18" s="12" t="n"/>
      <c r="C18" s="12" t="n"/>
      <c r="D18" s="2" t="n"/>
      <c r="E18" s="2" t="n"/>
      <c r="F18" s="2" t="n"/>
      <c r="G18" s="2" t="n"/>
      <c r="H18" s="2" t="n"/>
    </row>
    <row r="19">
      <c r="A19" s="4" t="inlineStr">
        <is>
          <t>MYS-33</t>
        </is>
      </c>
      <c r="B19" s="12" t="n"/>
      <c r="C19" s="12" t="n"/>
      <c r="D19" s="2" t="n"/>
      <c r="E19" s="2" t="n"/>
      <c r="F19" s="2" t="n"/>
      <c r="G19" s="2" t="n"/>
      <c r="H19" s="2" t="n"/>
    </row>
    <row r="20">
      <c r="A20" s="4" t="inlineStr">
        <is>
          <t>MYS-39</t>
        </is>
      </c>
      <c r="B20" s="12" t="n"/>
      <c r="C20" s="12" t="n"/>
      <c r="D20" s="2" t="n"/>
      <c r="E20" s="2" t="n"/>
      <c r="F20" s="2" t="n"/>
      <c r="G20" s="2" t="n"/>
      <c r="H20" s="2" t="n"/>
    </row>
    <row r="21">
      <c r="A21" s="4" t="inlineStr">
        <is>
          <t>MYS-52</t>
        </is>
      </c>
      <c r="B21" s="12" t="n"/>
      <c r="C21" s="12" t="n"/>
      <c r="D21" s="2" t="n"/>
      <c r="E21" s="2" t="n"/>
      <c r="F21" s="2" t="n"/>
      <c r="G21" s="2" t="n"/>
      <c r="H21" s="2" t="n"/>
    </row>
    <row r="22">
      <c r="A22" s="4" t="inlineStr">
        <is>
          <t>MYS-61</t>
        </is>
      </c>
      <c r="B22" s="12" t="n"/>
      <c r="C22" s="12" t="n"/>
      <c r="D22" s="2" t="n"/>
      <c r="E22" s="2" t="n"/>
      <c r="F22" s="2" t="n"/>
      <c r="G22" s="2" t="n"/>
      <c r="H22" s="2" t="n"/>
    </row>
    <row r="23">
      <c r="A23" s="4" t="inlineStr">
        <is>
          <t>MYS-72</t>
        </is>
      </c>
      <c r="B23" s="12" t="n"/>
      <c r="C23" s="12" t="n"/>
      <c r="D23" s="2" t="n"/>
      <c r="E23" s="2" t="n"/>
      <c r="F23" s="2" t="n"/>
      <c r="G23" s="2" t="n"/>
      <c r="H23" s="2" t="n"/>
    </row>
    <row r="24">
      <c r="A24" s="4" t="inlineStr">
        <is>
          <t>MYS-85</t>
        </is>
      </c>
      <c r="B24" s="12" t="n"/>
      <c r="C24" s="12" t="n"/>
      <c r="D24" s="2" t="n"/>
      <c r="E24" s="2" t="n"/>
      <c r="F24" s="2" t="n"/>
      <c r="G24" s="2" t="n"/>
      <c r="H24" s="2" t="n"/>
    </row>
    <row r="25">
      <c r="A25" s="4" t="inlineStr">
        <is>
          <t>MYS-87</t>
        </is>
      </c>
      <c r="B25" s="12" t="n"/>
      <c r="C25" s="12" t="n"/>
      <c r="D25" s="2" t="n"/>
      <c r="E25" s="2" t="n"/>
      <c r="F25" s="2" t="n"/>
      <c r="G25" s="2" t="n"/>
      <c r="H25" s="2" t="n"/>
    </row>
    <row r="26">
      <c r="A26" s="4" t="inlineStr">
        <is>
          <t>IND-17</t>
        </is>
      </c>
      <c r="B26" s="12" t="n"/>
      <c r="C26" s="12" t="n"/>
      <c r="D26" s="2" t="n"/>
      <c r="E26" s="2" t="n"/>
      <c r="F26" s="2" t="n"/>
      <c r="G26" s="2" t="n"/>
      <c r="H26" s="2" t="n"/>
    </row>
    <row r="27">
      <c r="A27" s="4" t="inlineStr">
        <is>
          <t>IND-33</t>
        </is>
      </c>
      <c r="B27" s="12" t="n"/>
      <c r="C27" s="12" t="n"/>
      <c r="D27" s="2" t="n"/>
      <c r="E27" s="2" t="n"/>
      <c r="F27" s="2" t="n"/>
      <c r="G27" s="2" t="n"/>
      <c r="H27" s="2" t="n"/>
    </row>
    <row r="28">
      <c r="A28" s="4" t="inlineStr">
        <is>
          <t>IND-39</t>
        </is>
      </c>
      <c r="B28" s="12" t="n"/>
      <c r="C28" s="12" t="n"/>
      <c r="D28" s="2" t="n"/>
      <c r="E28" s="2" t="n"/>
      <c r="F28" s="2" t="n"/>
      <c r="G28" s="2" t="n"/>
      <c r="H28" s="2" t="n"/>
    </row>
    <row r="29">
      <c r="A29" s="4" t="inlineStr">
        <is>
          <t>IND-52</t>
        </is>
      </c>
      <c r="B29" s="12" t="n"/>
      <c r="C29" s="12" t="n"/>
      <c r="D29" s="2" t="n"/>
      <c r="E29" s="2" t="n"/>
      <c r="F29" s="2" t="n"/>
      <c r="G29" s="2" t="n"/>
      <c r="H29" s="2" t="n"/>
    </row>
    <row r="30">
      <c r="A30" s="4" t="inlineStr">
        <is>
          <t>IND-61</t>
        </is>
      </c>
      <c r="B30" s="12" t="n"/>
      <c r="C30" s="12" t="n"/>
      <c r="D30" s="2" t="n"/>
      <c r="E30" s="2" t="n"/>
      <c r="F30" s="2" t="n"/>
      <c r="G30" s="2" t="n"/>
      <c r="H30" s="2" t="n"/>
    </row>
    <row r="31">
      <c r="A31" s="4" t="inlineStr">
        <is>
          <t>IND-72</t>
        </is>
      </c>
      <c r="B31" s="12" t="n"/>
      <c r="C31" s="12" t="n"/>
      <c r="D31" s="2" t="n"/>
      <c r="E31" s="2" t="n"/>
      <c r="F31" s="2" t="n"/>
      <c r="G31" s="2" t="n"/>
      <c r="H31" s="2" t="n"/>
    </row>
    <row r="32">
      <c r="A32" s="4" t="inlineStr">
        <is>
          <t>IND-85</t>
        </is>
      </c>
      <c r="B32" s="12" t="n"/>
      <c r="C32" s="12" t="n"/>
      <c r="D32" s="2" t="n"/>
      <c r="E32" s="2" t="n"/>
      <c r="F32" s="2" t="n"/>
      <c r="G32" s="2" t="n"/>
      <c r="H32" s="2" t="n"/>
    </row>
    <row r="33">
      <c r="A33" s="4" t="inlineStr">
        <is>
          <t>IND-87</t>
        </is>
      </c>
      <c r="B33" s="12" t="n"/>
      <c r="C33" s="12" t="n"/>
      <c r="D33" s="2" t="n"/>
      <c r="E33" s="2" t="n"/>
      <c r="F33" s="2" t="n"/>
      <c r="G33" s="2" t="n"/>
      <c r="H33" s="2" t="n"/>
    </row>
    <row r="34">
      <c r="A34" s="11" t="inlineStr">
        <is>
          <t>The corridor to look into</t>
        </is>
      </c>
      <c r="B34" s="12" t="n"/>
      <c r="C34" s="2" t="n"/>
      <c r="D34" s="2" t="n"/>
      <c r="E34" s="2" t="n"/>
      <c r="F34" s="2" t="n"/>
      <c r="G34" s="2" t="n"/>
      <c r="H34" s="2" t="n"/>
    </row>
    <row r="35">
      <c r="A35" s="10" t="inlineStr">
        <is>
          <t>Who signs and what it costs</t>
        </is>
      </c>
      <c r="B35" s="2" t="n"/>
      <c r="C35" s="2" t="n"/>
      <c r="D35" s="2" t="n"/>
      <c r="E35" s="2" t="n"/>
      <c r="F35" s="2" t="n"/>
      <c r="G35" s="2" t="n"/>
      <c r="H35" s="2" t="n"/>
    </row>
    <row r="36">
      <c r="A36" s="11" t="inlineStr">
        <is>
          <t>Who asks the partner's statistics office about the hub corridor</t>
        </is>
      </c>
      <c r="B36" s="12" t="n"/>
      <c r="C36" s="2" t="n"/>
      <c r="D36" s="2" t="n"/>
      <c r="E36" s="2" t="n"/>
      <c r="F36" s="2" t="n"/>
      <c r="G36" s="2" t="n"/>
      <c r="H36" s="2" t="n"/>
    </row>
    <row r="37">
      <c r="A37" s="11" t="inlineStr">
        <is>
          <t>The first check on the named corridor (optional)</t>
        </is>
      </c>
      <c r="B37" s="12" t="n"/>
      <c r="C37" s="2" t="n"/>
      <c r="D37" s="2" t="n"/>
      <c r="E37" s="2" t="n"/>
      <c r="F37" s="2" t="n"/>
      <c r="G37" s="2" t="n"/>
      <c r="H37" s="2" t="n"/>
    </row>
    <row r="38">
      <c r="A38" s="11" t="inlineStr">
        <is>
          <t>What a wrong bin costs (one sentence)</t>
        </is>
      </c>
      <c r="B38" s="12" t="n"/>
      <c r="C38" s="2" t="n"/>
      <c r="D38" s="2" t="n"/>
      <c r="E38" s="2" t="n"/>
      <c r="F38" s="2" t="n"/>
      <c r="G38" s="2" t="n"/>
      <c r="H38" s="2" t="n"/>
    </row>
    <row r="39">
      <c r="A39" s="2" t="n"/>
      <c r="B39" s="2" t="n"/>
      <c r="C39" s="2" t="n"/>
      <c r="D39" s="2" t="n"/>
      <c r="E39" s="2" t="n"/>
      <c r="F39" s="2" t="n"/>
      <c r="G39" s="2" t="n"/>
      <c r="H39" s="2" t="n"/>
    </row>
    <row r="40">
      <c r="A40" s="6" t="inlineStr">
        <is>
          <t>Sprint 2 · Micro: the importers</t>
        </is>
      </c>
      <c r="B40" s="7" t="n"/>
      <c r="C40" s="7" t="n"/>
      <c r="D40" s="7" t="n"/>
      <c r="E40" s="7" t="n"/>
      <c r="F40" s="7" t="n"/>
      <c r="G40" s="7" t="n"/>
      <c r="H40" s="7" t="n"/>
    </row>
    <row r="41">
      <c r="A41" s="10" t="inlineStr">
        <is>
          <t>What the data says</t>
        </is>
      </c>
      <c r="B41" s="2" t="n"/>
      <c r="C41" s="2" t="n"/>
      <c r="D41" s="2" t="n"/>
      <c r="E41" s="2" t="n"/>
      <c r="F41" s="2" t="n"/>
      <c r="G41" s="2" t="n"/>
      <c r="H41" s="2" t="n"/>
    </row>
    <row r="42" ht="48" customHeight="1">
      <c r="A42" s="11" t="inlineStr">
        <is>
          <t>What the data says: the ranked importer table with its six fingerprints</t>
        </is>
      </c>
      <c r="B42" s="12" t="n"/>
      <c r="C42" s="2" t="n"/>
      <c r="D42" s="2" t="n"/>
      <c r="E42" s="2" t="n"/>
      <c r="F42" s="2" t="n"/>
      <c r="G42" s="2" t="n"/>
      <c r="H42" s="2" t="n"/>
    </row>
    <row r="43">
      <c r="A43" s="10" t="inlineStr">
        <is>
          <t>What we decide</t>
        </is>
      </c>
      <c r="B43" s="2" t="n"/>
      <c r="C43" s="2" t="n"/>
      <c r="D43" s="2" t="n"/>
      <c r="E43" s="2" t="n"/>
      <c r="F43" s="2" t="n"/>
      <c r="G43" s="2" t="n"/>
      <c r="H43" s="2" t="n"/>
    </row>
    <row r="44">
      <c r="A44" s="4" t="inlineStr">
        <is>
          <t>Five importers with a reason code each (required)</t>
        </is>
      </c>
      <c r="B44" s="2" t="n"/>
      <c r="C44" s="2" t="n"/>
      <c r="D44" s="2" t="n"/>
      <c r="E44" s="2" t="n"/>
      <c r="F44" s="2" t="n"/>
      <c r="G44" s="2" t="n"/>
      <c r="H44" s="2" t="n"/>
    </row>
    <row r="45">
      <c r="A45" s="13" t="inlineStr">
        <is>
          <t>row</t>
        </is>
      </c>
      <c r="B45" s="14" t="inlineStr">
        <is>
          <t>Importer id</t>
        </is>
      </c>
      <c r="C45" s="14" t="inlineStr">
        <is>
          <t>Reason code · price / two price levels / seller / new / broker / office / shared address / bunching / alternating</t>
        </is>
      </c>
      <c r="D45" s="2" t="n"/>
      <c r="E45" s="2" t="n"/>
      <c r="F45" s="2" t="n"/>
      <c r="G45" s="2" t="n"/>
      <c r="H45" s="2" t="n"/>
    </row>
    <row r="46">
      <c r="A46" s="4" t="inlineStr">
        <is>
          <t>1</t>
        </is>
      </c>
      <c r="B46" s="12" t="n"/>
      <c r="C46" s="12" t="n"/>
      <c r="D46" s="2" t="n"/>
      <c r="E46" s="2" t="n"/>
      <c r="F46" s="2" t="n"/>
      <c r="G46" s="2" t="n"/>
      <c r="H46" s="2" t="n"/>
    </row>
    <row r="47">
      <c r="A47" s="4" t="inlineStr">
        <is>
          <t>2</t>
        </is>
      </c>
      <c r="B47" s="12" t="n"/>
      <c r="C47" s="12" t="n"/>
      <c r="D47" s="2" t="n"/>
      <c r="E47" s="2" t="n"/>
      <c r="F47" s="2" t="n"/>
      <c r="G47" s="2" t="n"/>
      <c r="H47" s="2" t="n"/>
    </row>
    <row r="48">
      <c r="A48" s="4" t="inlineStr">
        <is>
          <t>3</t>
        </is>
      </c>
      <c r="B48" s="12" t="n"/>
      <c r="C48" s="12" t="n"/>
      <c r="D48" s="2" t="n"/>
      <c r="E48" s="2" t="n"/>
      <c r="F48" s="2" t="n"/>
      <c r="G48" s="2" t="n"/>
      <c r="H48" s="2" t="n"/>
    </row>
    <row r="49">
      <c r="A49" s="4" t="inlineStr">
        <is>
          <t>4</t>
        </is>
      </c>
      <c r="B49" s="12" t="n"/>
      <c r="C49" s="12" t="n"/>
      <c r="D49" s="2" t="n"/>
      <c r="E49" s="2" t="n"/>
      <c r="F49" s="2" t="n"/>
      <c r="G49" s="2" t="n"/>
      <c r="H49" s="2" t="n"/>
    </row>
    <row r="50">
      <c r="A50" s="4" t="inlineStr">
        <is>
          <t>5</t>
        </is>
      </c>
      <c r="B50" s="12" t="n"/>
      <c r="C50" s="12" t="n"/>
      <c r="D50" s="2" t="n"/>
      <c r="E50" s="2" t="n"/>
      <c r="F50" s="2" t="n"/>
      <c r="G50" s="2" t="n"/>
      <c r="H50" s="2" t="n"/>
    </row>
    <row r="51">
      <c r="A51" s="11" t="inlineStr">
        <is>
          <t>The importer never to open</t>
        </is>
      </c>
      <c r="B51" s="12" t="n"/>
      <c r="C51" s="2" t="n"/>
      <c r="D51" s="2" t="n"/>
      <c r="E51" s="2" t="n"/>
      <c r="F51" s="2" t="n"/>
      <c r="G51" s="2" t="n"/>
      <c r="H51" s="2" t="n"/>
    </row>
    <row r="52">
      <c r="A52" s="11" t="inlineStr">
        <is>
          <t>Why it is never opened</t>
        </is>
      </c>
      <c r="B52" s="12" t="n"/>
      <c r="C52" s="2" t="n"/>
      <c r="D52" s="2" t="n"/>
      <c r="E52" s="2" t="n"/>
      <c r="F52" s="2" t="n"/>
      <c r="G52" s="2" t="n"/>
      <c r="H52" s="2" t="n"/>
    </row>
    <row r="53">
      <c r="A53" s="10" t="inlineStr">
        <is>
          <t>Who signs and what it costs</t>
        </is>
      </c>
      <c r="B53" s="2" t="n"/>
      <c r="C53" s="2" t="n"/>
      <c r="D53" s="2" t="n"/>
      <c r="E53" s="2" t="n"/>
      <c r="F53" s="2" t="n"/>
      <c r="G53" s="2" t="n"/>
      <c r="H53" s="2" t="n"/>
    </row>
    <row r="54">
      <c r="A54" s="11" t="inlineStr">
        <is>
          <t>Who opens the files</t>
        </is>
      </c>
      <c r="B54" s="12" t="n"/>
      <c r="C54" s="2" t="n"/>
      <c r="D54" s="2" t="n"/>
      <c r="E54" s="2" t="n"/>
      <c r="F54" s="2" t="n"/>
      <c r="G54" s="2" t="n"/>
      <c r="H54" s="2" t="n"/>
    </row>
    <row r="55">
      <c r="A55" s="11" t="inlineStr">
        <is>
          <t>The control type (optional)</t>
        </is>
      </c>
      <c r="B55" s="12" t="n"/>
      <c r="C55" s="2" t="n"/>
      <c r="D55" s="2" t="n"/>
      <c r="E55" s="2" t="n"/>
      <c r="F55" s="2" t="n"/>
      <c r="G55" s="2" t="n"/>
      <c r="H55" s="2" t="n"/>
    </row>
    <row r="56">
      <c r="A56" s="11" t="inlineStr">
        <is>
          <t>What a wrong pick costs the honest importer</t>
        </is>
      </c>
      <c r="B56" s="12" t="n"/>
      <c r="C56" s="2" t="n"/>
      <c r="D56" s="2" t="n"/>
      <c r="E56" s="2" t="n"/>
      <c r="F56" s="2" t="n"/>
      <c r="G56" s="2" t="n"/>
      <c r="H56" s="2" t="n"/>
    </row>
    <row r="57">
      <c r="A57" s="2" t="n"/>
      <c r="B57" s="2" t="n"/>
      <c r="C57" s="2" t="n"/>
      <c r="D57" s="2" t="n"/>
      <c r="E57" s="2" t="n"/>
      <c r="F57" s="2" t="n"/>
      <c r="G57" s="2" t="n"/>
      <c r="H57" s="2" t="n"/>
    </row>
    <row r="58">
      <c r="A58" s="6" t="inlineStr">
        <is>
          <t>Sprint 3 · Document: the invoice line</t>
        </is>
      </c>
      <c r="B58" s="7" t="n"/>
      <c r="C58" s="7" t="n"/>
      <c r="D58" s="7" t="n"/>
      <c r="E58" s="7" t="n"/>
      <c r="F58" s="7" t="n"/>
      <c r="G58" s="7" t="n"/>
      <c r="H58" s="7" t="n"/>
    </row>
    <row r="59">
      <c r="A59" s="10" t="inlineStr">
        <is>
          <t>What the data says</t>
        </is>
      </c>
      <c r="B59" s="2" t="n"/>
      <c r="C59" s="2" t="n"/>
      <c r="D59" s="2" t="n"/>
      <c r="E59" s="2" t="n"/>
      <c r="F59" s="2" t="n"/>
      <c r="G59" s="2" t="n"/>
      <c r="H59" s="2" t="n"/>
    </row>
    <row r="60" ht="48" customHeight="1">
      <c r="A60" s="11" t="inlineStr">
        <is>
          <t>What the data says: the range of the 30 neighbours and the invoice's perimeter</t>
        </is>
      </c>
      <c r="B60" s="12" t="n"/>
      <c r="C60" s="2" t="n"/>
      <c r="D60" s="2" t="n"/>
      <c r="E60" s="2" t="n"/>
      <c r="F60" s="2" t="n"/>
      <c r="G60" s="2" t="n"/>
      <c r="H60" s="2" t="n"/>
    </row>
    <row r="61">
      <c r="A61" s="10" t="inlineStr">
        <is>
          <t>What we decide</t>
        </is>
      </c>
      <c r="B61" s="2" t="n"/>
      <c r="C61" s="2" t="n"/>
      <c r="D61" s="2" t="n"/>
      <c r="E61" s="2" t="n"/>
      <c r="F61" s="2" t="n"/>
      <c r="G61" s="2" t="n"/>
      <c r="H61" s="2" t="n"/>
    </row>
    <row r="62">
      <c r="A62" s="11" t="inlineStr">
        <is>
          <t>Decision</t>
        </is>
      </c>
      <c r="B62" s="12" t="n"/>
      <c r="C62" s="2" t="n"/>
      <c r="D62" s="2" t="n"/>
      <c r="E62" s="2" t="n"/>
      <c r="F62" s="2" t="n"/>
      <c r="G62" s="2" t="n"/>
      <c r="H62" s="2" t="n"/>
    </row>
    <row r="63">
      <c r="A63" s="11" t="inlineStr">
        <is>
          <t>The field that decided</t>
        </is>
      </c>
      <c r="B63" s="12" t="n"/>
      <c r="C63" s="2" t="n"/>
      <c r="D63" s="2" t="n"/>
      <c r="E63" s="2" t="n"/>
      <c r="F63" s="2" t="n"/>
      <c r="G63" s="2" t="n"/>
      <c r="H63" s="2" t="n"/>
    </row>
    <row r="64">
      <c r="A64" s="11" t="inlineStr">
        <is>
          <t>The first sentence of the question to the importer</t>
        </is>
      </c>
      <c r="B64" s="12" t="n"/>
      <c r="C64" s="2" t="n"/>
      <c r="D64" s="2" t="n"/>
      <c r="E64" s="2" t="n"/>
      <c r="F64" s="2" t="n"/>
      <c r="G64" s="2" t="n"/>
      <c r="H64" s="2" t="n"/>
    </row>
    <row r="65">
      <c r="A65" s="10" t="inlineStr">
        <is>
          <t>Who signs and what it costs</t>
        </is>
      </c>
      <c r="B65" s="2" t="n"/>
      <c r="C65" s="2" t="n"/>
      <c r="D65" s="2" t="n"/>
      <c r="E65" s="2" t="n"/>
      <c r="F65" s="2" t="n"/>
      <c r="G65" s="2" t="n"/>
      <c r="H65" s="2" t="n"/>
    </row>
    <row r="66">
      <c r="A66" s="11" t="inlineStr">
        <is>
          <t>Who sends the question</t>
        </is>
      </c>
      <c r="B66" s="12" t="n"/>
      <c r="C66" s="2" t="n"/>
      <c r="D66" s="2" t="n"/>
      <c r="E66" s="2" t="n"/>
      <c r="F66" s="2" t="n"/>
      <c r="G66" s="2" t="n"/>
      <c r="H66" s="2" t="n"/>
    </row>
    <row r="67">
      <c r="A67" s="11" t="inlineStr">
        <is>
          <t>The procedural step (optional)</t>
        </is>
      </c>
      <c r="B67" s="12" t="n"/>
      <c r="C67" s="2" t="n"/>
      <c r="D67" s="2" t="n"/>
      <c r="E67" s="2" t="n"/>
      <c r="F67" s="2" t="n"/>
      <c r="G67" s="2" t="n"/>
      <c r="H67" s="2" t="n"/>
    </row>
    <row r="68">
      <c r="A68" s="11" t="inlineStr">
        <is>
          <t>One sentence saying the range is never a value</t>
        </is>
      </c>
      <c r="B68" s="12" t="n"/>
      <c r="C68" s="2" t="n"/>
      <c r="D68" s="2" t="n"/>
      <c r="E68" s="2" t="n"/>
      <c r="F68" s="2" t="n"/>
      <c r="G68" s="2" t="n"/>
      <c r="H68" s="2" t="n"/>
    </row>
  </sheetData>
  <mergeCells count="18">
    <mergeCell ref="B63:E63"/>
    <mergeCell ref="B56:E56"/>
    <mergeCell ref="B42:H42"/>
    <mergeCell ref="B52:E52"/>
    <mergeCell ref="B38:E38"/>
    <mergeCell ref="B54:E54"/>
    <mergeCell ref="B62:E62"/>
    <mergeCell ref="B6:H6"/>
    <mergeCell ref="B64:E64"/>
    <mergeCell ref="B55:E55"/>
    <mergeCell ref="B67:E67"/>
    <mergeCell ref="B68:E68"/>
    <mergeCell ref="B51:E51"/>
    <mergeCell ref="B37:E37"/>
    <mergeCell ref="B60:H60"/>
    <mergeCell ref="B36:E36"/>
    <mergeCell ref="B66:E66"/>
    <mergeCell ref="B34:E34"/>
  </mergeCells>
  <pageMargins left="0.75" right="0.75" top="1" bottom="1" header="0.5" footer="0.5"/>
  <pageSetup orientation="landscape" fitToWidth="1"/>
  <headerFooter>
    <oddHeader/>
    <oddFooter>&amp;LIMF · Data and AI for Customs&amp;R&amp;P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5"/>
  <sheetViews>
    <sheetView workbookViewId="0">
      <pane ySplit="7" topLeftCell="A8" activePane="bottomLeft" state="frozen"/>
      <selection pane="bottomLeft" activeCell="A1" sqref="A1"/>
    </sheetView>
  </sheetViews>
  <sheetFormatPr baseColWidth="8" defaultRowHeight="15"/>
  <cols>
    <col width="9" customWidth="1" min="1" max="1"/>
    <col width="7" customWidth="1" min="2" max="2"/>
    <col width="7" customWidth="1" min="3" max="3"/>
    <col width="20" customWidth="1" min="4" max="4"/>
    <col width="6" customWidth="1" min="5" max="5"/>
    <col width="11" customWidth="1" min="6" max="6"/>
    <col width="7" customWidth="1" min="7" max="7"/>
    <col width="11" customWidth="1" min="8" max="8"/>
    <col width="11" customWidth="1" min="9" max="9"/>
    <col width="8" customWidth="1" min="10" max="10"/>
    <col width="8" customWidth="1" min="11" max="11"/>
    <col width="11" customWidth="1" min="12" max="12"/>
    <col width="10" customWidth="1" min="13" max="13"/>
    <col width="9" customWidth="1" min="14" max="14"/>
    <col width="11" customWidth="1" min="15" max="15"/>
    <col width="9" customWidth="1" min="16" max="16"/>
    <col width="10" customWidth="1" min="17" max="17"/>
    <col width="8" customWidth="1" min="18" max="18"/>
    <col width="8" customWidth="1" min="19" max="19"/>
    <col width="8" customWidth="1" min="20" max="20"/>
    <col width="11" customWidth="1" min="21" max="21"/>
    <col width="34" customWidth="1" min="22" max="22"/>
    <col width="38" customWidth="1" min="23" max="23"/>
    <col width="16" customWidth="1" min="24" max="24"/>
    <col width="30" customWidth="1" min="25" max="25"/>
  </cols>
  <sheetData>
    <row r="1">
      <c r="A1" s="1" t="inlineStr">
        <is>
          <t>Sprint 1 · the 24 corridors in their latest year (USD million): take the known explanations out one by one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c r="A2" s="15" t="inlineStr">
        <is>
          <t>A gap is a question, not a verdict. Yellow: your bin and your first check. Grey: the bridge and the ratio, recomputed for every corridor.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row>
    <row r="4" ht="60" customHeight="1">
      <c r="A4" s="5" t="inlineStr">
        <is>
          <t>How it was computed. The bridge: expected at home = the partner's exports × (1 + the shipping and insurance wedge); accounted for = recorded at home + timing (goods in transit at the year end) + what we recorded under the hub; left unexplained = expected − accounted for. The ratio puts both sides on FOB: (recorded at home FOB, or recorded CIF ÷ (1 + the wedge) when there is no FOB field, + timing + hub) ÷ the partner's exports. What we should see but do not = 1 − the ratio. Years below 0.85: how many of the eight years the ratio stays under 0.85. The weight ratio = our kilos ÷ the partner's kilos: far from 1 is a data question first.</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row>
    <row r="6" ht="32" customHeight="1">
      <c r="A6" s="16" t="inlineStr">
        <is>
          <t>corridor</t>
        </is>
      </c>
      <c r="B6" s="16" t="inlineStr">
        <is>
          <t>partner</t>
        </is>
      </c>
      <c r="C6" s="16" t="inlineStr">
        <is>
          <t>chapter</t>
        </is>
      </c>
      <c r="D6" s="16" t="inlineStr">
        <is>
          <t>goods</t>
        </is>
      </c>
      <c r="E6" s="16" t="inlineStr">
        <is>
          <t>year</t>
        </is>
      </c>
      <c r="F6" s="16" t="inlineStr">
        <is>
          <t>partner exports FOB</t>
        </is>
      </c>
      <c r="G6" s="16" t="inlineStr">
        <is>
          <t>wedge</t>
        </is>
      </c>
      <c r="H6" s="16" t="inlineStr">
        <is>
          <t>expected at home</t>
        </is>
      </c>
      <c r="I6" s="16" t="inlineStr">
        <is>
          <t>recorded at home CIF</t>
        </is>
      </c>
      <c r="J6" s="16" t="inlineStr">
        <is>
          <t>timing</t>
        </is>
      </c>
      <c r="K6" s="16" t="inlineStr">
        <is>
          <t>hub</t>
        </is>
      </c>
      <c r="L6" s="16" t="inlineStr">
        <is>
          <t>accounted for</t>
        </is>
      </c>
      <c r="M6" s="16" t="inlineStr">
        <is>
          <t>left unexplained</t>
        </is>
      </c>
      <c r="N6" s="16" t="inlineStr">
        <is>
          <t>share of expected</t>
        </is>
      </c>
      <c r="O6" s="16" t="inlineStr">
        <is>
          <t>recorded at home FOB</t>
        </is>
      </c>
      <c r="P6" s="16" t="inlineStr">
        <is>
          <t>ratio, FOB to FOB</t>
        </is>
      </c>
      <c r="Q6" s="16" t="inlineStr">
        <is>
          <t>share we should see but do not</t>
        </is>
      </c>
      <c r="R6" s="16" t="inlineStr">
        <is>
          <t>years below 0.85</t>
        </is>
      </c>
      <c r="S6" s="16" t="inlineStr">
        <is>
          <t>weight ratio</t>
        </is>
      </c>
      <c r="T6" s="16" t="inlineStr">
        <is>
          <t>partner reports</t>
        </is>
      </c>
      <c r="U6" s="16" t="inlineStr">
        <is>
          <t>series shape</t>
        </is>
      </c>
      <c r="V6" s="16" t="inlineStr">
        <is>
          <t>pre-checks (flags)</t>
        </is>
      </c>
      <c r="W6" s="16" t="inlineStr">
        <is>
          <t>note</t>
        </is>
      </c>
      <c r="X6" s="16" t="inlineStr">
        <is>
          <t>bin</t>
        </is>
      </c>
      <c r="Y6" s="16" t="inlineStr">
        <is>
          <t>first check</t>
        </is>
      </c>
    </row>
    <row r="7">
      <c r="A7" s="17" t="inlineStr">
        <is>
          <t>id</t>
        </is>
      </c>
      <c r="B7" s="17" t="inlineStr">
        <is>
          <t>partner</t>
        </is>
      </c>
      <c r="C7" s="17" t="inlineStr">
        <is>
          <t>chapter</t>
        </is>
      </c>
      <c r="D7" s="17" t="inlineStr">
        <is>
          <t>label</t>
        </is>
      </c>
      <c r="E7" s="17" t="inlineStr">
        <is>
          <t>year</t>
        </is>
      </c>
      <c r="F7" s="17" t="inlineStr">
        <is>
          <t>fob_partner</t>
        </is>
      </c>
      <c r="G7" s="17" t="inlineStr">
        <is>
          <t>wedge</t>
        </is>
      </c>
      <c r="H7" s="17" t="inlineStr">
        <is>
          <t>expected</t>
        </is>
      </c>
      <c r="I7" s="17" t="inlineStr">
        <is>
          <t>recorded</t>
        </is>
      </c>
      <c r="J7" s="17" t="inlineStr">
        <is>
          <t>timing</t>
        </is>
      </c>
      <c r="K7" s="17" t="inlineStr">
        <is>
          <t>hub</t>
        </is>
      </c>
      <c r="L7" s="17" t="inlineStr">
        <is>
          <t>explained</t>
        </is>
      </c>
      <c r="M7" s="17" t="inlineStr">
        <is>
          <t>residual</t>
        </is>
      </c>
      <c r="N7" s="17" t="inlineStr">
        <is>
          <t>bridge_residual_share</t>
        </is>
      </c>
      <c r="O7" s="17" t="inlineStr">
        <is>
          <t>home_fob</t>
        </is>
      </c>
      <c r="P7" s="17" t="inlineStr">
        <is>
          <t>ratio</t>
        </is>
      </c>
      <c r="Q7" s="17" t="inlineStr">
        <is>
          <t>residual_share</t>
        </is>
      </c>
      <c r="R7" s="17" t="inlineStr">
        <is>
          <t>years_below_085</t>
        </is>
      </c>
      <c r="S7" s="17" t="inlineStr">
        <is>
          <t>weight_ratio</t>
        </is>
      </c>
      <c r="T7" s="17" t="inlineStr">
        <is>
          <t>partner_reports</t>
        </is>
      </c>
      <c r="U7" s="17" t="inlineStr">
        <is>
          <t>series_shape</t>
        </is>
      </c>
      <c r="V7" s="17" t="inlineStr">
        <is>
          <t>flags</t>
        </is>
      </c>
      <c r="W7" s="17" t="inlineStr">
        <is>
          <t>note</t>
        </is>
      </c>
      <c r="X7" s="17" t="inlineStr">
        <is>
          <t>bin</t>
        </is>
      </c>
      <c r="Y7" s="17" t="inlineStr">
        <is>
          <t>first_check</t>
        </is>
      </c>
    </row>
    <row r="8">
      <c r="A8" s="2" t="inlineStr">
        <is>
          <t>IND-52</t>
        </is>
      </c>
      <c r="B8" s="2" t="inlineStr">
        <is>
          <t>IND</t>
        </is>
      </c>
      <c r="C8" s="2" t="inlineStr">
        <is>
          <t>52</t>
        </is>
      </c>
      <c r="D8" s="2" t="inlineStr">
        <is>
          <t>Cotton</t>
        </is>
      </c>
      <c r="E8" s="2" t="n">
        <v>2025</v>
      </c>
      <c r="F8" s="18" t="n">
        <v>8.1</v>
      </c>
      <c r="G8" s="19" t="n">
        <v>0.06</v>
      </c>
      <c r="H8" s="20">
        <f>IF(F8="","",F8*(1+G8))</f>
        <v/>
      </c>
      <c r="I8" s="18" t="n">
        <v>5.3</v>
      </c>
      <c r="J8" s="18" t="n">
        <v>0</v>
      </c>
      <c r="K8" s="18" t="n">
        <v>0</v>
      </c>
      <c r="L8" s="20">
        <f>IF(F8="","",I8+N(J8)+N(K8))</f>
        <v/>
      </c>
      <c r="M8" s="20">
        <f>IF(F8="","",H8-L8)</f>
        <v/>
      </c>
      <c r="N8" s="21">
        <f>IF(F8="","",M8/H8)</f>
        <v/>
      </c>
      <c r="O8" s="22" t="n">
        <v>4.978</v>
      </c>
      <c r="P8" s="23">
        <f>IF(F8="","",(IF(O8="",I8/(1+G8),O8)+N(J8)+N(K8))/F8)</f>
        <v/>
      </c>
      <c r="Q8" s="21">
        <f>IF(P8="","",1-P8)</f>
        <v/>
      </c>
      <c r="R8" s="2" t="n">
        <v>8</v>
      </c>
      <c r="S8" s="22" t="n">
        <v>1</v>
      </c>
      <c r="T8" s="2" t="n">
        <v>1</v>
      </c>
      <c r="U8" s="2" t="inlineStr">
        <is>
          <t>persistent</t>
        </is>
      </c>
      <c r="V8" s="2" t="inlineStr"/>
      <c r="W8" s="2" t="inlineStr"/>
      <c r="X8" s="24" t="n"/>
      <c r="Y8" s="24" t="n"/>
    </row>
    <row r="9">
      <c r="A9" s="2" t="inlineStr">
        <is>
          <t>MYS-17</t>
        </is>
      </c>
      <c r="B9" s="2" t="inlineStr">
        <is>
          <t>MYS</t>
        </is>
      </c>
      <c r="C9" s="2" t="inlineStr">
        <is>
          <t>17</t>
        </is>
      </c>
      <c r="D9" s="2" t="inlineStr">
        <is>
          <t>Sugar and confectionery</t>
        </is>
      </c>
      <c r="E9" s="2" t="n">
        <v>2025</v>
      </c>
      <c r="F9" s="18" t="n">
        <v>2</v>
      </c>
      <c r="G9" s="19" t="n">
        <v>0.08</v>
      </c>
      <c r="H9" s="20">
        <f>IF(F9="","",F9*(1+G9))</f>
        <v/>
      </c>
      <c r="I9" s="18" t="n">
        <v>1.4</v>
      </c>
      <c r="J9" s="18" t="n">
        <v>0</v>
      </c>
      <c r="K9" s="18" t="n">
        <v>0</v>
      </c>
      <c r="L9" s="20">
        <f>IF(F9="","",I9+N(J9)+N(K9))</f>
        <v/>
      </c>
      <c r="M9" s="20">
        <f>IF(F9="","",H9-L9)</f>
        <v/>
      </c>
      <c r="N9" s="21">
        <f>IF(F9="","",M9/H9)</f>
        <v/>
      </c>
      <c r="O9" s="22" t="n">
        <v>1.263</v>
      </c>
      <c r="P9" s="23">
        <f>IF(F9="","",(IF(O9="",I9/(1+G9),O9)+N(J9)+N(K9))/F9)</f>
        <v/>
      </c>
      <c r="Q9" s="21">
        <f>IF(P9="","",1-P9)</f>
        <v/>
      </c>
      <c r="R9" s="2" t="n">
        <v>2</v>
      </c>
      <c r="S9" s="22" t="n">
        <v>1</v>
      </c>
      <c r="T9" s="2" t="n">
        <v>1</v>
      </c>
      <c r="U9" s="2" t="inlineStr">
        <is>
          <t>growing</t>
        </is>
      </c>
      <c r="V9" s="2" t="inlineStr"/>
      <c r="W9" s="2" t="inlineStr"/>
      <c r="X9" s="24" t="n"/>
      <c r="Y9" s="24" t="n"/>
    </row>
    <row r="10">
      <c r="A10" s="2" t="inlineStr">
        <is>
          <t>IND-61</t>
        </is>
      </c>
      <c r="B10" s="2" t="inlineStr">
        <is>
          <t>IND</t>
        </is>
      </c>
      <c r="C10" s="2" t="inlineStr">
        <is>
          <t>61</t>
        </is>
      </c>
      <c r="D10" s="2" t="inlineStr">
        <is>
          <t>Apparel, knitted</t>
        </is>
      </c>
      <c r="E10" s="2" t="n">
        <v>2025</v>
      </c>
      <c r="F10" s="18" t="n">
        <v>6</v>
      </c>
      <c r="G10" s="19" t="n">
        <v>0.05</v>
      </c>
      <c r="H10" s="20">
        <f>IF(F10="","",F10*(1+G10))</f>
        <v/>
      </c>
      <c r="I10" s="18" t="n">
        <v>4.2</v>
      </c>
      <c r="J10" s="18" t="n">
        <v>0</v>
      </c>
      <c r="K10" s="18" t="n">
        <v>0</v>
      </c>
      <c r="L10" s="20">
        <f>IF(F10="","",I10+N(J10)+N(K10))</f>
        <v/>
      </c>
      <c r="M10" s="20">
        <f>IF(F10="","",H10-L10)</f>
        <v/>
      </c>
      <c r="N10" s="21">
        <f>IF(F10="","",M10/H10)</f>
        <v/>
      </c>
      <c r="O10" s="22" t="n">
        <v>3.983</v>
      </c>
      <c r="P10" s="23">
        <f>IF(F10="","",(IF(O10="",I10/(1+G10),O10)+N(J10)+N(K10))/F10)</f>
        <v/>
      </c>
      <c r="Q10" s="21">
        <f>IF(P10="","",1-P10)</f>
        <v/>
      </c>
      <c r="R10" s="2" t="n">
        <v>8</v>
      </c>
      <c r="S10" s="22" t="n">
        <v>1</v>
      </c>
      <c r="T10" s="2" t="n">
        <v>1</v>
      </c>
      <c r="U10" s="2" t="inlineStr">
        <is>
          <t>persistent</t>
        </is>
      </c>
      <c r="V10" s="2" t="inlineStr"/>
      <c r="W10" s="2" t="inlineStr"/>
      <c r="X10" s="24" t="n"/>
      <c r="Y10" s="24" t="n"/>
    </row>
    <row r="11">
      <c r="A11" s="2" t="inlineStr">
        <is>
          <t>MYS-87</t>
        </is>
      </c>
      <c r="B11" s="2" t="inlineStr">
        <is>
          <t>MYS</t>
        </is>
      </c>
      <c r="C11" s="2" t="inlineStr">
        <is>
          <t>87</t>
        </is>
      </c>
      <c r="D11" s="2" t="inlineStr">
        <is>
          <t>Vehicles and parts</t>
        </is>
      </c>
      <c r="E11" s="2" t="n">
        <v>2025</v>
      </c>
      <c r="F11" s="18" t="n">
        <v>27</v>
      </c>
      <c r="G11" s="19" t="n">
        <v>0.06</v>
      </c>
      <c r="H11" s="20">
        <f>IF(F11="","",F11*(1+G11))</f>
        <v/>
      </c>
      <c r="I11" s="18" t="n">
        <v>27.5</v>
      </c>
      <c r="J11" s="18" t="n">
        <v>0.1</v>
      </c>
      <c r="K11" s="18" t="n">
        <v>0</v>
      </c>
      <c r="L11" s="20">
        <f>IF(F11="","",I11+N(J11)+N(K11))</f>
        <v/>
      </c>
      <c r="M11" s="20">
        <f>IF(F11="","",H11-L11)</f>
        <v/>
      </c>
      <c r="N11" s="21">
        <f>IF(F11="","",M11/H11)</f>
        <v/>
      </c>
      <c r="O11" s="22" t="n">
        <v>25.96</v>
      </c>
      <c r="P11" s="23">
        <f>IF(F11="","",(IF(O11="",I11/(1+G11),O11)+N(J11)+N(K11))/F11)</f>
        <v/>
      </c>
      <c r="Q11" s="21">
        <f>IF(P11="","",1-P11)</f>
        <v/>
      </c>
      <c r="R11" s="2" t="n">
        <v>0</v>
      </c>
      <c r="S11" s="22" t="n">
        <v>1</v>
      </c>
      <c r="T11" s="2" t="n">
        <v>1</v>
      </c>
      <c r="U11" s="2" t="inlineStr">
        <is>
          <t>new</t>
        </is>
      </c>
      <c r="V11" s="2" t="inlineStr"/>
      <c r="W11" s="2" t="inlineStr">
        <is>
          <t>corridor appears in the last two years; no history to compare</t>
        </is>
      </c>
      <c r="X11" s="24" t="n"/>
      <c r="Y11" s="24" t="n"/>
    </row>
    <row r="12">
      <c r="A12" s="2" t="inlineStr">
        <is>
          <t>MYS-72</t>
        </is>
      </c>
      <c r="B12" s="2" t="inlineStr">
        <is>
          <t>MYS</t>
        </is>
      </c>
      <c r="C12" s="2" t="inlineStr">
        <is>
          <t>72</t>
        </is>
      </c>
      <c r="D12" s="2" t="inlineStr">
        <is>
          <t>Iron and steel</t>
        </is>
      </c>
      <c r="E12" s="2" t="n">
        <v>2025</v>
      </c>
      <c r="F12" s="18" t="n">
        <v>37.3</v>
      </c>
      <c r="G12" s="19" t="n">
        <v>0.11</v>
      </c>
      <c r="H12" s="20">
        <f>IF(F12="","",F12*(1+G12))</f>
        <v/>
      </c>
      <c r="I12" s="18" t="n">
        <v>41.2</v>
      </c>
      <c r="J12" s="18" t="n">
        <v>0</v>
      </c>
      <c r="K12" s="18" t="n">
        <v>0</v>
      </c>
      <c r="L12" s="20">
        <f>IF(F12="","",I12+N(J12)+N(K12))</f>
        <v/>
      </c>
      <c r="M12" s="20">
        <f>IF(F12="","",H12-L12)</f>
        <v/>
      </c>
      <c r="N12" s="21">
        <f>IF(F12="","",M12/H12)</f>
        <v/>
      </c>
      <c r="O12" s="22" t="n">
        <v>37.147</v>
      </c>
      <c r="P12" s="23">
        <f>IF(F12="","",(IF(O12="",I12/(1+G12),O12)+N(J12)+N(K12))/F12)</f>
        <v/>
      </c>
      <c r="Q12" s="21">
        <f>IF(P12="","",1-P12)</f>
        <v/>
      </c>
      <c r="R12" s="2" t="n">
        <v>0</v>
      </c>
      <c r="S12" s="22" t="n">
        <v>0.825</v>
      </c>
      <c r="T12" s="2" t="n">
        <v>1</v>
      </c>
      <c r="U12" s="2" t="inlineStr">
        <is>
          <t>normal</t>
        </is>
      </c>
      <c r="V12" s="2" t="inlineStr">
        <is>
          <t>the weights are missing or the weight ratio is far from 1</t>
        </is>
      </c>
      <c r="W12" s="2" t="inlineStr">
        <is>
          <t>partner weights estimated from value (Comtrade convention)</t>
        </is>
      </c>
      <c r="X12" s="24" t="n"/>
      <c r="Y12" s="24" t="n"/>
    </row>
    <row r="13">
      <c r="A13" s="2" t="inlineStr">
        <is>
          <t>MYS-39</t>
        </is>
      </c>
      <c r="B13" s="2" t="inlineStr">
        <is>
          <t>MYS</t>
        </is>
      </c>
      <c r="C13" s="2" t="inlineStr">
        <is>
          <t>39</t>
        </is>
      </c>
      <c r="D13" s="2" t="inlineStr">
        <is>
          <t>Plastics</t>
        </is>
      </c>
      <c r="E13" s="2" t="n">
        <v>2025</v>
      </c>
      <c r="F13" s="18" t="n">
        <v>3.3</v>
      </c>
      <c r="G13" s="19" t="n">
        <v>0.08</v>
      </c>
      <c r="H13" s="20">
        <f>IF(F13="","",F13*(1+G13))</f>
        <v/>
      </c>
      <c r="I13" s="18" t="n">
        <v>3.5</v>
      </c>
      <c r="J13" s="18" t="n">
        <v>0</v>
      </c>
      <c r="K13" s="18" t="n">
        <v>0</v>
      </c>
      <c r="L13" s="20">
        <f>IF(F13="","",I13+N(J13)+N(K13))</f>
        <v/>
      </c>
      <c r="M13" s="20">
        <f>IF(F13="","",H13-L13)</f>
        <v/>
      </c>
      <c r="N13" s="21">
        <f>IF(F13="","",M13/H13)</f>
        <v/>
      </c>
      <c r="O13" s="22" t="n">
        <v>3.312</v>
      </c>
      <c r="P13" s="23">
        <f>IF(F13="","",(IF(O13="",I13/(1+G13),O13)+N(J13)+N(K13))/F13)</f>
        <v/>
      </c>
      <c r="Q13" s="21">
        <f>IF(P13="","",1-P13)</f>
        <v/>
      </c>
      <c r="R13" s="2" t="n">
        <v>0</v>
      </c>
      <c r="S13" s="22" t="n">
        <v>1</v>
      </c>
      <c r="T13" s="2" t="n">
        <v>1</v>
      </c>
      <c r="U13" s="2" t="inlineStr">
        <is>
          <t>normal</t>
        </is>
      </c>
      <c r="V13" s="2" t="inlineStr"/>
      <c r="W13" s="2" t="inlineStr"/>
      <c r="X13" s="24" t="n"/>
      <c r="Y13" s="24" t="n"/>
    </row>
    <row r="14">
      <c r="A14" s="2" t="inlineStr">
        <is>
          <t>MYS-52</t>
        </is>
      </c>
      <c r="B14" s="2" t="inlineStr">
        <is>
          <t>MYS</t>
        </is>
      </c>
      <c r="C14" s="2" t="inlineStr">
        <is>
          <t>52</t>
        </is>
      </c>
      <c r="D14" s="2" t="inlineStr">
        <is>
          <t>Cotton</t>
        </is>
      </c>
      <c r="E14" s="2" t="n">
        <v>2025</v>
      </c>
      <c r="F14" s="18" t="n">
        <v>0.5</v>
      </c>
      <c r="G14" s="19" t="n">
        <v>0.06</v>
      </c>
      <c r="H14" s="20">
        <f>IF(F14="","",F14*(1+G14))</f>
        <v/>
      </c>
      <c r="I14" s="18" t="n">
        <v>0.6</v>
      </c>
      <c r="J14" s="18" t="n">
        <v>0</v>
      </c>
      <c r="K14" s="18" t="n">
        <v>0</v>
      </c>
      <c r="L14" s="20">
        <f>IF(F14="","",I14+N(J14)+N(K14))</f>
        <v/>
      </c>
      <c r="M14" s="20">
        <f>IF(F14="","",H14-L14)</f>
        <v/>
      </c>
      <c r="N14" s="21">
        <f>IF(F14="","",M14/H14)</f>
        <v/>
      </c>
      <c r="O14" s="22" t="n">
        <v>0.536</v>
      </c>
      <c r="P14" s="23">
        <f>IF(F14="","",(IF(O14="",I14/(1+G14),O14)+N(J14)+N(K14))/F14)</f>
        <v/>
      </c>
      <c r="Q14" s="21">
        <f>IF(P14="","",1-P14)</f>
        <v/>
      </c>
      <c r="R14" s="2" t="n">
        <v>0</v>
      </c>
      <c r="S14" s="22" t="n">
        <v>1</v>
      </c>
      <c r="T14" s="2" t="n">
        <v>1</v>
      </c>
      <c r="U14" s="2" t="inlineStr">
        <is>
          <t>normal</t>
        </is>
      </c>
      <c r="V14" s="2" t="inlineStr"/>
      <c r="W14" s="2" t="inlineStr"/>
      <c r="X14" s="24" t="n"/>
      <c r="Y14" s="24" t="n"/>
    </row>
    <row r="15">
      <c r="A15" s="2" t="inlineStr">
        <is>
          <t>MYS-85</t>
        </is>
      </c>
      <c r="B15" s="2" t="inlineStr">
        <is>
          <t>MYS</t>
        </is>
      </c>
      <c r="C15" s="2" t="inlineStr">
        <is>
          <t>85</t>
        </is>
      </c>
      <c r="D15" s="2" t="inlineStr">
        <is>
          <t>Electrical machinery</t>
        </is>
      </c>
      <c r="E15" s="2" t="n">
        <v>2025</v>
      </c>
      <c r="F15" s="18" t="n">
        <v>87.3</v>
      </c>
      <c r="G15" s="19" t="n">
        <v>0.03</v>
      </c>
      <c r="H15" s="20">
        <f>IF(F15="","",F15*(1+G15))</f>
        <v/>
      </c>
      <c r="I15" s="18" t="n">
        <v>90.2</v>
      </c>
      <c r="J15" s="18" t="n">
        <v>0.2</v>
      </c>
      <c r="K15" s="18" t="n">
        <v>0</v>
      </c>
      <c r="L15" s="20">
        <f>IF(F15="","",I15+N(J15)+N(K15))</f>
        <v/>
      </c>
      <c r="M15" s="20">
        <f>IF(F15="","",H15-L15)</f>
        <v/>
      </c>
      <c r="N15" s="21">
        <f>IF(F15="","",M15/H15)</f>
        <v/>
      </c>
      <c r="O15" s="22" t="n">
        <v>87.63800000000001</v>
      </c>
      <c r="P15" s="23">
        <f>IF(F15="","",(IF(O15="",I15/(1+G15),O15)+N(J15)+N(K15))/F15)</f>
        <v/>
      </c>
      <c r="Q15" s="21">
        <f>IF(P15="","",1-P15)</f>
        <v/>
      </c>
      <c r="R15" s="2" t="n">
        <v>0</v>
      </c>
      <c r="S15" s="22" t="n">
        <v>1</v>
      </c>
      <c r="T15" s="2" t="n">
        <v>1</v>
      </c>
      <c r="U15" s="2" t="inlineStr">
        <is>
          <t>normal</t>
        </is>
      </c>
      <c r="V15" s="2" t="inlineStr"/>
      <c r="W15" s="2" t="inlineStr">
        <is>
          <t>chapter totals agree; within the chapter, value moves between headings</t>
        </is>
      </c>
      <c r="X15" s="24" t="n"/>
      <c r="Y15" s="24" t="n"/>
    </row>
    <row r="16">
      <c r="A16" s="2" t="inlineStr">
        <is>
          <t>MYS-33</t>
        </is>
      </c>
      <c r="B16" s="2" t="inlineStr">
        <is>
          <t>MYS</t>
        </is>
      </c>
      <c r="C16" s="2" t="inlineStr">
        <is>
          <t>33</t>
        </is>
      </c>
      <c r="D16" s="2" t="inlineStr">
        <is>
          <t>Cosmetics and perfumery</t>
        </is>
      </c>
      <c r="E16" s="2" t="n">
        <v>2025</v>
      </c>
      <c r="F16" s="18" t="n">
        <v>11.8</v>
      </c>
      <c r="G16" s="19" t="n">
        <v>0.05</v>
      </c>
      <c r="H16" s="20">
        <f>IF(F16="","",F16*(1+G16))</f>
        <v/>
      </c>
      <c r="I16" s="18" t="n">
        <v>12.6</v>
      </c>
      <c r="J16" s="18" t="n">
        <v>0.1</v>
      </c>
      <c r="K16" s="18" t="n">
        <v>0</v>
      </c>
      <c r="L16" s="20">
        <f>IF(F16="","",I16+N(J16)+N(K16))</f>
        <v/>
      </c>
      <c r="M16" s="20">
        <f>IF(F16="","",H16-L16)</f>
        <v/>
      </c>
      <c r="N16" s="21">
        <f>IF(F16="","",M16/H16)</f>
        <v/>
      </c>
      <c r="O16" s="22" t="n">
        <v>11.939</v>
      </c>
      <c r="P16" s="23">
        <f>IF(F16="","",(IF(O16="",I16/(1+G16),O16)+N(J16)+N(K16))/F16)</f>
        <v/>
      </c>
      <c r="Q16" s="21">
        <f>IF(P16="","",1-P16)</f>
        <v/>
      </c>
      <c r="R16" s="2" t="n">
        <v>0</v>
      </c>
      <c r="S16" s="22" t="n">
        <v>1</v>
      </c>
      <c r="T16" s="2" t="n">
        <v>1</v>
      </c>
      <c r="U16" s="2" t="inlineStr">
        <is>
          <t>normal</t>
        </is>
      </c>
      <c r="V16" s="2" t="inlineStr">
        <is>
          <t>the series is broken by a recode</t>
        </is>
      </c>
      <c r="W16" s="2" t="inlineStr"/>
      <c r="X16" s="24" t="n"/>
      <c r="Y16" s="24" t="n"/>
    </row>
    <row r="17">
      <c r="A17" s="2" t="inlineStr">
        <is>
          <t>MYS-61</t>
        </is>
      </c>
      <c r="B17" s="2" t="inlineStr">
        <is>
          <t>MYS</t>
        </is>
      </c>
      <c r="C17" s="2" t="inlineStr">
        <is>
          <t>61</t>
        </is>
      </c>
      <c r="D17" s="2" t="inlineStr">
        <is>
          <t>Apparel, knitted</t>
        </is>
      </c>
      <c r="E17" s="2" t="n">
        <v>2025</v>
      </c>
      <c r="F17" s="18" t="n">
        <v>2</v>
      </c>
      <c r="G17" s="19" t="n">
        <v>0.05</v>
      </c>
      <c r="H17" s="20">
        <f>IF(F17="","",F17*(1+G17))</f>
        <v/>
      </c>
      <c r="I17" s="18" t="n">
        <v>2.2</v>
      </c>
      <c r="J17" s="18" t="n">
        <v>0</v>
      </c>
      <c r="K17" s="18" t="n">
        <v>0</v>
      </c>
      <c r="L17" s="20">
        <f>IF(F17="","",I17+N(J17)+N(K17))</f>
        <v/>
      </c>
      <c r="M17" s="20">
        <f>IF(F17="","",H17-L17)</f>
        <v/>
      </c>
      <c r="N17" s="21">
        <f>IF(F17="","",M17/H17)</f>
        <v/>
      </c>
      <c r="O17" s="22" t="n">
        <v>2.072</v>
      </c>
      <c r="P17" s="23">
        <f>IF(F17="","",(IF(O17="",I17/(1+G17),O17)+N(J17)+N(K17))/F17)</f>
        <v/>
      </c>
      <c r="Q17" s="21">
        <f>IF(P17="","",1-P17)</f>
        <v/>
      </c>
      <c r="R17" s="2" t="n">
        <v>0</v>
      </c>
      <c r="S17" s="22" t="n">
        <v>1</v>
      </c>
      <c r="T17" s="2" t="n">
        <v>1</v>
      </c>
      <c r="U17" s="2" t="inlineStr">
        <is>
          <t>normal</t>
        </is>
      </c>
      <c r="V17" s="2" t="inlineStr"/>
      <c r="W17" s="2" t="inlineStr"/>
      <c r="X17" s="24" t="n"/>
      <c r="Y17" s="24" t="n"/>
    </row>
    <row r="18">
      <c r="A18" s="2" t="inlineStr">
        <is>
          <t>CHN-87</t>
        </is>
      </c>
      <c r="B18" s="2" t="inlineStr">
        <is>
          <t>CHN</t>
        </is>
      </c>
      <c r="C18" s="2" t="inlineStr">
        <is>
          <t>87</t>
        </is>
      </c>
      <c r="D18" s="2" t="inlineStr">
        <is>
          <t>Vehicles and parts</t>
        </is>
      </c>
      <c r="E18" s="2" t="n">
        <v>2025</v>
      </c>
      <c r="F18" s="18" t="n">
        <v>10.1</v>
      </c>
      <c r="G18" s="19" t="n">
        <v>0.06</v>
      </c>
      <c r="H18" s="20">
        <f>IF(F18="","",F18*(1+G18))</f>
        <v/>
      </c>
      <c r="I18" s="18" t="n">
        <v>11.1</v>
      </c>
      <c r="J18" s="18" t="n">
        <v>0</v>
      </c>
      <c r="K18" s="18" t="n">
        <v>0</v>
      </c>
      <c r="L18" s="20">
        <f>IF(F18="","",I18+N(J18)+N(K18))</f>
        <v/>
      </c>
      <c r="M18" s="20">
        <f>IF(F18="","",H18-L18)</f>
        <v/>
      </c>
      <c r="N18" s="21">
        <f>IF(F18="","",M18/H18)</f>
        <v/>
      </c>
      <c r="O18" s="22" t="n">
        <v>10.475</v>
      </c>
      <c r="P18" s="23">
        <f>IF(F18="","",(IF(O18="",I18/(1+G18),O18)+N(J18)+N(K18))/F18)</f>
        <v/>
      </c>
      <c r="Q18" s="21">
        <f>IF(P18="","",1-P18)</f>
        <v/>
      </c>
      <c r="R18" s="2" t="n">
        <v>0</v>
      </c>
      <c r="S18" s="22" t="n">
        <v>1</v>
      </c>
      <c r="T18" s="2" t="n">
        <v>1</v>
      </c>
      <c r="U18" s="2" t="inlineStr">
        <is>
          <t>normal</t>
        </is>
      </c>
      <c r="V18" s="2" t="inlineStr"/>
      <c r="W18" s="2" t="inlineStr"/>
      <c r="X18" s="24" t="n"/>
      <c r="Y18" s="24" t="n"/>
    </row>
    <row r="19">
      <c r="A19" s="2" t="inlineStr">
        <is>
          <t>CHN-61</t>
        </is>
      </c>
      <c r="B19" s="2" t="inlineStr">
        <is>
          <t>CHN</t>
        </is>
      </c>
      <c r="C19" s="2" t="inlineStr">
        <is>
          <t>61</t>
        </is>
      </c>
      <c r="D19" s="2" t="inlineStr">
        <is>
          <t>Apparel, knitted</t>
        </is>
      </c>
      <c r="E19" s="2" t="n">
        <v>2025</v>
      </c>
      <c r="F19" s="18" t="n">
        <v>18.1</v>
      </c>
      <c r="G19" s="19" t="n">
        <v>0.05</v>
      </c>
      <c r="H19" s="20">
        <f>IF(F19="","",F19*(1+G19))</f>
        <v/>
      </c>
      <c r="I19" s="18" t="n">
        <v>20.4</v>
      </c>
      <c r="J19" s="18" t="n">
        <v>0.1</v>
      </c>
      <c r="K19" s="18" t="n">
        <v>0</v>
      </c>
      <c r="L19" s="20">
        <f>IF(F19="","",I19+N(J19)+N(K19))</f>
        <v/>
      </c>
      <c r="M19" s="20">
        <f>IF(F19="","",H19-L19)</f>
        <v/>
      </c>
      <c r="N19" s="21">
        <f>IF(F19="","",M19/H19)</f>
        <v/>
      </c>
      <c r="O19" s="22" t="n">
        <v>19.382</v>
      </c>
      <c r="P19" s="23">
        <f>IF(F19="","",(IF(O19="",I19/(1+G19),O19)+N(J19)+N(K19))/F19)</f>
        <v/>
      </c>
      <c r="Q19" s="21">
        <f>IF(P19="","",1-P19)</f>
        <v/>
      </c>
      <c r="R19" s="2" t="n">
        <v>0</v>
      </c>
      <c r="S19" s="22" t="n">
        <v>1</v>
      </c>
      <c r="T19" s="2" t="n">
        <v>1</v>
      </c>
      <c r="U19" s="2" t="inlineStr">
        <is>
          <t>normal</t>
        </is>
      </c>
      <c r="V19" s="2" t="inlineStr"/>
      <c r="W19" s="2" t="inlineStr"/>
      <c r="X19" s="24" t="n"/>
      <c r="Y19" s="24" t="n"/>
    </row>
    <row r="20">
      <c r="A20" s="2" t="inlineStr">
        <is>
          <t>CHN-85</t>
        </is>
      </c>
      <c r="B20" s="2" t="inlineStr">
        <is>
          <t>CHN</t>
        </is>
      </c>
      <c r="C20" s="2" t="inlineStr">
        <is>
          <t>85</t>
        </is>
      </c>
      <c r="D20" s="2" t="inlineStr">
        <is>
          <t>Electrical machinery</t>
        </is>
      </c>
      <c r="E20" s="2" t="n">
        <v>2025</v>
      </c>
      <c r="F20" s="18" t="n">
        <v>87.09999999999999</v>
      </c>
      <c r="G20" s="19" t="n">
        <v>0.03</v>
      </c>
      <c r="H20" s="20">
        <f>IF(F20="","",F20*(1+G20))</f>
        <v/>
      </c>
      <c r="I20" s="18" t="n">
        <v>98.90000000000001</v>
      </c>
      <c r="J20" s="18" t="n">
        <v>0.1</v>
      </c>
      <c r="K20" s="18" t="n">
        <v>0</v>
      </c>
      <c r="L20" s="20">
        <f>IF(F20="","",I20+N(J20)+N(K20))</f>
        <v/>
      </c>
      <c r="M20" s="20">
        <f>IF(F20="","",H20-L20)</f>
        <v/>
      </c>
      <c r="N20" s="21">
        <f>IF(F20="","",M20/H20)</f>
        <v/>
      </c>
      <c r="O20" s="22" t="n">
        <v>95.998</v>
      </c>
      <c r="P20" s="23">
        <f>IF(F20="","",(IF(O20="",I20/(1+G20),O20)+N(J20)+N(K20))/F20)</f>
        <v/>
      </c>
      <c r="Q20" s="21">
        <f>IF(P20="","",1-P20)</f>
        <v/>
      </c>
      <c r="R20" s="2" t="n">
        <v>0</v>
      </c>
      <c r="S20" s="22" t="n">
        <v>1</v>
      </c>
      <c r="T20" s="2" t="n">
        <v>1</v>
      </c>
      <c r="U20" s="2" t="inlineStr">
        <is>
          <t>normal</t>
        </is>
      </c>
      <c r="V20" s="2" t="inlineStr"/>
      <c r="W20" s="2" t="inlineStr"/>
      <c r="X20" s="24" t="n"/>
      <c r="Y20" s="24" t="n"/>
    </row>
    <row r="21">
      <c r="A21" s="2" t="inlineStr">
        <is>
          <t>CHN-33</t>
        </is>
      </c>
      <c r="B21" s="2" t="inlineStr">
        <is>
          <t>CHN</t>
        </is>
      </c>
      <c r="C21" s="2" t="inlineStr">
        <is>
          <t>33</t>
        </is>
      </c>
      <c r="D21" s="2" t="inlineStr">
        <is>
          <t>Cosmetics and perfumery</t>
        </is>
      </c>
      <c r="E21" s="2" t="n">
        <v>2025</v>
      </c>
      <c r="F21" s="18" t="n">
        <v>9.699999999999999</v>
      </c>
      <c r="G21" s="19" t="n">
        <v>0.05</v>
      </c>
      <c r="H21" s="20">
        <f>IF(F21="","",F21*(1+G21))</f>
        <v/>
      </c>
      <c r="I21" s="18" t="n">
        <v>11.2</v>
      </c>
      <c r="J21" s="18" t="n">
        <v>0.1</v>
      </c>
      <c r="K21" s="18" t="n">
        <v>0</v>
      </c>
      <c r="L21" s="20">
        <f>IF(F21="","",I21+N(J21)+N(K21))</f>
        <v/>
      </c>
      <c r="M21" s="20">
        <f>IF(F21="","",H21-L21)</f>
        <v/>
      </c>
      <c r="N21" s="21">
        <f>IF(F21="","",M21/H21)</f>
        <v/>
      </c>
      <c r="O21" s="22" t="n">
        <v>10.634</v>
      </c>
      <c r="P21" s="23">
        <f>IF(F21="","",(IF(O21="",I21/(1+G21),O21)+N(J21)+N(K21))/F21)</f>
        <v/>
      </c>
      <c r="Q21" s="21">
        <f>IF(P21="","",1-P21)</f>
        <v/>
      </c>
      <c r="R21" s="2" t="n">
        <v>0</v>
      </c>
      <c r="S21" s="22" t="n">
        <v>1</v>
      </c>
      <c r="T21" s="2" t="n">
        <v>1</v>
      </c>
      <c r="U21" s="2" t="inlineStr">
        <is>
          <t>normal</t>
        </is>
      </c>
      <c r="V21" s="2" t="inlineStr"/>
      <c r="W21" s="2" t="inlineStr"/>
      <c r="X21" s="24" t="n"/>
      <c r="Y21" s="24" t="n"/>
    </row>
    <row r="22">
      <c r="A22" s="2" t="inlineStr">
        <is>
          <t>IND-39</t>
        </is>
      </c>
      <c r="B22" s="2" t="inlineStr">
        <is>
          <t>IND</t>
        </is>
      </c>
      <c r="C22" s="2" t="inlineStr">
        <is>
          <t>39</t>
        </is>
      </c>
      <c r="D22" s="2" t="inlineStr">
        <is>
          <t>Plastics</t>
        </is>
      </c>
      <c r="E22" s="2" t="n">
        <v>2025</v>
      </c>
      <c r="F22" s="18" t="n">
        <v>6.7</v>
      </c>
      <c r="G22" s="19" t="n">
        <v>0.08</v>
      </c>
      <c r="H22" s="20">
        <f>IF(F22="","",F22*(1+G22))</f>
        <v/>
      </c>
      <c r="I22" s="18" t="n">
        <v>8</v>
      </c>
      <c r="J22" s="18" t="n">
        <v>0</v>
      </c>
      <c r="K22" s="18" t="n">
        <v>0</v>
      </c>
      <c r="L22" s="20">
        <f>IF(F22="","",I22+N(J22)+N(K22))</f>
        <v/>
      </c>
      <c r="M22" s="20">
        <f>IF(F22="","",H22-L22)</f>
        <v/>
      </c>
      <c r="N22" s="21">
        <f>IF(F22="","",M22/H22)</f>
        <v/>
      </c>
      <c r="O22" s="22" t="n">
        <v>7.475</v>
      </c>
      <c r="P22" s="23">
        <f>IF(F22="","",(IF(O22="",I22/(1+G22),O22)+N(J22)+N(K22))/F22)</f>
        <v/>
      </c>
      <c r="Q22" s="21">
        <f>IF(P22="","",1-P22)</f>
        <v/>
      </c>
      <c r="R22" s="2" t="n">
        <v>0</v>
      </c>
      <c r="S22" s="22" t="n">
        <v>1</v>
      </c>
      <c r="T22" s="2" t="n">
        <v>1</v>
      </c>
      <c r="U22" s="2" t="inlineStr">
        <is>
          <t>normal</t>
        </is>
      </c>
      <c r="V22" s="2" t="inlineStr"/>
      <c r="W22" s="2" t="inlineStr"/>
      <c r="X22" s="24" t="n"/>
      <c r="Y22" s="24" t="n"/>
    </row>
    <row r="23">
      <c r="A23" s="2" t="inlineStr">
        <is>
          <t>IND-87</t>
        </is>
      </c>
      <c r="B23" s="2" t="inlineStr">
        <is>
          <t>IND</t>
        </is>
      </c>
      <c r="C23" s="2" t="inlineStr">
        <is>
          <t>87</t>
        </is>
      </c>
      <c r="D23" s="2" t="inlineStr">
        <is>
          <t>Vehicles and parts</t>
        </is>
      </c>
      <c r="E23" s="2" t="n">
        <v>2025</v>
      </c>
      <c r="F23" s="18" t="n">
        <v>5.3</v>
      </c>
      <c r="G23" s="19" t="n">
        <v>0.06</v>
      </c>
      <c r="H23" s="20">
        <f>IF(F23="","",F23*(1+G23))</f>
        <v/>
      </c>
      <c r="I23" s="18" t="n">
        <v>6.3</v>
      </c>
      <c r="J23" s="18" t="n">
        <v>0</v>
      </c>
      <c r="K23" s="18" t="n">
        <v>0</v>
      </c>
      <c r="L23" s="20">
        <f>IF(F23="","",I23+N(J23)+N(K23))</f>
        <v/>
      </c>
      <c r="M23" s="20">
        <f>IF(F23="","",H23-L23)</f>
        <v/>
      </c>
      <c r="N23" s="21">
        <f>IF(F23="","",M23/H23)</f>
        <v/>
      </c>
      <c r="O23" s="22" t="n">
        <v>5.996</v>
      </c>
      <c r="P23" s="23">
        <f>IF(F23="","",(IF(O23="",I23/(1+G23),O23)+N(J23)+N(K23))/F23)</f>
        <v/>
      </c>
      <c r="Q23" s="21">
        <f>IF(P23="","",1-P23)</f>
        <v/>
      </c>
      <c r="R23" s="2" t="n">
        <v>0</v>
      </c>
      <c r="S23" s="22" t="n">
        <v>1.035</v>
      </c>
      <c r="T23" s="2" t="n">
        <v>1</v>
      </c>
      <c r="U23" s="2" t="inlineStr">
        <is>
          <t>normal</t>
        </is>
      </c>
      <c r="V23" s="2" t="inlineStr"/>
      <c r="W23" s="2" t="inlineStr"/>
      <c r="X23" s="24" t="n"/>
      <c r="Y23" s="24" t="n"/>
    </row>
    <row r="24">
      <c r="A24" s="2" t="inlineStr">
        <is>
          <t>IND-72</t>
        </is>
      </c>
      <c r="B24" s="2" t="inlineStr">
        <is>
          <t>IND</t>
        </is>
      </c>
      <c r="C24" s="2" t="inlineStr">
        <is>
          <t>72</t>
        </is>
      </c>
      <c r="D24" s="2" t="inlineStr">
        <is>
          <t>Iron and steel</t>
        </is>
      </c>
      <c r="E24" s="2" t="n">
        <v>2025</v>
      </c>
      <c r="F24" s="18" t="n">
        <v>41.4</v>
      </c>
      <c r="G24" s="19" t="n">
        <v>0.11</v>
      </c>
      <c r="H24" s="20">
        <f>IF(F24="","",F24*(1+G24))</f>
        <v/>
      </c>
      <c r="I24" s="18" t="n">
        <v>51.8</v>
      </c>
      <c r="J24" s="18" t="n">
        <v>0.1</v>
      </c>
      <c r="K24" s="18" t="n">
        <v>0</v>
      </c>
      <c r="L24" s="20">
        <f>IF(F24="","",I24+N(J24)+N(K24))</f>
        <v/>
      </c>
      <c r="M24" s="20">
        <f>IF(F24="","",H24-L24)</f>
        <v/>
      </c>
      <c r="N24" s="21">
        <f>IF(F24="","",M24/H24)</f>
        <v/>
      </c>
      <c r="O24" s="22" t="n">
        <v>46.684</v>
      </c>
      <c r="P24" s="23">
        <f>IF(F24="","",(IF(O24="",I24/(1+G24),O24)+N(J24)+N(K24))/F24)</f>
        <v/>
      </c>
      <c r="Q24" s="21">
        <f>IF(P24="","",1-P24)</f>
        <v/>
      </c>
      <c r="R24" s="2" t="n">
        <v>0</v>
      </c>
      <c r="S24" s="22" t="n">
        <v>1</v>
      </c>
      <c r="T24" s="2" t="n">
        <v>1</v>
      </c>
      <c r="U24" s="2" t="inlineStr">
        <is>
          <t>normal</t>
        </is>
      </c>
      <c r="V24" s="2" t="inlineStr"/>
      <c r="W24" s="2" t="inlineStr"/>
      <c r="X24" s="24" t="n"/>
      <c r="Y24" s="24" t="n"/>
    </row>
    <row r="25">
      <c r="A25" s="2" t="inlineStr">
        <is>
          <t>CHN-72</t>
        </is>
      </c>
      <c r="B25" s="2" t="inlineStr">
        <is>
          <t>CHN</t>
        </is>
      </c>
      <c r="C25" s="2" t="inlineStr">
        <is>
          <t>72</t>
        </is>
      </c>
      <c r="D25" s="2" t="inlineStr">
        <is>
          <t>Iron and steel</t>
        </is>
      </c>
      <c r="E25" s="2" t="n">
        <v>2025</v>
      </c>
      <c r="F25" s="18" t="n">
        <v>33.1</v>
      </c>
      <c r="G25" s="19" t="n">
        <v>0.11</v>
      </c>
      <c r="H25" s="20">
        <f>IF(F25="","",F25*(1+G25))</f>
        <v/>
      </c>
      <c r="I25" s="18" t="n">
        <v>42</v>
      </c>
      <c r="J25" s="18" t="n">
        <v>0.2</v>
      </c>
      <c r="K25" s="18" t="n">
        <v>0</v>
      </c>
      <c r="L25" s="20">
        <f>IF(F25="","",I25+N(J25)+N(K25))</f>
        <v/>
      </c>
      <c r="M25" s="20">
        <f>IF(F25="","",H25-L25)</f>
        <v/>
      </c>
      <c r="N25" s="21">
        <f>IF(F25="","",M25/H25)</f>
        <v/>
      </c>
      <c r="O25" s="22" t="n">
        <v>37.821</v>
      </c>
      <c r="P25" s="23">
        <f>IF(F25="","",(IF(O25="",I25/(1+G25),O25)+N(J25)+N(K25))/F25)</f>
        <v/>
      </c>
      <c r="Q25" s="21">
        <f>IF(P25="","",1-P25)</f>
        <v/>
      </c>
      <c r="R25" s="2" t="n">
        <v>1</v>
      </c>
      <c r="S25" s="22" t="n">
        <v>1</v>
      </c>
      <c r="T25" s="2" t="n">
        <v>1</v>
      </c>
      <c r="U25" s="2" t="inlineStr">
        <is>
          <t>spike</t>
        </is>
      </c>
      <c r="V25" s="2" t="inlineStr"/>
      <c r="W25" s="2" t="inlineStr"/>
      <c r="X25" s="24" t="n"/>
      <c r="Y25" s="24" t="n"/>
    </row>
    <row r="26">
      <c r="A26" s="2" t="inlineStr">
        <is>
          <t>IND-17</t>
        </is>
      </c>
      <c r="B26" s="2" t="inlineStr">
        <is>
          <t>IND</t>
        </is>
      </c>
      <c r="C26" s="2" t="inlineStr">
        <is>
          <t>17</t>
        </is>
      </c>
      <c r="D26" s="2" t="inlineStr">
        <is>
          <t>Sugar and confectionery</t>
        </is>
      </c>
      <c r="E26" s="2" t="n">
        <v>2025</v>
      </c>
      <c r="F26" s="18" t="n">
        <v>0.4</v>
      </c>
      <c r="G26" s="19" t="n">
        <v>0.08</v>
      </c>
      <c r="H26" s="20">
        <f>IF(F26="","",F26*(1+G26))</f>
        <v/>
      </c>
      <c r="I26" s="18" t="n">
        <v>0.5</v>
      </c>
      <c r="J26" s="18" t="n">
        <v>0</v>
      </c>
      <c r="K26" s="18" t="n">
        <v>0</v>
      </c>
      <c r="L26" s="20">
        <f>IF(F26="","",I26+N(J26)+N(K26))</f>
        <v/>
      </c>
      <c r="M26" s="20">
        <f>IF(F26="","",H26-L26)</f>
        <v/>
      </c>
      <c r="N26" s="21">
        <f>IF(F26="","",M26/H26)</f>
        <v/>
      </c>
      <c r="O26" s="22" t="n">
        <v>0.501</v>
      </c>
      <c r="P26" s="23">
        <f>IF(F26="","",(IF(O26="",I26/(1+G26),O26)+N(J26)+N(K26))/F26)</f>
        <v/>
      </c>
      <c r="Q26" s="21">
        <f>IF(P26="","",1-P26)</f>
        <v/>
      </c>
      <c r="R26" s="2" t="n">
        <v>0</v>
      </c>
      <c r="S26" s="22" t="n">
        <v>1</v>
      </c>
      <c r="T26" s="2" t="n">
        <v>1</v>
      </c>
      <c r="U26" s="2" t="inlineStr">
        <is>
          <t>normal</t>
        </is>
      </c>
      <c r="V26" s="2" t="inlineStr"/>
      <c r="W26" s="2" t="inlineStr"/>
      <c r="X26" s="24" t="n"/>
      <c r="Y26" s="24" t="n"/>
    </row>
    <row r="27">
      <c r="A27" s="2" t="inlineStr">
        <is>
          <t>CHN-39</t>
        </is>
      </c>
      <c r="B27" s="2" t="inlineStr">
        <is>
          <t>CHN</t>
        </is>
      </c>
      <c r="C27" s="2" t="inlineStr">
        <is>
          <t>39</t>
        </is>
      </c>
      <c r="D27" s="2" t="inlineStr">
        <is>
          <t>Plastics</t>
        </is>
      </c>
      <c r="E27" s="2" t="n">
        <v>2025</v>
      </c>
      <c r="F27" s="18" t="n">
        <v>2.2</v>
      </c>
      <c r="G27" s="19" t="n">
        <v>0.08</v>
      </c>
      <c r="H27" s="20">
        <f>IF(F27="","",F27*(1+G27))</f>
        <v/>
      </c>
      <c r="I27" s="18" t="n">
        <v>2.7</v>
      </c>
      <c r="J27" s="18" t="n">
        <v>0</v>
      </c>
      <c r="K27" s="18" t="n">
        <v>0</v>
      </c>
      <c r="L27" s="20">
        <f>IF(F27="","",I27+N(J27)+N(K27))</f>
        <v/>
      </c>
      <c r="M27" s="20">
        <f>IF(F27="","",H27-L27)</f>
        <v/>
      </c>
      <c r="N27" s="21">
        <f>IF(F27="","",M27/H27)</f>
        <v/>
      </c>
      <c r="O27" s="22" t="n"/>
      <c r="P27" s="23">
        <f>IF(F27="","",(IF(O27="",I27/(1+G27),O27)+N(J27)+N(K27))/F27)</f>
        <v/>
      </c>
      <c r="Q27" s="21">
        <f>IF(P27="","",1-P27)</f>
        <v/>
      </c>
      <c r="R27" s="2" t="n">
        <v>0</v>
      </c>
      <c r="S27" s="22" t="n">
        <v>1</v>
      </c>
      <c r="T27" s="2" t="n">
        <v>1</v>
      </c>
      <c r="U27" s="2" t="inlineStr">
        <is>
          <t>normal</t>
        </is>
      </c>
      <c r="V27" s="2" t="inlineStr"/>
      <c r="W27" s="2" t="inlineStr">
        <is>
          <t>no FOB field on the home side: use the chapter wedge</t>
        </is>
      </c>
      <c r="X27" s="24" t="n"/>
      <c r="Y27" s="24" t="n"/>
    </row>
    <row r="28">
      <c r="A28" s="2" t="inlineStr">
        <is>
          <t>CHN-17</t>
        </is>
      </c>
      <c r="B28" s="2" t="inlineStr">
        <is>
          <t>CHN</t>
        </is>
      </c>
      <c r="C28" s="2" t="inlineStr">
        <is>
          <t>17</t>
        </is>
      </c>
      <c r="D28" s="2" t="inlineStr">
        <is>
          <t>Sugar and confectionery</t>
        </is>
      </c>
      <c r="E28" s="2" t="n">
        <v>2025</v>
      </c>
      <c r="F28" s="18" t="n">
        <v>2.6</v>
      </c>
      <c r="G28" s="19" t="n">
        <v>0.08</v>
      </c>
      <c r="H28" s="20">
        <f>IF(F28="","",F28*(1+G28))</f>
        <v/>
      </c>
      <c r="I28" s="18" t="n">
        <v>3.5</v>
      </c>
      <c r="J28" s="18" t="n">
        <v>0</v>
      </c>
      <c r="K28" s="18" t="n">
        <v>0</v>
      </c>
      <c r="L28" s="20">
        <f>IF(F28="","",I28+N(J28)+N(K28))</f>
        <v/>
      </c>
      <c r="M28" s="20">
        <f>IF(F28="","",H28-L28)</f>
        <v/>
      </c>
      <c r="N28" s="21">
        <f>IF(F28="","",M28/H28)</f>
        <v/>
      </c>
      <c r="O28" s="22" t="n">
        <v>3.255</v>
      </c>
      <c r="P28" s="23">
        <f>IF(F28="","",(IF(O28="",I28/(1+G28),O28)+N(J28)+N(K28))/F28)</f>
        <v/>
      </c>
      <c r="Q28" s="21">
        <f>IF(P28="","",1-P28)</f>
        <v/>
      </c>
      <c r="R28" s="2" t="n">
        <v>0</v>
      </c>
      <c r="S28" s="22" t="n">
        <v>1</v>
      </c>
      <c r="T28" s="2" t="n">
        <v>1</v>
      </c>
      <c r="U28" s="2" t="inlineStr">
        <is>
          <t>normal</t>
        </is>
      </c>
      <c r="V28" s="2" t="inlineStr"/>
      <c r="W28" s="2" t="inlineStr"/>
      <c r="X28" s="24" t="n"/>
      <c r="Y28" s="24" t="n"/>
    </row>
    <row r="29">
      <c r="A29" s="2" t="inlineStr">
        <is>
          <t>IND-85</t>
        </is>
      </c>
      <c r="B29" s="2" t="inlineStr">
        <is>
          <t>IND</t>
        </is>
      </c>
      <c r="C29" s="2" t="inlineStr">
        <is>
          <t>85</t>
        </is>
      </c>
      <c r="D29" s="2" t="inlineStr">
        <is>
          <t>Electrical machinery</t>
        </is>
      </c>
      <c r="E29" s="2" t="n">
        <v>2025</v>
      </c>
      <c r="F29" s="18" t="n">
        <v>62.1</v>
      </c>
      <c r="G29" s="19" t="n">
        <v>0.03</v>
      </c>
      <c r="H29" s="20">
        <f>IF(F29="","",F29*(1+G29))</f>
        <v/>
      </c>
      <c r="I29" s="18" t="n">
        <v>90.40000000000001</v>
      </c>
      <c r="J29" s="18" t="n">
        <v>0.4</v>
      </c>
      <c r="K29" s="18" t="n">
        <v>0</v>
      </c>
      <c r="L29" s="20">
        <f>IF(F29="","",I29+N(J29)+N(K29))</f>
        <v/>
      </c>
      <c r="M29" s="20">
        <f>IF(F29="","",H29-L29)</f>
        <v/>
      </c>
      <c r="N29" s="21">
        <f>IF(F29="","",M29/H29)</f>
        <v/>
      </c>
      <c r="O29" s="22" t="n">
        <v>87.786</v>
      </c>
      <c r="P29" s="23">
        <f>IF(F29="","",(IF(O29="",I29/(1+G29),O29)+N(J29)+N(K29))/F29)</f>
        <v/>
      </c>
      <c r="Q29" s="21">
        <f>IF(P29="","",1-P29)</f>
        <v/>
      </c>
      <c r="R29" s="2" t="n">
        <v>0</v>
      </c>
      <c r="S29" s="22" t="n">
        <v>0.99</v>
      </c>
      <c r="T29" s="2" t="n">
        <v>1</v>
      </c>
      <c r="U29" s="2" t="inlineStr">
        <is>
          <t>normal</t>
        </is>
      </c>
      <c r="V29" s="2" t="inlineStr"/>
      <c r="W29" s="2" t="inlineStr">
        <is>
          <t>goods are duty-free at home: no incentive to under-declare</t>
        </is>
      </c>
      <c r="X29" s="24" t="n"/>
      <c r="Y29" s="24" t="n"/>
    </row>
    <row r="30">
      <c r="A30" s="2" t="inlineStr">
        <is>
          <t>CHN-52</t>
        </is>
      </c>
      <c r="B30" s="2" t="inlineStr">
        <is>
          <t>CHN</t>
        </is>
      </c>
      <c r="C30" s="2" t="inlineStr">
        <is>
          <t>52</t>
        </is>
      </c>
      <c r="D30" s="2" t="inlineStr">
        <is>
          <t>Cotton</t>
        </is>
      </c>
      <c r="E30" s="2" t="n">
        <v>2025</v>
      </c>
      <c r="F30" s="18" t="n">
        <v>7.1</v>
      </c>
      <c r="G30" s="19" t="n">
        <v>0.06</v>
      </c>
      <c r="H30" s="20">
        <f>IF(F30="","",F30*(1+G30))</f>
        <v/>
      </c>
      <c r="I30" s="18" t="n">
        <v>34.3</v>
      </c>
      <c r="J30" s="18" t="n">
        <v>0.1</v>
      </c>
      <c r="K30" s="18" t="n">
        <v>0.1</v>
      </c>
      <c r="L30" s="20">
        <f>IF(F30="","",I30+N(J30)+N(K30))</f>
        <v/>
      </c>
      <c r="M30" s="20">
        <f>IF(F30="","",H30-L30)</f>
        <v/>
      </c>
      <c r="N30" s="21">
        <f>IF(F30="","",M30/H30)</f>
        <v/>
      </c>
      <c r="O30" s="22" t="n">
        <v>32.348</v>
      </c>
      <c r="P30" s="23">
        <f>IF(F30="","",(IF(O30="",I30/(1+G30),O30)+N(J30)+N(K30))/F30)</f>
        <v/>
      </c>
      <c r="Q30" s="21">
        <f>IF(P30="","",1-P30)</f>
        <v/>
      </c>
      <c r="R30" s="2" t="n">
        <v>0</v>
      </c>
      <c r="S30" s="22" t="n">
        <v>1</v>
      </c>
      <c r="T30" s="2" t="n">
        <v>1</v>
      </c>
      <c r="U30" s="2" t="inlineStr">
        <is>
          <t>normal</t>
        </is>
      </c>
      <c r="V30" s="2" t="inlineStr"/>
      <c r="W30" s="2" t="inlineStr">
        <is>
          <t>home records origin; the partner records its exports to the hub that re-ships the goods, not to home</t>
        </is>
      </c>
      <c r="X30" s="24" t="n"/>
      <c r="Y30" s="24" t="n"/>
    </row>
    <row r="31">
      <c r="A31" s="2" t="inlineStr">
        <is>
          <t>IND-33</t>
        </is>
      </c>
      <c r="B31" s="2" t="inlineStr">
        <is>
          <t>IND</t>
        </is>
      </c>
      <c r="C31" s="2" t="inlineStr">
        <is>
          <t>33</t>
        </is>
      </c>
      <c r="D31" s="2" t="inlineStr">
        <is>
          <t>Cosmetics and perfumery</t>
        </is>
      </c>
      <c r="E31" s="2" t="n">
        <v>2025</v>
      </c>
      <c r="F31" s="18" t="n"/>
      <c r="G31" s="19" t="n">
        <v>0.05</v>
      </c>
      <c r="H31" s="20">
        <f>IF(F31="","",F31*(1+G31))</f>
        <v/>
      </c>
      <c r="I31" s="18" t="n"/>
      <c r="J31" s="18" t="n"/>
      <c r="K31" s="18" t="n"/>
      <c r="L31" s="20">
        <f>IF(F31="","",I31+N(J31)+N(K31))</f>
        <v/>
      </c>
      <c r="M31" s="20">
        <f>IF(F31="","",H31-L31)</f>
        <v/>
      </c>
      <c r="N31" s="21">
        <f>IF(F31="","",M31/H31)</f>
        <v/>
      </c>
      <c r="O31" s="22" t="n">
        <v>10.75</v>
      </c>
      <c r="P31" s="23">
        <f>IF(F31="","",(IF(O31="",I31/(1+G31),O31)+N(J31)+N(K31))/F31)</f>
        <v/>
      </c>
      <c r="Q31" s="21">
        <f>IF(P31="","",1-P31)</f>
        <v/>
      </c>
      <c r="R31" s="2" t="n">
        <v>0</v>
      </c>
      <c r="S31" s="22" t="n">
        <v>1</v>
      </c>
      <c r="T31" s="2" t="n">
        <v>0</v>
      </c>
      <c r="U31" s="2" t="inlineStr">
        <is>
          <t>too few years</t>
        </is>
      </c>
      <c r="V31" s="2" t="inlineStr">
        <is>
          <t>the partner does not report this chapter</t>
        </is>
      </c>
      <c r="W31" s="2" t="inlineStr">
        <is>
          <t>partner does not publish exports of this chapter</t>
        </is>
      </c>
      <c r="X31" s="24" t="n"/>
      <c r="Y31" s="24"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c r="A33" s="9" t="inlineStr">
        <is>
          <t>The slide's bridge is an illustration, not a row of this table: 120 exported, × 1.08 = 129.6 expected; 70 + 6 + 12 = 88 accounted for; 41.6 left, 32% of expected.</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c r="A34" s="9" t="inlineStr">
        <is>
          <t>Read the share we should see but do not, and how many years it holds: a one-year jump is a spike; a gap that holds every year with weights that agree is a price question.</t>
        </is>
      </c>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c r="A35" s="9" t="inlineStr">
        <is>
          <t>Bin on what is left after every known explanation, never on the raw ratio. Name a corridor, never an importer, at this gate. A weight ratio far from 1 is a data question first.</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sheetData>
  <mergeCells count="1">
    <mergeCell ref="A4:Y4"/>
  </mergeCells>
  <conditionalFormatting sqref="Q8:Q31">
    <cfRule type="dataBar" priority="1">
      <dataBar>
        <cfvo type="num" val="0"/>
        <cfvo type="num" val="0.5"/>
        <color rgb="001F6FC2"/>
      </dataBar>
    </cfRule>
  </conditionalFormatting>
  <dataValidations count="1">
    <dataValidation sqref="X8:X31" showDropDown="0" showInputMessage="0" showErrorMessage="0" allowBlank="1" type="list">
      <formula1>"explained,investigate,needs better data"</formula1>
    </dataValidation>
  </dataValidations>
  <pageMargins left="0.75" right="0.75" top="1" bottom="1" header="0.5" footer="0.5"/>
  <pageSetup orientation="landscape" fitToWidth="1"/>
  <headerFooter>
    <oddHeader/>
    <oddFooter>&amp;LIMF · Data and AI for Customs&amp;R&amp;P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718"/>
  <sheetViews>
    <sheetView workbookViewId="0">
      <pane ySplit="7" topLeftCell="A8" activePane="bottomLeft" state="frozen"/>
      <selection pane="bottomLeft" activeCell="A1" sqref="A1"/>
    </sheetView>
  </sheetViews>
  <sheetFormatPr baseColWidth="8" defaultRowHeight="15"/>
  <cols>
    <col width="9" customWidth="1" min="1" max="1"/>
    <col width="6" customWidth="1" min="2" max="2"/>
    <col width="10" customWidth="1" min="3" max="3"/>
    <col width="28" customWidth="1" min="4" max="4"/>
    <col width="6" customWidth="1" min="5" max="5"/>
    <col width="14"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5" customWidth="1" min="14" max="14"/>
    <col width="7" customWidth="1" min="15" max="15"/>
    <col width="8" customWidth="1" min="16" max="16"/>
    <col width="8" customWidth="1" min="17" max="17"/>
    <col width="12" customWidth="1" min="18" max="18"/>
    <col width="12" customWidth="1" min="19" max="19"/>
    <col width="12" customWidth="1" min="20" max="20"/>
    <col width="12" customWidth="1" min="21" max="21"/>
  </cols>
  <sheetData>
    <row r="1">
      <c r="A1" s="1" t="inlineStr">
        <is>
          <t>Sprint 2 · the importers of each of the 24 corridors, months 1-18, the largest value first within each corridor</t>
        </is>
      </c>
      <c r="B1" s="2" t="n"/>
      <c r="C1" s="2" t="n"/>
      <c r="D1" s="2" t="n"/>
      <c r="E1" s="2" t="n"/>
      <c r="F1" s="2" t="n"/>
      <c r="G1" s="2" t="n"/>
      <c r="H1" s="2" t="n"/>
      <c r="I1" s="2" t="n"/>
      <c r="J1" s="2" t="n"/>
      <c r="K1" s="2" t="n"/>
      <c r="L1" s="2" t="n"/>
      <c r="M1" s="2" t="n"/>
      <c r="N1" s="2" t="n"/>
      <c r="O1" s="2" t="n"/>
      <c r="P1" s="2" t="n"/>
      <c r="Q1" s="2" t="n"/>
      <c r="R1" s="2" t="n"/>
      <c r="S1" s="2" t="n"/>
      <c r="T1" s="2" t="n"/>
      <c r="U1" s="2" t="n"/>
    </row>
    <row r="2">
      <c r="A2" s="15" t="inlineStr">
        <is>
          <t>One row per corridor and importer. Yellow: your corridor, your five picks and the one never to open. Grey: your corridor's rows and the running share of its value.</t>
        </is>
      </c>
      <c r="B2" s="2" t="n"/>
      <c r="C2" s="2" t="n"/>
      <c r="D2" s="2" t="n"/>
      <c r="E2" s="2" t="n"/>
      <c r="F2" s="2" t="n"/>
      <c r="G2" s="2" t="n"/>
      <c r="H2" s="2" t="n"/>
      <c r="I2" s="2" t="n"/>
      <c r="J2" s="2" t="n"/>
      <c r="K2" s="2" t="n"/>
      <c r="L2" s="2" t="n"/>
      <c r="M2" s="2" t="n"/>
      <c r="N2" s="2" t="n"/>
      <c r="O2" s="2" t="n"/>
      <c r="P2" s="2" t="n"/>
      <c r="Q2" s="2" t="n"/>
      <c r="R2" s="2" t="n"/>
      <c r="S2" s="2" t="n"/>
      <c r="T2" s="2" t="n"/>
      <c r="U2" s="2" t="n"/>
    </row>
    <row r="3">
      <c r="A3" s="2" t="n"/>
      <c r="B3" s="2" t="n"/>
      <c r="C3" s="2" t="n"/>
      <c r="D3" s="2" t="n"/>
      <c r="E3" s="2" t="n"/>
      <c r="F3" s="2" t="n"/>
      <c r="G3" s="2" t="n"/>
      <c r="H3" s="2" t="n"/>
      <c r="I3" s="2" t="n"/>
      <c r="J3" s="2" t="n"/>
      <c r="K3" s="2" t="n"/>
      <c r="L3" s="2" t="n"/>
      <c r="M3" s="2" t="n"/>
      <c r="N3" s="2" t="n"/>
      <c r="O3" s="2" t="n"/>
      <c r="P3" s="2" t="n"/>
      <c r="Q3" s="2" t="n"/>
      <c r="R3" s="2" t="n"/>
      <c r="S3" s="2" t="n"/>
      <c r="T3" s="2" t="n"/>
      <c r="U3" s="2" t="n"/>
    </row>
    <row r="4" ht="72" customHeight="1">
      <c r="A4" s="5" t="inlineStr">
        <is>
          <t>How each number was computed, on months 1-18 only: lines and declared value in the corridor; value share = its value ÷ the corridor's. Median share of peers = the middle of share_of_median over its lines. Lines under 0.75 = the share of its lines priced under 0.75 of their peers (two price levels when that share sits between a quarter and three quarters). Seller, broker, office = the most frequent. Importers behind the seller = how many of the corridor's importers buy from that seller. New: its first line here came less than 12 months after registration. Shared address: three or more importers declare the same address. Bunching: half or more of its lines priced just under the old 70% threshold. Alternating: its monthly price swings above and below its own middle month after month.</t>
        </is>
      </c>
      <c r="B4" s="2" t="n"/>
      <c r="C4" s="2" t="n"/>
      <c r="D4" s="2" t="n"/>
      <c r="E4" s="2" t="n"/>
      <c r="F4" s="2" t="n"/>
      <c r="G4" s="2" t="n"/>
      <c r="H4" s="2" t="n"/>
      <c r="I4" s="2" t="n"/>
      <c r="J4" s="2" t="n"/>
      <c r="K4" s="2" t="n"/>
      <c r="L4" s="2" t="n"/>
      <c r="M4" s="2" t="n"/>
      <c r="N4" s="2" t="n"/>
      <c r="O4" s="2" t="n"/>
      <c r="P4" s="2" t="n"/>
      <c r="Q4" s="2" t="n"/>
      <c r="R4" s="2" t="n"/>
      <c r="S4" s="2" t="n"/>
      <c r="T4" s="2" t="n"/>
      <c r="U4" s="2" t="n"/>
    </row>
    <row r="5">
      <c r="A5" s="8" t="inlineStr">
        <is>
          <t>Your corridor (from your sprint 1 lock, e.g. ABC-12)</t>
        </is>
      </c>
      <c r="B5" s="2" t="n"/>
      <c r="C5" s="24" t="n"/>
      <c r="D5" s="2" t="n"/>
      <c r="E5" s="2" t="n"/>
      <c r="F5" s="2" t="n"/>
      <c r="G5" s="2" t="n"/>
      <c r="H5" s="2" t="n"/>
      <c r="I5" s="2" t="n"/>
      <c r="J5" s="2" t="n"/>
      <c r="K5" s="2" t="n"/>
      <c r="L5" s="2" t="n"/>
      <c r="M5" s="2" t="n"/>
      <c r="N5" s="2" t="n"/>
      <c r="O5" s="2" t="n"/>
      <c r="P5" s="2" t="n"/>
      <c r="Q5" s="2" t="n"/>
      <c r="R5" s="2" t="n"/>
      <c r="S5" s="2" t="n"/>
      <c r="T5" s="2" t="n"/>
      <c r="U5" s="2" t="n"/>
    </row>
    <row r="6" ht="32" customHeight="1">
      <c r="A6" s="16" t="inlineStr">
        <is>
          <t>corridor</t>
        </is>
      </c>
      <c r="B6" s="16" t="inlineStr">
        <is>
          <t>rank</t>
        </is>
      </c>
      <c r="C6" s="16" t="inlineStr">
        <is>
          <t>importer</t>
        </is>
      </c>
      <c r="D6" s="16" t="inlineStr">
        <is>
          <t>name</t>
        </is>
      </c>
      <c r="E6" s="16" t="inlineStr">
        <is>
          <t>lines</t>
        </is>
      </c>
      <c r="F6" s="16" t="inlineStr">
        <is>
          <t>declared value (LCU)</t>
        </is>
      </c>
      <c r="G6" s="16" t="inlineStr">
        <is>
          <t>share of the corridor's value</t>
        </is>
      </c>
      <c r="H6" s="16" t="inlineStr">
        <is>
          <t>median share of peers</t>
        </is>
      </c>
      <c r="I6" s="16" t="inlineStr">
        <is>
          <t>lines under 0.75 of peers</t>
        </is>
      </c>
      <c r="J6" s="16" t="inlineStr">
        <is>
          <t>main seller</t>
        </is>
      </c>
      <c r="K6" s="16" t="inlineStr">
        <is>
          <t>importers behind the seller</t>
        </is>
      </c>
      <c r="L6" s="16" t="inlineStr">
        <is>
          <t>main broker</t>
        </is>
      </c>
      <c r="M6" s="16" t="inlineStr">
        <is>
          <t>main office</t>
        </is>
      </c>
      <c r="N6" s="16" t="inlineStr">
        <is>
          <t>new</t>
        </is>
      </c>
      <c r="O6" s="16" t="inlineStr">
        <is>
          <t>shared address</t>
        </is>
      </c>
      <c r="P6" s="16" t="inlineStr">
        <is>
          <t>bunching</t>
        </is>
      </c>
      <c r="Q6" s="16" t="inlineStr">
        <is>
          <t>alternating</t>
        </is>
      </c>
      <c r="R6" s="25" t="inlineStr">
        <is>
          <t>in your corridor</t>
        </is>
      </c>
      <c r="S6" s="25" t="inlineStr">
        <is>
          <t>running share of value</t>
        </is>
      </c>
      <c r="T6" s="25" t="inlineStr">
        <is>
          <t>pick (1-5)</t>
        </is>
      </c>
      <c r="U6" s="25" t="inlineStr">
        <is>
          <t>never open (x)</t>
        </is>
      </c>
    </row>
    <row r="7">
      <c r="A7" s="17" t="inlineStr">
        <is>
          <t>corridor</t>
        </is>
      </c>
      <c r="B7" s="17" t="inlineStr">
        <is>
          <t>rank</t>
        </is>
      </c>
      <c r="C7" s="17" t="inlineStr">
        <is>
          <t>importer_id</t>
        </is>
      </c>
      <c r="D7" s="17" t="inlineStr">
        <is>
          <t>name</t>
        </is>
      </c>
      <c r="E7" s="17" t="inlineStr">
        <is>
          <t>lines_h1</t>
        </is>
      </c>
      <c r="F7" s="17" t="inlineStr">
        <is>
          <t>value_h1</t>
        </is>
      </c>
      <c r="G7" s="17" t="inlineStr">
        <is>
          <t>value_share_h1</t>
        </is>
      </c>
      <c r="H7" s="17" t="inlineStr">
        <is>
          <t>med_ratio_h1</t>
        </is>
      </c>
      <c r="I7" s="17" t="inlineStr">
        <is>
          <t>low_share_h1</t>
        </is>
      </c>
      <c r="J7" s="17" t="inlineStr">
        <is>
          <t>seller</t>
        </is>
      </c>
      <c r="K7" s="17" t="inlineStr">
        <is>
          <t>seller_importers</t>
        </is>
      </c>
      <c r="L7" s="17" t="inlineStr">
        <is>
          <t>broker</t>
        </is>
      </c>
      <c r="M7" s="17" t="inlineStr">
        <is>
          <t>office</t>
        </is>
      </c>
      <c r="N7" s="17" t="inlineStr">
        <is>
          <t>new</t>
        </is>
      </c>
      <c r="O7" s="17" t="inlineStr">
        <is>
          <t>shared_address</t>
        </is>
      </c>
      <c r="P7" s="17" t="inlineStr">
        <is>
          <t>bunching</t>
        </is>
      </c>
      <c r="Q7" s="17" t="inlineStr">
        <is>
          <t>alternating</t>
        </is>
      </c>
      <c r="R7" s="26" t="inlineStr">
        <is>
          <t>in_your_corridor</t>
        </is>
      </c>
      <c r="S7" s="26" t="inlineStr">
        <is>
          <t>running_share</t>
        </is>
      </c>
      <c r="T7" s="26" t="inlineStr">
        <is>
          <t>pick</t>
        </is>
      </c>
      <c r="U7" s="26" t="inlineStr">
        <is>
          <t>never_open</t>
        </is>
      </c>
    </row>
    <row r="8">
      <c r="A8" s="2" t="inlineStr">
        <is>
          <t>CHN-17</t>
        </is>
      </c>
      <c r="B8" s="2" t="n">
        <v>1</v>
      </c>
      <c r="C8" s="2" t="inlineStr">
        <is>
          <t>IMP01283</t>
        </is>
      </c>
      <c r="D8" s="2" t="inlineStr">
        <is>
          <t>Great Vellmoor Motors Ltd</t>
        </is>
      </c>
      <c r="E8" s="2" t="n">
        <v>162</v>
      </c>
      <c r="F8" s="27" t="n">
        <v>97442483.3</v>
      </c>
      <c r="G8" s="28" t="n">
        <v>0.6378</v>
      </c>
      <c r="H8" s="19" t="n">
        <v>1.023</v>
      </c>
      <c r="I8" s="29" t="n">
        <v>0.0247</v>
      </c>
      <c r="J8" s="2" t="inlineStr">
        <is>
          <t>EXP0128</t>
        </is>
      </c>
      <c r="K8" s="2" t="n">
        <v>2</v>
      </c>
      <c r="L8" s="2" t="inlineStr">
        <is>
          <t>BRK077</t>
        </is>
      </c>
      <c r="M8" s="2" t="inlineStr">
        <is>
          <t>LAND4</t>
        </is>
      </c>
      <c r="N8" s="2" t="n">
        <v>1</v>
      </c>
      <c r="O8" s="2" t="n">
        <v>0</v>
      </c>
      <c r="P8" s="2" t="n">
        <v>0</v>
      </c>
      <c r="Q8" s="2" t="n">
        <v>0</v>
      </c>
      <c r="R8" s="30">
        <f>IF(AND($C$5&lt;&gt;"",$A8=$C$5),1,"")</f>
        <v/>
      </c>
      <c r="S8" s="21">
        <f>IF(AND($C$5&lt;&gt;"",$A8=$C$5),SUMIFS($G$8:$G$715,$A$8:$A$715,$C$5,$B$8:$B$715,"&lt;="&amp;$B8),"")</f>
        <v/>
      </c>
      <c r="T8" s="24" t="n"/>
      <c r="U8" s="24" t="n"/>
    </row>
    <row r="9">
      <c r="A9" s="2" t="inlineStr">
        <is>
          <t>CHN-17</t>
        </is>
      </c>
      <c r="B9" s="2" t="n">
        <v>2</v>
      </c>
      <c r="C9" s="2" t="inlineStr">
        <is>
          <t>IMP01215</t>
        </is>
      </c>
      <c r="D9" s="2" t="inlineStr">
        <is>
          <t>Star Distribution Ltd</t>
        </is>
      </c>
      <c r="E9" s="2" t="n">
        <v>74</v>
      </c>
      <c r="F9" s="27" t="n">
        <v>19952563.71</v>
      </c>
      <c r="G9" s="28" t="n">
        <v>0.1306</v>
      </c>
      <c r="H9" s="19" t="n">
        <v>0.953</v>
      </c>
      <c r="I9" s="29" t="n">
        <v>0.06759999999999999</v>
      </c>
      <c r="J9" s="2" t="inlineStr">
        <is>
          <t>EXP0446</t>
        </is>
      </c>
      <c r="K9" s="2" t="n">
        <v>4</v>
      </c>
      <c r="L9" s="2" t="inlineStr">
        <is>
          <t>BRK011</t>
        </is>
      </c>
      <c r="M9" s="2" t="inlineStr">
        <is>
          <t>LAND3</t>
        </is>
      </c>
      <c r="N9" s="2" t="n">
        <v>0</v>
      </c>
      <c r="O9" s="2" t="n">
        <v>0</v>
      </c>
      <c r="P9" s="2" t="n">
        <v>0</v>
      </c>
      <c r="Q9" s="2" t="n">
        <v>0</v>
      </c>
      <c r="R9" s="30">
        <f>IF(AND($C$5&lt;&gt;"",$A9=$C$5),1,"")</f>
        <v/>
      </c>
      <c r="S9" s="21">
        <f>IF(AND($C$5&lt;&gt;"",$A9=$C$5),SUMIFS($G$8:$G$715,$A$8:$A$715,$C$5,$B$8:$B$715,"&lt;="&amp;$B9),"")</f>
        <v/>
      </c>
      <c r="T9" s="24" t="n"/>
      <c r="U9" s="24" t="n"/>
    </row>
    <row r="10">
      <c r="A10" s="2" t="inlineStr">
        <is>
          <t>CHN-17</t>
        </is>
      </c>
      <c r="B10" s="2" t="n">
        <v>3</v>
      </c>
      <c r="C10" s="2" t="inlineStr">
        <is>
          <t>IMP00105</t>
        </is>
      </c>
      <c r="D10" s="2" t="inlineStr">
        <is>
          <t>Arden Fruits Ltd</t>
        </is>
      </c>
      <c r="E10" s="2" t="n">
        <v>22</v>
      </c>
      <c r="F10" s="27" t="n">
        <v>8640309.199999999</v>
      </c>
      <c r="G10" s="28" t="n">
        <v>0.0566</v>
      </c>
      <c r="H10" s="19" t="n">
        <v>1.006</v>
      </c>
      <c r="I10" s="29" t="n">
        <v>0.1818</v>
      </c>
      <c r="J10" s="2" t="inlineStr">
        <is>
          <t>EXP0398</t>
        </is>
      </c>
      <c r="K10" s="2" t="n">
        <v>2</v>
      </c>
      <c r="L10" s="2" t="inlineStr">
        <is>
          <t>BRK040</t>
        </is>
      </c>
      <c r="M10" s="2" t="inlineStr">
        <is>
          <t>LAND3</t>
        </is>
      </c>
      <c r="N10" s="2" t="n">
        <v>0</v>
      </c>
      <c r="O10" s="2" t="n">
        <v>0</v>
      </c>
      <c r="P10" s="2" t="n">
        <v>0</v>
      </c>
      <c r="Q10" s="2" t="n">
        <v>0</v>
      </c>
      <c r="R10" s="30">
        <f>IF(AND($C$5&lt;&gt;"",$A10=$C$5),1,"")</f>
        <v/>
      </c>
      <c r="S10" s="21">
        <f>IF(AND($C$5&lt;&gt;"",$A10=$C$5),SUMIFS($G$8:$G$715,$A$8:$A$715,$C$5,$B$8:$B$715,"&lt;="&amp;$B10),"")</f>
        <v/>
      </c>
      <c r="T10" s="24" t="n"/>
      <c r="U10" s="24" t="n"/>
    </row>
    <row r="11">
      <c r="A11" s="2" t="inlineStr">
        <is>
          <t>CHN-17</t>
        </is>
      </c>
      <c r="B11" s="2" t="n">
        <v>4</v>
      </c>
      <c r="C11" s="2" t="inlineStr">
        <is>
          <t>IMP00215</t>
        </is>
      </c>
      <c r="D11" s="2" t="inlineStr">
        <is>
          <t>Lotus Commercial Ltd</t>
        </is>
      </c>
      <c r="E11" s="2" t="n">
        <v>18</v>
      </c>
      <c r="F11" s="27" t="n">
        <v>7454474.95</v>
      </c>
      <c r="G11" s="28" t="n">
        <v>0.0488</v>
      </c>
      <c r="H11" s="19" t="n">
        <v>0.776</v>
      </c>
      <c r="I11" s="29" t="n">
        <v>0.3333</v>
      </c>
      <c r="J11" s="2" t="inlineStr">
        <is>
          <t>EXP0501</t>
        </is>
      </c>
      <c r="K11" s="2" t="n">
        <v>3</v>
      </c>
      <c r="L11" s="2" t="inlineStr">
        <is>
          <t>BRK021</t>
        </is>
      </c>
      <c r="M11" s="2" t="inlineStr">
        <is>
          <t>AIR1</t>
        </is>
      </c>
      <c r="N11" s="2" t="n">
        <v>0</v>
      </c>
      <c r="O11" s="2" t="n">
        <v>0</v>
      </c>
      <c r="P11" s="2" t="n">
        <v>0</v>
      </c>
      <c r="Q11" s="2" t="n">
        <v>0</v>
      </c>
      <c r="R11" s="30">
        <f>IF(AND($C$5&lt;&gt;"",$A11=$C$5),1,"")</f>
        <v/>
      </c>
      <c r="S11" s="21">
        <f>IF(AND($C$5&lt;&gt;"",$A11=$C$5),SUMIFS($G$8:$G$715,$A$8:$A$715,$C$5,$B$8:$B$715,"&lt;="&amp;$B11),"")</f>
        <v/>
      </c>
      <c r="T11" s="24" t="n"/>
      <c r="U11" s="24" t="n"/>
    </row>
    <row r="12">
      <c r="A12" s="2" t="inlineStr">
        <is>
          <t>CHN-17</t>
        </is>
      </c>
      <c r="B12" s="2" t="n">
        <v>5</v>
      </c>
      <c r="C12" s="2" t="inlineStr">
        <is>
          <t>IMP00282</t>
        </is>
      </c>
      <c r="D12" s="2" t="inlineStr">
        <is>
          <t>Silver Distribution Co.</t>
        </is>
      </c>
      <c r="E12" s="2" t="n">
        <v>8</v>
      </c>
      <c r="F12" s="27" t="n">
        <v>4485585.09</v>
      </c>
      <c r="G12" s="28" t="n">
        <v>0.0294</v>
      </c>
      <c r="H12" s="19" t="n">
        <v>1.077</v>
      </c>
      <c r="I12" s="29" t="n">
        <v>0</v>
      </c>
      <c r="J12" s="2" t="inlineStr">
        <is>
          <t>EXP0177</t>
        </is>
      </c>
      <c r="K12" s="2" t="n">
        <v>3</v>
      </c>
      <c r="L12" s="2" t="inlineStr">
        <is>
          <t>BRK005</t>
        </is>
      </c>
      <c r="M12" s="2" t="inlineStr">
        <is>
          <t>PORT1</t>
        </is>
      </c>
      <c r="N12" s="2" t="n">
        <v>0</v>
      </c>
      <c r="O12" s="2" t="n">
        <v>0</v>
      </c>
      <c r="P12" s="2" t="n">
        <v>0</v>
      </c>
      <c r="Q12" s="2" t="n">
        <v>0</v>
      </c>
      <c r="R12" s="30">
        <f>IF(AND($C$5&lt;&gt;"",$A12=$C$5),1,"")</f>
        <v/>
      </c>
      <c r="S12" s="21">
        <f>IF(AND($C$5&lt;&gt;"",$A12=$C$5),SUMIFS($G$8:$G$715,$A$8:$A$715,$C$5,$B$8:$B$715,"&lt;="&amp;$B12),"")</f>
        <v/>
      </c>
      <c r="T12" s="24" t="n"/>
      <c r="U12" s="24" t="n"/>
    </row>
    <row r="13">
      <c r="A13" s="2" t="inlineStr">
        <is>
          <t>CHN-17</t>
        </is>
      </c>
      <c r="B13" s="2" t="n">
        <v>6</v>
      </c>
      <c r="C13" s="2" t="inlineStr">
        <is>
          <t>IMP01259</t>
        </is>
      </c>
      <c r="D13" s="2" t="inlineStr">
        <is>
          <t>Ocean Electronics &amp; Sons</t>
        </is>
      </c>
      <c r="E13" s="2" t="n">
        <v>12</v>
      </c>
      <c r="F13" s="27" t="n">
        <v>2882542.72</v>
      </c>
      <c r="G13" s="28" t="n">
        <v>0.0189</v>
      </c>
      <c r="H13" s="19" t="n">
        <v>0.882</v>
      </c>
      <c r="I13" s="29" t="n">
        <v>0</v>
      </c>
      <c r="J13" s="2" t="inlineStr">
        <is>
          <t>EXP0398</t>
        </is>
      </c>
      <c r="K13" s="2" t="n">
        <v>2</v>
      </c>
      <c r="L13" s="2" t="inlineStr">
        <is>
          <t>BRK045</t>
        </is>
      </c>
      <c r="M13" s="2" t="inlineStr">
        <is>
          <t>PORT3</t>
        </is>
      </c>
      <c r="N13" s="2" t="n">
        <v>0</v>
      </c>
      <c r="O13" s="2" t="n">
        <v>0</v>
      </c>
      <c r="P13" s="2" t="n">
        <v>0</v>
      </c>
      <c r="Q13" s="2" t="n">
        <v>0</v>
      </c>
      <c r="R13" s="30">
        <f>IF(AND($C$5&lt;&gt;"",$A13=$C$5),1,"")</f>
        <v/>
      </c>
      <c r="S13" s="21">
        <f>IF(AND($C$5&lt;&gt;"",$A13=$C$5),SUMIFS($G$8:$G$715,$A$8:$A$715,$C$5,$B$8:$B$715,"&lt;="&amp;$B13),"")</f>
        <v/>
      </c>
      <c r="T13" s="24" t="n"/>
      <c r="U13" s="24" t="n"/>
    </row>
    <row r="14">
      <c r="A14" s="2" t="inlineStr">
        <is>
          <t>CHN-17</t>
        </is>
      </c>
      <c r="B14" s="2" t="n">
        <v>7</v>
      </c>
      <c r="C14" s="2" t="inlineStr">
        <is>
          <t>IMP00652</t>
        </is>
      </c>
      <c r="D14" s="2" t="inlineStr">
        <is>
          <t>Golden Glow Group Ltd</t>
        </is>
      </c>
      <c r="E14" s="2" t="n">
        <v>9</v>
      </c>
      <c r="F14" s="27" t="n">
        <v>2526720.23</v>
      </c>
      <c r="G14" s="28" t="n">
        <v>0.0165</v>
      </c>
      <c r="H14" s="19" t="n">
        <v>0.944</v>
      </c>
      <c r="I14" s="29" t="n">
        <v>0.2222</v>
      </c>
      <c r="J14" s="2" t="inlineStr">
        <is>
          <t>EXP0333</t>
        </is>
      </c>
      <c r="K14" s="2" t="n">
        <v>1</v>
      </c>
      <c r="L14" s="2" t="inlineStr">
        <is>
          <t>BRK039</t>
        </is>
      </c>
      <c r="M14" s="2" t="inlineStr">
        <is>
          <t>AIR1</t>
        </is>
      </c>
      <c r="N14" s="2" t="n">
        <v>0</v>
      </c>
      <c r="O14" s="2" t="n">
        <v>0</v>
      </c>
      <c r="P14" s="2" t="n">
        <v>0</v>
      </c>
      <c r="Q14" s="2" t="n">
        <v>0</v>
      </c>
      <c r="R14" s="30">
        <f>IF(AND($C$5&lt;&gt;"",$A14=$C$5),1,"")</f>
        <v/>
      </c>
      <c r="S14" s="21">
        <f>IF(AND($C$5&lt;&gt;"",$A14=$C$5),SUMIFS($G$8:$G$715,$A$8:$A$715,$C$5,$B$8:$B$715,"&lt;="&amp;$B14),"")</f>
        <v/>
      </c>
      <c r="T14" s="24" t="n"/>
      <c r="U14" s="24" t="n"/>
    </row>
    <row r="15">
      <c r="A15" s="2" t="inlineStr">
        <is>
          <t>CHN-17</t>
        </is>
      </c>
      <c r="B15" s="2" t="n">
        <v>8</v>
      </c>
      <c r="C15" s="2" t="inlineStr">
        <is>
          <t>IMP00716</t>
        </is>
      </c>
      <c r="D15" s="2" t="inlineStr">
        <is>
          <t>Delta Foods Co.</t>
        </is>
      </c>
      <c r="E15" s="2" t="n">
        <v>5</v>
      </c>
      <c r="F15" s="27" t="n">
        <v>2449015.83</v>
      </c>
      <c r="G15" s="28" t="n">
        <v>0.016</v>
      </c>
      <c r="H15" s="19" t="n">
        <v>0.824</v>
      </c>
      <c r="I15" s="29" t="n">
        <v>0.2</v>
      </c>
      <c r="J15" s="2" t="inlineStr">
        <is>
          <t>EXP0406</t>
        </is>
      </c>
      <c r="K15" s="2" t="n">
        <v>2</v>
      </c>
      <c r="L15" s="2" t="inlineStr">
        <is>
          <t>BRK059</t>
        </is>
      </c>
      <c r="M15" s="2" t="inlineStr">
        <is>
          <t>AIR1</t>
        </is>
      </c>
      <c r="N15" s="2" t="n">
        <v>0</v>
      </c>
      <c r="O15" s="2" t="n">
        <v>0</v>
      </c>
      <c r="P15" s="2" t="n">
        <v>0</v>
      </c>
      <c r="Q15" s="2" t="n">
        <v>0</v>
      </c>
      <c r="R15" s="30">
        <f>IF(AND($C$5&lt;&gt;"",$A15=$C$5),1,"")</f>
        <v/>
      </c>
      <c r="S15" s="21">
        <f>IF(AND($C$5&lt;&gt;"",$A15=$C$5),SUMIFS($G$8:$G$715,$A$8:$A$715,$C$5,$B$8:$B$715,"&lt;="&amp;$B15),"")</f>
        <v/>
      </c>
      <c r="T15" s="24" t="n"/>
      <c r="U15" s="24" t="n"/>
    </row>
    <row r="16">
      <c r="A16" s="2" t="inlineStr">
        <is>
          <t>CHN-17</t>
        </is>
      </c>
      <c r="B16" s="2" t="n">
        <v>9</v>
      </c>
      <c r="C16" s="2" t="inlineStr">
        <is>
          <t>IMP00962</t>
        </is>
      </c>
      <c r="D16" s="2" t="inlineStr">
        <is>
          <t>Pacific Living Partners Ltd</t>
        </is>
      </c>
      <c r="E16" s="2" t="n">
        <v>4</v>
      </c>
      <c r="F16" s="27" t="n">
        <v>1350674.56</v>
      </c>
      <c r="G16" s="28" t="n">
        <v>0.008800000000000001</v>
      </c>
      <c r="H16" s="19" t="n">
        <v>0.637</v>
      </c>
      <c r="I16" s="29" t="n">
        <v>0.5</v>
      </c>
      <c r="J16" s="2" t="inlineStr">
        <is>
          <t>EXP0137</t>
        </is>
      </c>
      <c r="K16" s="2" t="n">
        <v>3</v>
      </c>
      <c r="L16" s="2" t="inlineStr">
        <is>
          <t>BRK066</t>
        </is>
      </c>
      <c r="M16" s="2" t="inlineStr">
        <is>
          <t>LAND4</t>
        </is>
      </c>
      <c r="N16" s="2" t="n">
        <v>0</v>
      </c>
      <c r="O16" s="2" t="n">
        <v>0</v>
      </c>
      <c r="P16" s="2" t="n">
        <v>0</v>
      </c>
      <c r="Q16" s="2" t="n">
        <v>0</v>
      </c>
      <c r="R16" s="30">
        <f>IF(AND($C$5&lt;&gt;"",$A16=$C$5),1,"")</f>
        <v/>
      </c>
      <c r="S16" s="21">
        <f>IF(AND($C$5&lt;&gt;"",$A16=$C$5),SUMIFS($G$8:$G$715,$A$8:$A$715,$C$5,$B$8:$B$715,"&lt;="&amp;$B16),"")</f>
        <v/>
      </c>
      <c r="T16" s="24" t="n"/>
      <c r="U16" s="24" t="n"/>
    </row>
    <row r="17">
      <c r="A17" s="2" t="inlineStr">
        <is>
          <t>CHN-17</t>
        </is>
      </c>
      <c r="B17" s="2" t="n">
        <v>10</v>
      </c>
      <c r="C17" s="2" t="inlineStr">
        <is>
          <t>IMP00240</t>
        </is>
      </c>
      <c r="D17" s="2" t="inlineStr">
        <is>
          <t>Inverness Logistics Group Ltd</t>
        </is>
      </c>
      <c r="E17" s="2" t="n">
        <v>1</v>
      </c>
      <c r="F17" s="27" t="n">
        <v>766919.42</v>
      </c>
      <c r="G17" s="28" t="n">
        <v>0.005</v>
      </c>
      <c r="H17" s="19" t="n"/>
      <c r="I17" s="29" t="n">
        <v>0</v>
      </c>
      <c r="J17" s="2" t="inlineStr">
        <is>
          <t>EXP0567</t>
        </is>
      </c>
      <c r="K17" s="2" t="n">
        <v>1</v>
      </c>
      <c r="L17" s="2" t="inlineStr">
        <is>
          <t>BRK041</t>
        </is>
      </c>
      <c r="M17" s="2" t="inlineStr">
        <is>
          <t>LAND1</t>
        </is>
      </c>
      <c r="N17" s="2" t="n">
        <v>0</v>
      </c>
      <c r="O17" s="2" t="n">
        <v>0</v>
      </c>
      <c r="P17" s="2" t="n">
        <v>0</v>
      </c>
      <c r="Q17" s="2" t="n">
        <v>0</v>
      </c>
      <c r="R17" s="30">
        <f>IF(AND($C$5&lt;&gt;"",$A17=$C$5),1,"")</f>
        <v/>
      </c>
      <c r="S17" s="21">
        <f>IF(AND($C$5&lt;&gt;"",$A17=$C$5),SUMIFS($G$8:$G$715,$A$8:$A$715,$C$5,$B$8:$B$715,"&lt;="&amp;$B17),"")</f>
        <v/>
      </c>
      <c r="T17" s="24" t="n"/>
      <c r="U17" s="24" t="n"/>
    </row>
    <row r="18">
      <c r="A18" s="2" t="inlineStr">
        <is>
          <t>CHN-17</t>
        </is>
      </c>
      <c r="B18" s="2" t="n">
        <v>11</v>
      </c>
      <c r="C18" s="2" t="inlineStr">
        <is>
          <t>IMP00129</t>
        </is>
      </c>
      <c r="D18" s="2" t="inlineStr">
        <is>
          <t>Prime Distribution Co., Ltd</t>
        </is>
      </c>
      <c r="E18" s="2" t="n">
        <v>2</v>
      </c>
      <c r="F18" s="27" t="n">
        <v>741425.92</v>
      </c>
      <c r="G18" s="28" t="n">
        <v>0.0049</v>
      </c>
      <c r="H18" s="19" t="n">
        <v>1.0245</v>
      </c>
      <c r="I18" s="29" t="n">
        <v>0</v>
      </c>
      <c r="J18" s="2" t="inlineStr">
        <is>
          <t>EXP0426</t>
        </is>
      </c>
      <c r="K18" s="2" t="n">
        <v>3</v>
      </c>
      <c r="L18" s="2" t="inlineStr">
        <is>
          <t>BRK015</t>
        </is>
      </c>
      <c r="M18" s="2" t="inlineStr">
        <is>
          <t>AIR2</t>
        </is>
      </c>
      <c r="N18" s="2" t="n">
        <v>0</v>
      </c>
      <c r="O18" s="2" t="n">
        <v>1</v>
      </c>
      <c r="P18" s="2" t="n">
        <v>0</v>
      </c>
      <c r="Q18" s="2" t="n">
        <v>0</v>
      </c>
      <c r="R18" s="30">
        <f>IF(AND($C$5&lt;&gt;"",$A18=$C$5),1,"")</f>
        <v/>
      </c>
      <c r="S18" s="21">
        <f>IF(AND($C$5&lt;&gt;"",$A18=$C$5),SUMIFS($G$8:$G$715,$A$8:$A$715,$C$5,$B$8:$B$715,"&lt;="&amp;$B18),"")</f>
        <v/>
      </c>
      <c r="T18" s="24" t="n"/>
      <c r="U18" s="24" t="n"/>
    </row>
    <row r="19">
      <c r="A19" s="2" t="inlineStr">
        <is>
          <t>CHN-17</t>
        </is>
      </c>
      <c r="B19" s="2" t="n">
        <v>12</v>
      </c>
      <c r="C19" s="2" t="inlineStr">
        <is>
          <t>IMP00628</t>
        </is>
      </c>
      <c r="D19" s="2" t="inlineStr">
        <is>
          <t>Twin Rivers Pack &amp; Sons</t>
        </is>
      </c>
      <c r="E19" s="2" t="n">
        <v>2</v>
      </c>
      <c r="F19" s="27" t="n">
        <v>668142.36</v>
      </c>
      <c r="G19" s="28" t="n">
        <v>0.0044</v>
      </c>
      <c r="H19" s="19" t="n">
        <v>0.6205000000000001</v>
      </c>
      <c r="I19" s="29" t="n">
        <v>1</v>
      </c>
      <c r="J19" s="2" t="inlineStr">
        <is>
          <t>EXP0048</t>
        </is>
      </c>
      <c r="K19" s="2" t="n">
        <v>2</v>
      </c>
      <c r="L19" s="2" t="inlineStr">
        <is>
          <t>BRK039</t>
        </is>
      </c>
      <c r="M19" s="2" t="inlineStr">
        <is>
          <t>PORT2</t>
        </is>
      </c>
      <c r="N19" s="2" t="n">
        <v>0</v>
      </c>
      <c r="O19" s="2" t="n">
        <v>0</v>
      </c>
      <c r="P19" s="2" t="n">
        <v>1</v>
      </c>
      <c r="Q19" s="2" t="n">
        <v>0</v>
      </c>
      <c r="R19" s="30">
        <f>IF(AND($C$5&lt;&gt;"",$A19=$C$5),1,"")</f>
        <v/>
      </c>
      <c r="S19" s="21">
        <f>IF(AND($C$5&lt;&gt;"",$A19=$C$5),SUMIFS($G$8:$G$715,$A$8:$A$715,$C$5,$B$8:$B$715,"&lt;="&amp;$B19),"")</f>
        <v/>
      </c>
      <c r="T19" s="24" t="n"/>
      <c r="U19" s="24" t="n"/>
    </row>
    <row r="20">
      <c r="A20" s="2" t="inlineStr">
        <is>
          <t>CHN-17</t>
        </is>
      </c>
      <c r="B20" s="2" t="n">
        <v>13</v>
      </c>
      <c r="C20" s="2" t="inlineStr">
        <is>
          <t>IMP00408</t>
        </is>
      </c>
      <c r="D20" s="2" t="inlineStr">
        <is>
          <t>Blue Ocean Steel Partners Ltd</t>
        </is>
      </c>
      <c r="E20" s="2" t="n">
        <v>2</v>
      </c>
      <c r="F20" s="27" t="n">
        <v>665953.24</v>
      </c>
      <c r="G20" s="28" t="n">
        <v>0.0044</v>
      </c>
      <c r="H20" s="19" t="n">
        <v>1.216</v>
      </c>
      <c r="I20" s="29" t="n">
        <v>0</v>
      </c>
      <c r="J20" s="2" t="inlineStr">
        <is>
          <t>EXP0137</t>
        </is>
      </c>
      <c r="K20" s="2" t="n">
        <v>3</v>
      </c>
      <c r="L20" s="2" t="inlineStr">
        <is>
          <t>BRK037</t>
        </is>
      </c>
      <c r="M20" s="2" t="inlineStr">
        <is>
          <t>LAND4</t>
        </is>
      </c>
      <c r="N20" s="2" t="n">
        <v>0</v>
      </c>
      <c r="O20" s="2" t="n">
        <v>0</v>
      </c>
      <c r="P20" s="2" t="n">
        <v>0</v>
      </c>
      <c r="Q20" s="2" t="n">
        <v>0</v>
      </c>
      <c r="R20" s="30">
        <f>IF(AND($C$5&lt;&gt;"",$A20=$C$5),1,"")</f>
        <v/>
      </c>
      <c r="S20" s="21">
        <f>IF(AND($C$5&lt;&gt;"",$A20=$C$5),SUMIFS($G$8:$G$715,$A$8:$A$715,$C$5,$B$8:$B$715,"&lt;="&amp;$B20),"")</f>
        <v/>
      </c>
      <c r="T20" s="24" t="n"/>
      <c r="U20" s="24" t="n"/>
    </row>
    <row r="21">
      <c r="A21" s="2" t="inlineStr">
        <is>
          <t>CHN-17</t>
        </is>
      </c>
      <c r="B21" s="2" t="n">
        <v>14</v>
      </c>
      <c r="C21" s="2" t="inlineStr">
        <is>
          <t>IMP00133</t>
        </is>
      </c>
      <c r="D21" s="2" t="inlineStr">
        <is>
          <t>Harmony Supply Co.</t>
        </is>
      </c>
      <c r="E21" s="2" t="n">
        <v>3</v>
      </c>
      <c r="F21" s="27" t="n">
        <v>566359.24</v>
      </c>
      <c r="G21" s="28" t="n">
        <v>0.0037</v>
      </c>
      <c r="H21" s="19" t="n">
        <v>0.882</v>
      </c>
      <c r="I21" s="29" t="n">
        <v>0.3333</v>
      </c>
      <c r="J21" s="2" t="inlineStr">
        <is>
          <t>EXP0104</t>
        </is>
      </c>
      <c r="K21" s="2" t="n">
        <v>1</v>
      </c>
      <c r="L21" s="2" t="inlineStr">
        <is>
          <t>BRK033</t>
        </is>
      </c>
      <c r="M21" s="2" t="inlineStr">
        <is>
          <t>LAND3</t>
        </is>
      </c>
      <c r="N21" s="2" t="n">
        <v>0</v>
      </c>
      <c r="O21" s="2" t="n">
        <v>1</v>
      </c>
      <c r="P21" s="2" t="n">
        <v>0</v>
      </c>
      <c r="Q21" s="2" t="n">
        <v>0</v>
      </c>
      <c r="R21" s="30">
        <f>IF(AND($C$5&lt;&gt;"",$A21=$C$5),1,"")</f>
        <v/>
      </c>
      <c r="S21" s="21">
        <f>IF(AND($C$5&lt;&gt;"",$A21=$C$5),SUMIFS($G$8:$G$715,$A$8:$A$715,$C$5,$B$8:$B$715,"&lt;="&amp;$B21),"")</f>
        <v/>
      </c>
      <c r="T21" s="24" t="n"/>
      <c r="U21" s="24" t="n"/>
    </row>
    <row r="22">
      <c r="A22" s="2" t="inlineStr">
        <is>
          <t>CHN-17</t>
        </is>
      </c>
      <c r="B22" s="2" t="n">
        <v>15</v>
      </c>
      <c r="C22" s="2" t="inlineStr">
        <is>
          <t>IMP00946</t>
        </is>
      </c>
      <c r="D22" s="2" t="inlineStr">
        <is>
          <t>Dunmore Pack &amp; Sons</t>
        </is>
      </c>
      <c r="E22" s="2" t="n">
        <v>2</v>
      </c>
      <c r="F22" s="27" t="n">
        <v>511290.61</v>
      </c>
      <c r="G22" s="28" t="n">
        <v>0.0033</v>
      </c>
      <c r="H22" s="19" t="n">
        <v>0.865</v>
      </c>
      <c r="I22" s="29" t="n">
        <v>0</v>
      </c>
      <c r="J22" s="2" t="inlineStr">
        <is>
          <t>EXP0015</t>
        </is>
      </c>
      <c r="K22" s="2" t="n">
        <v>2</v>
      </c>
      <c r="L22" s="2" t="inlineStr">
        <is>
          <t>BRK029</t>
        </is>
      </c>
      <c r="M22" s="2" t="inlineStr">
        <is>
          <t>AIR1</t>
        </is>
      </c>
      <c r="N22" s="2" t="n">
        <v>0</v>
      </c>
      <c r="O22" s="2" t="n">
        <v>1</v>
      </c>
      <c r="P22" s="2" t="n">
        <v>0</v>
      </c>
      <c r="Q22" s="2" t="n">
        <v>0</v>
      </c>
      <c r="R22" s="30">
        <f>IF(AND($C$5&lt;&gt;"",$A22=$C$5),1,"")</f>
        <v/>
      </c>
      <c r="S22" s="21">
        <f>IF(AND($C$5&lt;&gt;"",$A22=$C$5),SUMIFS($G$8:$G$715,$A$8:$A$715,$C$5,$B$8:$B$715,"&lt;="&amp;$B22),"")</f>
        <v/>
      </c>
      <c r="T22" s="24" t="n"/>
      <c r="U22" s="24" t="n"/>
    </row>
    <row r="23">
      <c r="A23" s="2" t="inlineStr">
        <is>
          <t>CHN-17</t>
        </is>
      </c>
      <c r="B23" s="2" t="n">
        <v>16</v>
      </c>
      <c r="C23" s="2" t="inlineStr">
        <is>
          <t>IMP00777</t>
        </is>
      </c>
      <c r="D23" s="2" t="inlineStr">
        <is>
          <t>Meridian Pack Holdings Ltd</t>
        </is>
      </c>
      <c r="E23" s="2" t="n">
        <v>2</v>
      </c>
      <c r="F23" s="27" t="n">
        <v>475737.08</v>
      </c>
      <c r="G23" s="28" t="n">
        <v>0.0031</v>
      </c>
      <c r="H23" s="19" t="n">
        <v>1.283</v>
      </c>
      <c r="I23" s="29" t="n">
        <v>0</v>
      </c>
      <c r="J23" s="2" t="inlineStr">
        <is>
          <t>EXP0170</t>
        </is>
      </c>
      <c r="K23" s="2" t="n">
        <v>2</v>
      </c>
      <c r="L23" s="2" t="inlineStr">
        <is>
          <t>BRK021</t>
        </is>
      </c>
      <c r="M23" s="2" t="inlineStr">
        <is>
          <t>LAND4</t>
        </is>
      </c>
      <c r="N23" s="2" t="n">
        <v>0</v>
      </c>
      <c r="O23" s="2" t="n">
        <v>0</v>
      </c>
      <c r="P23" s="2" t="n">
        <v>0</v>
      </c>
      <c r="Q23" s="2" t="n">
        <v>0</v>
      </c>
      <c r="R23" s="30">
        <f>IF(AND($C$5&lt;&gt;"",$A23=$C$5),1,"")</f>
        <v/>
      </c>
      <c r="S23" s="21">
        <f>IF(AND($C$5&lt;&gt;"",$A23=$C$5),SUMIFS($G$8:$G$715,$A$8:$A$715,$C$5,$B$8:$B$715,"&lt;="&amp;$B23),"")</f>
        <v/>
      </c>
      <c r="T23" s="24" t="n"/>
      <c r="U23" s="24" t="n"/>
    </row>
    <row r="24">
      <c r="A24" s="2" t="inlineStr">
        <is>
          <t>CHN-17</t>
        </is>
      </c>
      <c r="B24" s="2" t="n">
        <v>17</v>
      </c>
      <c r="C24" s="2" t="inlineStr">
        <is>
          <t>IMP00230</t>
        </is>
      </c>
      <c r="D24" s="2" t="inlineStr">
        <is>
          <t>Golden Logistics Group Ltd</t>
        </is>
      </c>
      <c r="E24" s="2" t="n">
        <v>1</v>
      </c>
      <c r="F24" s="27" t="n">
        <v>413340.46</v>
      </c>
      <c r="G24" s="28" t="n">
        <v>0.0027</v>
      </c>
      <c r="H24" s="19" t="n">
        <v>0.749</v>
      </c>
      <c r="I24" s="29" t="n">
        <v>1</v>
      </c>
      <c r="J24" s="2" t="inlineStr">
        <is>
          <t>EXP0038</t>
        </is>
      </c>
      <c r="K24" s="2" t="n">
        <v>3</v>
      </c>
      <c r="L24" s="2" t="inlineStr">
        <is>
          <t>BRK003</t>
        </is>
      </c>
      <c r="M24" s="2" t="inlineStr">
        <is>
          <t>LAND3</t>
        </is>
      </c>
      <c r="N24" s="2" t="n">
        <v>0</v>
      </c>
      <c r="O24" s="2" t="n">
        <v>0</v>
      </c>
      <c r="P24" s="2" t="n">
        <v>0</v>
      </c>
      <c r="Q24" s="2" t="n">
        <v>0</v>
      </c>
      <c r="R24" s="30">
        <f>IF(AND($C$5&lt;&gt;"",$A24=$C$5),1,"")</f>
        <v/>
      </c>
      <c r="S24" s="21">
        <f>IF(AND($C$5&lt;&gt;"",$A24=$C$5),SUMIFS($G$8:$G$715,$A$8:$A$715,$C$5,$B$8:$B$715,"&lt;="&amp;$B24),"")</f>
        <v/>
      </c>
      <c r="T24" s="24" t="n"/>
      <c r="U24" s="24" t="n"/>
    </row>
    <row r="25">
      <c r="A25" s="2" t="inlineStr">
        <is>
          <t>CHN-17</t>
        </is>
      </c>
      <c r="B25" s="2" t="n">
        <v>18</v>
      </c>
      <c r="C25" s="2" t="inlineStr">
        <is>
          <t>IMP00360</t>
        </is>
      </c>
      <c r="D25" s="2" t="inlineStr">
        <is>
          <t>Green Valley Commercial &amp; Sons</t>
        </is>
      </c>
      <c r="E25" s="2" t="n">
        <v>1</v>
      </c>
      <c r="F25" s="27" t="n">
        <v>269414.93</v>
      </c>
      <c r="G25" s="28" t="n">
        <v>0.0018</v>
      </c>
      <c r="H25" s="19" t="n">
        <v>1.202</v>
      </c>
      <c r="I25" s="29" t="n">
        <v>0</v>
      </c>
      <c r="J25" s="2" t="inlineStr">
        <is>
          <t>EXP0177</t>
        </is>
      </c>
      <c r="K25" s="2" t="n">
        <v>3</v>
      </c>
      <c r="L25" s="2" t="inlineStr">
        <is>
          <t>BRK069</t>
        </is>
      </c>
      <c r="M25" s="2" t="inlineStr">
        <is>
          <t>PORT1</t>
        </is>
      </c>
      <c r="N25" s="2" t="n">
        <v>0</v>
      </c>
      <c r="O25" s="2" t="n">
        <v>0</v>
      </c>
      <c r="P25" s="2" t="n">
        <v>0</v>
      </c>
      <c r="Q25" s="2" t="n">
        <v>0</v>
      </c>
      <c r="R25" s="30">
        <f>IF(AND($C$5&lt;&gt;"",$A25=$C$5),1,"")</f>
        <v/>
      </c>
      <c r="S25" s="21">
        <f>IF(AND($C$5&lt;&gt;"",$A25=$C$5),SUMIFS($G$8:$G$715,$A$8:$A$715,$C$5,$B$8:$B$715,"&lt;="&amp;$B25),"")</f>
        <v/>
      </c>
      <c r="T25" s="24" t="n"/>
      <c r="U25" s="24" t="n"/>
    </row>
    <row r="26">
      <c r="A26" s="2" t="inlineStr">
        <is>
          <t>CHN-17</t>
        </is>
      </c>
      <c r="B26" s="2" t="n">
        <v>19</v>
      </c>
      <c r="C26" s="2" t="inlineStr">
        <is>
          <t>IMP00941</t>
        </is>
      </c>
      <c r="D26" s="2" t="inlineStr">
        <is>
          <t>Dunmore Mobile Group Ltd</t>
        </is>
      </c>
      <c r="E26" s="2" t="n">
        <v>1</v>
      </c>
      <c r="F26" s="27" t="n">
        <v>189130.31</v>
      </c>
      <c r="G26" s="28" t="n">
        <v>0.0012</v>
      </c>
      <c r="H26" s="19" t="n"/>
      <c r="I26" s="29" t="n">
        <v>0</v>
      </c>
      <c r="J26" s="2" t="inlineStr">
        <is>
          <t>EXP0446</t>
        </is>
      </c>
      <c r="K26" s="2" t="n">
        <v>4</v>
      </c>
      <c r="L26" s="2" t="inlineStr">
        <is>
          <t>BRK046</t>
        </is>
      </c>
      <c r="M26" s="2" t="inlineStr">
        <is>
          <t>PORT2</t>
        </is>
      </c>
      <c r="N26" s="2" t="n">
        <v>0</v>
      </c>
      <c r="O26" s="2" t="n">
        <v>0</v>
      </c>
      <c r="P26" s="2" t="n">
        <v>0</v>
      </c>
      <c r="Q26" s="2" t="n">
        <v>0</v>
      </c>
      <c r="R26" s="30">
        <f>IF(AND($C$5&lt;&gt;"",$A26=$C$5),1,"")</f>
        <v/>
      </c>
      <c r="S26" s="21">
        <f>IF(AND($C$5&lt;&gt;"",$A26=$C$5),SUMIFS($G$8:$G$715,$A$8:$A$715,$C$5,$B$8:$B$715,"&lt;="&amp;$B26),"")</f>
        <v/>
      </c>
      <c r="T26" s="24" t="n"/>
      <c r="U26" s="24" t="n"/>
    </row>
    <row r="27">
      <c r="A27" s="2" t="inlineStr">
        <is>
          <t>CHN-17</t>
        </is>
      </c>
      <c r="B27" s="2" t="n">
        <v>20</v>
      </c>
      <c r="C27" s="2" t="inlineStr">
        <is>
          <t>IMP00208</t>
        </is>
      </c>
      <c r="D27" s="2" t="inlineStr">
        <is>
          <t>Silver Steel Limited</t>
        </is>
      </c>
      <c r="E27" s="2" t="n">
        <v>1</v>
      </c>
      <c r="F27" s="27" t="n">
        <v>177558.8</v>
      </c>
      <c r="G27" s="28" t="n">
        <v>0.0012</v>
      </c>
      <c r="H27" s="19" t="n">
        <v>0.9360000000000001</v>
      </c>
      <c r="I27" s="29" t="n">
        <v>0</v>
      </c>
      <c r="J27" s="2" t="inlineStr">
        <is>
          <t>EXP0446</t>
        </is>
      </c>
      <c r="K27" s="2" t="n">
        <v>4</v>
      </c>
      <c r="L27" s="2" t="inlineStr">
        <is>
          <t>BRK008</t>
        </is>
      </c>
      <c r="M27" s="2" t="inlineStr">
        <is>
          <t>PORT1</t>
        </is>
      </c>
      <c r="N27" s="2" t="n">
        <v>1</v>
      </c>
      <c r="O27" s="2" t="n">
        <v>0</v>
      </c>
      <c r="P27" s="2" t="n">
        <v>0</v>
      </c>
      <c r="Q27" s="2" t="n">
        <v>0</v>
      </c>
      <c r="R27" s="30">
        <f>IF(AND($C$5&lt;&gt;"",$A27=$C$5),1,"")</f>
        <v/>
      </c>
      <c r="S27" s="21">
        <f>IF(AND($C$5&lt;&gt;"",$A27=$C$5),SUMIFS($G$8:$G$715,$A$8:$A$715,$C$5,$B$8:$B$715,"&lt;="&amp;$B27),"")</f>
        <v/>
      </c>
      <c r="T27" s="24" t="n"/>
      <c r="U27" s="24" t="n"/>
    </row>
    <row r="28">
      <c r="A28" s="2" t="inlineStr">
        <is>
          <t>CHN-17</t>
        </is>
      </c>
      <c r="B28" s="2" t="n">
        <v>21</v>
      </c>
      <c r="C28" s="2" t="inlineStr">
        <is>
          <t>IMP00198</t>
        </is>
      </c>
      <c r="D28" s="2" t="inlineStr">
        <is>
          <t>Harmony Glow Co.</t>
        </is>
      </c>
      <c r="E28" s="2" t="n">
        <v>1</v>
      </c>
      <c r="F28" s="27" t="n">
        <v>142923.28</v>
      </c>
      <c r="G28" s="28" t="n">
        <v>0.0009</v>
      </c>
      <c r="H28" s="19" t="n">
        <v>0.857</v>
      </c>
      <c r="I28" s="29" t="n">
        <v>0</v>
      </c>
      <c r="J28" s="2" t="inlineStr">
        <is>
          <t>EXP0561</t>
        </is>
      </c>
      <c r="K28" s="2" t="n">
        <v>1</v>
      </c>
      <c r="L28" s="2" t="inlineStr">
        <is>
          <t>BRK059</t>
        </is>
      </c>
      <c r="M28" s="2" t="inlineStr">
        <is>
          <t>PORT1</t>
        </is>
      </c>
      <c r="N28" s="2" t="n">
        <v>0</v>
      </c>
      <c r="O28" s="2" t="n">
        <v>0</v>
      </c>
      <c r="P28" s="2" t="n">
        <v>0</v>
      </c>
      <c r="Q28" s="2" t="n">
        <v>0</v>
      </c>
      <c r="R28" s="30">
        <f>IF(AND($C$5&lt;&gt;"",$A28=$C$5),1,"")</f>
        <v/>
      </c>
      <c r="S28" s="21">
        <f>IF(AND($C$5&lt;&gt;"",$A28=$C$5),SUMIFS($G$8:$G$715,$A$8:$A$715,$C$5,$B$8:$B$715,"&lt;="&amp;$B28),"")</f>
        <v/>
      </c>
      <c r="T28" s="24" t="n"/>
      <c r="U28" s="24" t="n"/>
    </row>
    <row r="29">
      <c r="A29" s="2" t="inlineStr">
        <is>
          <t>CHN-33</t>
        </is>
      </c>
      <c r="B29" s="2" t="n">
        <v>1</v>
      </c>
      <c r="C29" s="2" t="inlineStr">
        <is>
          <t>IMP00413</t>
        </is>
      </c>
      <c r="D29" s="2" t="inlineStr">
        <is>
          <t>Aldergate Agro Co.</t>
        </is>
      </c>
      <c r="E29" s="2" t="n">
        <v>181</v>
      </c>
      <c r="F29" s="27" t="n">
        <v>165040759.05</v>
      </c>
      <c r="G29" s="28" t="n">
        <v>0.2744</v>
      </c>
      <c r="H29" s="19" t="n">
        <v>0.998</v>
      </c>
      <c r="I29" s="29" t="n">
        <v>0.0055</v>
      </c>
      <c r="J29" s="2" t="inlineStr">
        <is>
          <t>EXP0162</t>
        </is>
      </c>
      <c r="K29" s="2" t="n">
        <v>1</v>
      </c>
      <c r="L29" s="2" t="inlineStr">
        <is>
          <t>BRK001</t>
        </is>
      </c>
      <c r="M29" s="2" t="inlineStr">
        <is>
          <t>LAND1</t>
        </is>
      </c>
      <c r="N29" s="2" t="n">
        <v>0</v>
      </c>
      <c r="O29" s="2" t="n">
        <v>0</v>
      </c>
      <c r="P29" s="2" t="n">
        <v>0</v>
      </c>
      <c r="Q29" s="2" t="n">
        <v>0</v>
      </c>
      <c r="R29" s="30">
        <f>IF(AND($C$5&lt;&gt;"",$A29=$C$5),1,"")</f>
        <v/>
      </c>
      <c r="S29" s="21">
        <f>IF(AND($C$5&lt;&gt;"",$A29=$C$5),SUMIFS($G$8:$G$715,$A$8:$A$715,$C$5,$B$8:$B$715,"&lt;="&amp;$B29),"")</f>
        <v/>
      </c>
      <c r="T29" s="24" t="n"/>
      <c r="U29" s="24" t="n"/>
    </row>
    <row r="30">
      <c r="A30" s="2" t="inlineStr">
        <is>
          <t>CHN-33</t>
        </is>
      </c>
      <c r="B30" s="2" t="n">
        <v>2</v>
      </c>
      <c r="C30" s="2" t="inlineStr">
        <is>
          <t>IMP00936</t>
        </is>
      </c>
      <c r="D30" s="2" t="inlineStr">
        <is>
          <t>United Steel International Ltd</t>
        </is>
      </c>
      <c r="E30" s="2" t="n">
        <v>48</v>
      </c>
      <c r="F30" s="27" t="n">
        <v>87583230.56999999</v>
      </c>
      <c r="G30" s="28" t="n">
        <v>0.1456</v>
      </c>
      <c r="H30" s="19" t="n">
        <v>0.9875</v>
      </c>
      <c r="I30" s="29" t="n">
        <v>0.0833</v>
      </c>
      <c r="J30" s="2" t="inlineStr">
        <is>
          <t>EXP0585</t>
        </is>
      </c>
      <c r="K30" s="2" t="n">
        <v>3</v>
      </c>
      <c r="L30" s="2" t="inlineStr">
        <is>
          <t>BRK059</t>
        </is>
      </c>
      <c r="M30" s="2" t="inlineStr">
        <is>
          <t>PORT2</t>
        </is>
      </c>
      <c r="N30" s="2" t="n">
        <v>0</v>
      </c>
      <c r="O30" s="2" t="n">
        <v>0</v>
      </c>
      <c r="P30" s="2" t="n">
        <v>0</v>
      </c>
      <c r="Q30" s="2" t="n">
        <v>0</v>
      </c>
      <c r="R30" s="30">
        <f>IF(AND($C$5&lt;&gt;"",$A30=$C$5),1,"")</f>
        <v/>
      </c>
      <c r="S30" s="21">
        <f>IF(AND($C$5&lt;&gt;"",$A30=$C$5),SUMIFS($G$8:$G$715,$A$8:$A$715,$C$5,$B$8:$B$715,"&lt;="&amp;$B30),"")</f>
        <v/>
      </c>
      <c r="T30" s="24" t="n"/>
      <c r="U30" s="24" t="n"/>
    </row>
    <row r="31">
      <c r="A31" s="2" t="inlineStr">
        <is>
          <t>CHN-33</t>
        </is>
      </c>
      <c r="B31" s="2" t="n">
        <v>3</v>
      </c>
      <c r="C31" s="2" t="inlineStr">
        <is>
          <t>IMP00724</t>
        </is>
      </c>
      <c r="D31" s="2" t="inlineStr">
        <is>
          <t>Pacific Motors Enterprises</t>
        </is>
      </c>
      <c r="E31" s="2" t="n">
        <v>34</v>
      </c>
      <c r="F31" s="27" t="n">
        <v>65725516.98</v>
      </c>
      <c r="G31" s="28" t="n">
        <v>0.1093</v>
      </c>
      <c r="H31" s="19" t="n">
        <v>0.8695000000000001</v>
      </c>
      <c r="I31" s="29" t="n">
        <v>0.2647</v>
      </c>
      <c r="J31" s="2" t="inlineStr">
        <is>
          <t>EXP0048</t>
        </is>
      </c>
      <c r="K31" s="2" t="n">
        <v>3</v>
      </c>
      <c r="L31" s="2" t="inlineStr">
        <is>
          <t>BRK032</t>
        </is>
      </c>
      <c r="M31" s="2" t="inlineStr">
        <is>
          <t>AIR1</t>
        </is>
      </c>
      <c r="N31" s="2" t="n">
        <v>0</v>
      </c>
      <c r="O31" s="2" t="n">
        <v>0</v>
      </c>
      <c r="P31" s="2" t="n">
        <v>0</v>
      </c>
      <c r="Q31" s="2" t="n">
        <v>0</v>
      </c>
      <c r="R31" s="30">
        <f>IF(AND($C$5&lt;&gt;"",$A31=$C$5),1,"")</f>
        <v/>
      </c>
      <c r="S31" s="21">
        <f>IF(AND($C$5&lt;&gt;"",$A31=$C$5),SUMIFS($G$8:$G$715,$A$8:$A$715,$C$5,$B$8:$B$715,"&lt;="&amp;$B31),"")</f>
        <v/>
      </c>
      <c r="T31" s="24" t="n"/>
      <c r="U31" s="24" t="n"/>
    </row>
    <row r="32">
      <c r="A32" s="2" t="inlineStr">
        <is>
          <t>CHN-33</t>
        </is>
      </c>
      <c r="B32" s="2" t="n">
        <v>4</v>
      </c>
      <c r="C32" s="2" t="inlineStr">
        <is>
          <t>IMP00604</t>
        </is>
      </c>
      <c r="D32" s="2" t="inlineStr">
        <is>
          <t>Jade Glow Group Ltd</t>
        </is>
      </c>
      <c r="E32" s="2" t="n">
        <v>60</v>
      </c>
      <c r="F32" s="27" t="n">
        <v>59344650.01</v>
      </c>
      <c r="G32" s="28" t="n">
        <v>0.0987</v>
      </c>
      <c r="H32" s="19" t="n">
        <v>0.842</v>
      </c>
      <c r="I32" s="29" t="n">
        <v>0.1667</v>
      </c>
      <c r="J32" s="2" t="inlineStr">
        <is>
          <t>EXP0483</t>
        </is>
      </c>
      <c r="K32" s="2" t="n">
        <v>1</v>
      </c>
      <c r="L32" s="2" t="inlineStr">
        <is>
          <t>BRK030</t>
        </is>
      </c>
      <c r="M32" s="2" t="inlineStr">
        <is>
          <t>LAND7</t>
        </is>
      </c>
      <c r="N32" s="2" t="n">
        <v>0</v>
      </c>
      <c r="O32" s="2" t="n">
        <v>0</v>
      </c>
      <c r="P32" s="2" t="n">
        <v>0</v>
      </c>
      <c r="Q32" s="2" t="n">
        <v>1</v>
      </c>
      <c r="R32" s="30">
        <f>IF(AND($C$5&lt;&gt;"",$A32=$C$5),1,"")</f>
        <v/>
      </c>
      <c r="S32" s="21">
        <f>IF(AND($C$5&lt;&gt;"",$A32=$C$5),SUMIFS($G$8:$G$715,$A$8:$A$715,$C$5,$B$8:$B$715,"&lt;="&amp;$B32),"")</f>
        <v/>
      </c>
      <c r="T32" s="24" t="n"/>
      <c r="U32" s="24" t="n"/>
    </row>
    <row r="33">
      <c r="A33" s="2" t="inlineStr">
        <is>
          <t>CHN-33</t>
        </is>
      </c>
      <c r="B33" s="2" t="n">
        <v>5</v>
      </c>
      <c r="C33" s="2" t="inlineStr">
        <is>
          <t>IMP00609</t>
        </is>
      </c>
      <c r="D33" s="2" t="inlineStr">
        <is>
          <t>Jade Pack Co., Ltd</t>
        </is>
      </c>
      <c r="E33" s="2" t="n">
        <v>7</v>
      </c>
      <c r="F33" s="27" t="n">
        <v>30275833.18</v>
      </c>
      <c r="G33" s="28" t="n">
        <v>0.0503</v>
      </c>
      <c r="H33" s="19" t="n">
        <v>0.901</v>
      </c>
      <c r="I33" s="29" t="n">
        <v>0.1429</v>
      </c>
      <c r="J33" s="2" t="inlineStr">
        <is>
          <t>EXP0398</t>
        </is>
      </c>
      <c r="K33" s="2" t="n">
        <v>2</v>
      </c>
      <c r="L33" s="2" t="inlineStr">
        <is>
          <t>BRK071</t>
        </is>
      </c>
      <c r="M33" s="2" t="inlineStr">
        <is>
          <t>PORT3</t>
        </is>
      </c>
      <c r="N33" s="2" t="n">
        <v>0</v>
      </c>
      <c r="O33" s="2" t="n">
        <v>0</v>
      </c>
      <c r="P33" s="2" t="n">
        <v>0</v>
      </c>
      <c r="Q33" s="2" t="n">
        <v>0</v>
      </c>
      <c r="R33" s="30">
        <f>IF(AND($C$5&lt;&gt;"",$A33=$C$5),1,"")</f>
        <v/>
      </c>
      <c r="S33" s="21">
        <f>IF(AND($C$5&lt;&gt;"",$A33=$C$5),SUMIFS($G$8:$G$715,$A$8:$A$715,$C$5,$B$8:$B$715,"&lt;="&amp;$B33),"")</f>
        <v/>
      </c>
      <c r="T33" s="24" t="n"/>
      <c r="U33" s="24" t="n"/>
    </row>
    <row r="34">
      <c r="A34" s="2" t="inlineStr">
        <is>
          <t>CHN-33</t>
        </is>
      </c>
      <c r="B34" s="2" t="n">
        <v>6</v>
      </c>
      <c r="C34" s="2" t="inlineStr">
        <is>
          <t>IMP00934</t>
        </is>
      </c>
      <c r="D34" s="2" t="inlineStr">
        <is>
          <t>Summit Supply Co.</t>
        </is>
      </c>
      <c r="E34" s="2" t="n">
        <v>29</v>
      </c>
      <c r="F34" s="27" t="n">
        <v>30046595.78</v>
      </c>
      <c r="G34" s="28" t="n">
        <v>0.05</v>
      </c>
      <c r="H34" s="19" t="n">
        <v>0.742</v>
      </c>
      <c r="I34" s="29" t="n">
        <v>0.5172</v>
      </c>
      <c r="J34" s="2" t="inlineStr">
        <is>
          <t>EXP0406</t>
        </is>
      </c>
      <c r="K34" s="2" t="n">
        <v>3</v>
      </c>
      <c r="L34" s="2" t="inlineStr">
        <is>
          <t>BRK038</t>
        </is>
      </c>
      <c r="M34" s="2" t="inlineStr">
        <is>
          <t>LAND1</t>
        </is>
      </c>
      <c r="N34" s="2" t="n">
        <v>0</v>
      </c>
      <c r="O34" s="2" t="n">
        <v>0</v>
      </c>
      <c r="P34" s="2" t="n">
        <v>0</v>
      </c>
      <c r="Q34" s="2" t="n">
        <v>0</v>
      </c>
      <c r="R34" s="30">
        <f>IF(AND($C$5&lt;&gt;"",$A34=$C$5),1,"")</f>
        <v/>
      </c>
      <c r="S34" s="21">
        <f>IF(AND($C$5&lt;&gt;"",$A34=$C$5),SUMIFS($G$8:$G$715,$A$8:$A$715,$C$5,$B$8:$B$715,"&lt;="&amp;$B34),"")</f>
        <v/>
      </c>
      <c r="T34" s="24" t="n"/>
      <c r="U34" s="24" t="n"/>
    </row>
    <row r="35">
      <c r="A35" s="2" t="inlineStr">
        <is>
          <t>CHN-33</t>
        </is>
      </c>
      <c r="B35" s="2" t="n">
        <v>7</v>
      </c>
      <c r="C35" s="2" t="inlineStr">
        <is>
          <t>IMP00754</t>
        </is>
      </c>
      <c r="D35" s="2" t="inlineStr">
        <is>
          <t>Ocean Foods Co.</t>
        </is>
      </c>
      <c r="E35" s="2" t="n">
        <v>28</v>
      </c>
      <c r="F35" s="27" t="n">
        <v>20487883.48</v>
      </c>
      <c r="G35" s="28" t="n">
        <v>0.0341</v>
      </c>
      <c r="H35" s="19" t="n">
        <v>0.7015</v>
      </c>
      <c r="I35" s="29" t="n">
        <v>0.7857</v>
      </c>
      <c r="J35" s="2" t="inlineStr">
        <is>
          <t>EXP0069</t>
        </is>
      </c>
      <c r="K35" s="2" t="n">
        <v>4</v>
      </c>
      <c r="L35" s="2" t="inlineStr">
        <is>
          <t>BRK001</t>
        </is>
      </c>
      <c r="M35" s="2" t="inlineStr">
        <is>
          <t>AIR2</t>
        </is>
      </c>
      <c r="N35" s="2" t="n">
        <v>0</v>
      </c>
      <c r="O35" s="2" t="n">
        <v>0</v>
      </c>
      <c r="P35" s="2" t="n">
        <v>0</v>
      </c>
      <c r="Q35" s="2" t="n">
        <v>0</v>
      </c>
      <c r="R35" s="30">
        <f>IF(AND($C$5&lt;&gt;"",$A35=$C$5),1,"")</f>
        <v/>
      </c>
      <c r="S35" s="21">
        <f>IF(AND($C$5&lt;&gt;"",$A35=$C$5),SUMIFS($G$8:$G$715,$A$8:$A$715,$C$5,$B$8:$B$715,"&lt;="&amp;$B35),"")</f>
        <v/>
      </c>
      <c r="T35" s="24" t="n"/>
      <c r="U35" s="24" t="n"/>
    </row>
    <row r="36">
      <c r="A36" s="2" t="inlineStr">
        <is>
          <t>CHN-33</t>
        </is>
      </c>
      <c r="B36" s="2" t="n">
        <v>8</v>
      </c>
      <c r="C36" s="2" t="inlineStr">
        <is>
          <t>IMP00017</t>
        </is>
      </c>
      <c r="D36" s="2" t="inlineStr">
        <is>
          <t>Lotus Supply Partners Ltd</t>
        </is>
      </c>
      <c r="E36" s="2" t="n">
        <v>22</v>
      </c>
      <c r="F36" s="27" t="n">
        <v>19918975.68</v>
      </c>
      <c r="G36" s="28" t="n">
        <v>0.0331</v>
      </c>
      <c r="H36" s="19" t="n">
        <v>0.7355</v>
      </c>
      <c r="I36" s="29" t="n">
        <v>0.5455</v>
      </c>
      <c r="J36" s="2" t="inlineStr">
        <is>
          <t>EXP0593</t>
        </is>
      </c>
      <c r="K36" s="2" t="n">
        <v>2</v>
      </c>
      <c r="L36" s="2" t="inlineStr">
        <is>
          <t>BRK007</t>
        </is>
      </c>
      <c r="M36" s="2" t="inlineStr">
        <is>
          <t>LAND5</t>
        </is>
      </c>
      <c r="N36" s="2" t="n">
        <v>0</v>
      </c>
      <c r="O36" s="2" t="n">
        <v>0</v>
      </c>
      <c r="P36" s="2" t="n">
        <v>0</v>
      </c>
      <c r="Q36" s="2" t="n">
        <v>0</v>
      </c>
      <c r="R36" s="30">
        <f>IF(AND($C$5&lt;&gt;"",$A36=$C$5),1,"")</f>
        <v/>
      </c>
      <c r="S36" s="21">
        <f>IF(AND($C$5&lt;&gt;"",$A36=$C$5),SUMIFS($G$8:$G$715,$A$8:$A$715,$C$5,$B$8:$B$715,"&lt;="&amp;$B36),"")</f>
        <v/>
      </c>
      <c r="T36" s="24" t="n"/>
      <c r="U36" s="24" t="n"/>
    </row>
    <row r="37">
      <c r="A37" s="2" t="inlineStr">
        <is>
          <t>CHN-33</t>
        </is>
      </c>
      <c r="B37" s="2" t="n">
        <v>9</v>
      </c>
      <c r="C37" s="2" t="inlineStr">
        <is>
          <t>IMP01045</t>
        </is>
      </c>
      <c r="D37" s="2" t="inlineStr">
        <is>
          <t>Inverness Pack Co.</t>
        </is>
      </c>
      <c r="E37" s="2" t="n">
        <v>16</v>
      </c>
      <c r="F37" s="27" t="n">
        <v>16812144.05</v>
      </c>
      <c r="G37" s="28" t="n">
        <v>0.028</v>
      </c>
      <c r="H37" s="19" t="n">
        <v>0.735</v>
      </c>
      <c r="I37" s="29" t="n">
        <v>0.75</v>
      </c>
      <c r="J37" s="2" t="inlineStr">
        <is>
          <t>EXP0044</t>
        </is>
      </c>
      <c r="K37" s="2" t="n">
        <v>4</v>
      </c>
      <c r="L37" s="2" t="inlineStr">
        <is>
          <t>BRK070</t>
        </is>
      </c>
      <c r="M37" s="2" t="inlineStr">
        <is>
          <t>AIR1</t>
        </is>
      </c>
      <c r="N37" s="2" t="n">
        <v>0</v>
      </c>
      <c r="O37" s="2" t="n">
        <v>0</v>
      </c>
      <c r="P37" s="2" t="n">
        <v>0</v>
      </c>
      <c r="Q37" s="2" t="n">
        <v>0</v>
      </c>
      <c r="R37" s="30">
        <f>IF(AND($C$5&lt;&gt;"",$A37=$C$5),1,"")</f>
        <v/>
      </c>
      <c r="S37" s="21">
        <f>IF(AND($C$5&lt;&gt;"",$A37=$C$5),SUMIFS($G$8:$G$715,$A$8:$A$715,$C$5,$B$8:$B$715,"&lt;="&amp;$B37),"")</f>
        <v/>
      </c>
      <c r="T37" s="24" t="n"/>
      <c r="U37" s="24" t="n"/>
    </row>
    <row r="38">
      <c r="A38" s="2" t="inlineStr">
        <is>
          <t>CHN-33</t>
        </is>
      </c>
      <c r="B38" s="2" t="n">
        <v>10</v>
      </c>
      <c r="C38" s="2" t="inlineStr">
        <is>
          <t>IMP00233</t>
        </is>
      </c>
      <c r="D38" s="2" t="inlineStr">
        <is>
          <t>Meridian Fruits Partners Ltd</t>
        </is>
      </c>
      <c r="E38" s="2" t="n">
        <v>20</v>
      </c>
      <c r="F38" s="27" t="n">
        <v>14254334.7</v>
      </c>
      <c r="G38" s="28" t="n">
        <v>0.0237</v>
      </c>
      <c r="H38" s="19" t="n">
        <v>0.741</v>
      </c>
      <c r="I38" s="29" t="n">
        <v>0.55</v>
      </c>
      <c r="J38" s="2" t="inlineStr">
        <is>
          <t>EXP0453</t>
        </is>
      </c>
      <c r="K38" s="2" t="n">
        <v>4</v>
      </c>
      <c r="L38" s="2" t="inlineStr">
        <is>
          <t>BRK034</t>
        </is>
      </c>
      <c r="M38" s="2" t="inlineStr">
        <is>
          <t>LAND5</t>
        </is>
      </c>
      <c r="N38" s="2" t="n">
        <v>0</v>
      </c>
      <c r="O38" s="2" t="n">
        <v>0</v>
      </c>
      <c r="P38" s="2" t="n">
        <v>0</v>
      </c>
      <c r="Q38" s="2" t="n">
        <v>0</v>
      </c>
      <c r="R38" s="30">
        <f>IF(AND($C$5&lt;&gt;"",$A38=$C$5),1,"")</f>
        <v/>
      </c>
      <c r="S38" s="21">
        <f>IF(AND($C$5&lt;&gt;"",$A38=$C$5),SUMIFS($G$8:$G$715,$A$8:$A$715,$C$5,$B$8:$B$715,"&lt;="&amp;$B38),"")</f>
        <v/>
      </c>
      <c r="T38" s="24" t="n"/>
      <c r="U38" s="24" t="n"/>
    </row>
    <row r="39">
      <c r="A39" s="2" t="inlineStr">
        <is>
          <t>CHN-33</t>
        </is>
      </c>
      <c r="B39" s="2" t="n">
        <v>11</v>
      </c>
      <c r="C39" s="2" t="inlineStr">
        <is>
          <t>IMP00305</t>
        </is>
      </c>
      <c r="D39" s="2" t="inlineStr">
        <is>
          <t>Jade Pack Partners Ltd</t>
        </is>
      </c>
      <c r="E39" s="2" t="n">
        <v>8</v>
      </c>
      <c r="F39" s="27" t="n">
        <v>14060635.63</v>
      </c>
      <c r="G39" s="28" t="n">
        <v>0.0234</v>
      </c>
      <c r="H39" s="19" t="n">
        <v>0.8965</v>
      </c>
      <c r="I39" s="29" t="n">
        <v>0</v>
      </c>
      <c r="J39" s="2" t="inlineStr">
        <is>
          <t>EXP0006</t>
        </is>
      </c>
      <c r="K39" s="2" t="n">
        <v>1</v>
      </c>
      <c r="L39" s="2" t="inlineStr">
        <is>
          <t>BRK012</t>
        </is>
      </c>
      <c r="M39" s="2" t="inlineStr">
        <is>
          <t>PORT1</t>
        </is>
      </c>
      <c r="N39" s="2" t="n">
        <v>0</v>
      </c>
      <c r="O39" s="2" t="n">
        <v>0</v>
      </c>
      <c r="P39" s="2" t="n">
        <v>0</v>
      </c>
      <c r="Q39" s="2" t="n">
        <v>0</v>
      </c>
      <c r="R39" s="30">
        <f>IF(AND($C$5&lt;&gt;"",$A39=$C$5),1,"")</f>
        <v/>
      </c>
      <c r="S39" s="21">
        <f>IF(AND($C$5&lt;&gt;"",$A39=$C$5),SUMIFS($G$8:$G$715,$A$8:$A$715,$C$5,$B$8:$B$715,"&lt;="&amp;$B39),"")</f>
        <v/>
      </c>
      <c r="T39" s="24" t="n"/>
      <c r="U39" s="24" t="n"/>
    </row>
    <row r="40">
      <c r="A40" s="2" t="inlineStr">
        <is>
          <t>CHN-33</t>
        </is>
      </c>
      <c r="B40" s="2" t="n">
        <v>12</v>
      </c>
      <c r="C40" s="2" t="inlineStr">
        <is>
          <t>IMP00424</t>
        </is>
      </c>
      <c r="D40" s="2" t="inlineStr">
        <is>
          <t>Crown Motors &amp; Sons</t>
        </is>
      </c>
      <c r="E40" s="2" t="n">
        <v>2</v>
      </c>
      <c r="F40" s="27" t="n">
        <v>12640768.63</v>
      </c>
      <c r="G40" s="28" t="n">
        <v>0.021</v>
      </c>
      <c r="H40" s="19" t="n">
        <v>1.4795</v>
      </c>
      <c r="I40" s="29" t="n">
        <v>0</v>
      </c>
      <c r="J40" s="2" t="inlineStr">
        <is>
          <t>EXP0426</t>
        </is>
      </c>
      <c r="K40" s="2" t="n">
        <v>3</v>
      </c>
      <c r="L40" s="2" t="inlineStr">
        <is>
          <t>BRK006</t>
        </is>
      </c>
      <c r="M40" s="2" t="inlineStr">
        <is>
          <t>AIR1</t>
        </is>
      </c>
      <c r="N40" s="2" t="n">
        <v>0</v>
      </c>
      <c r="O40" s="2" t="n">
        <v>0</v>
      </c>
      <c r="P40" s="2" t="n">
        <v>0</v>
      </c>
      <c r="Q40" s="2" t="n">
        <v>0</v>
      </c>
      <c r="R40" s="30">
        <f>IF(AND($C$5&lt;&gt;"",$A40=$C$5),1,"")</f>
        <v/>
      </c>
      <c r="S40" s="21">
        <f>IF(AND($C$5&lt;&gt;"",$A40=$C$5),SUMIFS($G$8:$G$715,$A$8:$A$715,$C$5,$B$8:$B$715,"&lt;="&amp;$B40),"")</f>
        <v/>
      </c>
      <c r="T40" s="24" t="n"/>
      <c r="U40" s="24" t="n"/>
    </row>
    <row r="41">
      <c r="A41" s="2" t="inlineStr">
        <is>
          <t>CHN-33</t>
        </is>
      </c>
      <c r="B41" s="2" t="n">
        <v>13</v>
      </c>
      <c r="C41" s="2" t="inlineStr">
        <is>
          <t>IMP00386</t>
        </is>
      </c>
      <c r="D41" s="2" t="inlineStr">
        <is>
          <t>Arden Imports Partners Ltd</t>
        </is>
      </c>
      <c r="E41" s="2" t="n">
        <v>11</v>
      </c>
      <c r="F41" s="27" t="n">
        <v>9915167.35</v>
      </c>
      <c r="G41" s="28" t="n">
        <v>0.0165</v>
      </c>
      <c r="H41" s="19" t="n">
        <v>0.6929999999999999</v>
      </c>
      <c r="I41" s="29" t="n">
        <v>0.6364</v>
      </c>
      <c r="J41" s="2" t="inlineStr">
        <is>
          <t>EXP0213</t>
        </is>
      </c>
      <c r="K41" s="2" t="n">
        <v>1</v>
      </c>
      <c r="L41" s="2" t="inlineStr">
        <is>
          <t>BRK063</t>
        </is>
      </c>
      <c r="M41" s="2" t="inlineStr">
        <is>
          <t>LAND1</t>
        </is>
      </c>
      <c r="N41" s="2" t="n">
        <v>0</v>
      </c>
      <c r="O41" s="2" t="n">
        <v>0</v>
      </c>
      <c r="P41" s="2" t="n">
        <v>1</v>
      </c>
      <c r="Q41" s="2" t="n">
        <v>1</v>
      </c>
      <c r="R41" s="30">
        <f>IF(AND($C$5&lt;&gt;"",$A41=$C$5),1,"")</f>
        <v/>
      </c>
      <c r="S41" s="21">
        <f>IF(AND($C$5&lt;&gt;"",$A41=$C$5),SUMIFS($G$8:$G$715,$A$8:$A$715,$C$5,$B$8:$B$715,"&lt;="&amp;$B41),"")</f>
        <v/>
      </c>
      <c r="T41" s="24" t="n"/>
      <c r="U41" s="24" t="n"/>
    </row>
    <row r="42">
      <c r="A42" s="2" t="inlineStr">
        <is>
          <t>CHN-33</t>
        </is>
      </c>
      <c r="B42" s="2" t="n">
        <v>14</v>
      </c>
      <c r="C42" s="2" t="inlineStr">
        <is>
          <t>IMP01456</t>
        </is>
      </c>
      <c r="D42" s="2" t="inlineStr">
        <is>
          <t>Royal Steel Holdings Ltd</t>
        </is>
      </c>
      <c r="E42" s="2" t="n">
        <v>5</v>
      </c>
      <c r="F42" s="27" t="n">
        <v>8950292.17</v>
      </c>
      <c r="G42" s="28" t="n">
        <v>0.0149</v>
      </c>
      <c r="H42" s="19" t="n">
        <v>0.71</v>
      </c>
      <c r="I42" s="29" t="n">
        <v>1</v>
      </c>
      <c r="J42" s="2" t="inlineStr">
        <is>
          <t>EXP0170</t>
        </is>
      </c>
      <c r="K42" s="2" t="n">
        <v>2</v>
      </c>
      <c r="L42" s="2" t="inlineStr">
        <is>
          <t>BRK007</t>
        </is>
      </c>
      <c r="M42" s="2" t="inlineStr">
        <is>
          <t>PORT3</t>
        </is>
      </c>
      <c r="N42" s="2" t="n">
        <v>0</v>
      </c>
      <c r="O42" s="2" t="n">
        <v>0</v>
      </c>
      <c r="P42" s="2" t="n">
        <v>0</v>
      </c>
      <c r="Q42" s="2" t="n">
        <v>0</v>
      </c>
      <c r="R42" s="30">
        <f>IF(AND($C$5&lt;&gt;"",$A42=$C$5),1,"")</f>
        <v/>
      </c>
      <c r="S42" s="21">
        <f>IF(AND($C$5&lt;&gt;"",$A42=$C$5),SUMIFS($G$8:$G$715,$A$8:$A$715,$C$5,$B$8:$B$715,"&lt;="&amp;$B42),"")</f>
        <v/>
      </c>
      <c r="T42" s="24" t="n"/>
      <c r="U42" s="24" t="n"/>
    </row>
    <row r="43">
      <c r="A43" s="2" t="inlineStr">
        <is>
          <t>CHN-33</t>
        </is>
      </c>
      <c r="B43" s="2" t="n">
        <v>15</v>
      </c>
      <c r="C43" s="2" t="inlineStr">
        <is>
          <t>IMP00967</t>
        </is>
      </c>
      <c r="D43" s="2" t="inlineStr">
        <is>
          <t>Prime Electronics Co., Ltd</t>
        </is>
      </c>
      <c r="E43" s="2" t="n">
        <v>8</v>
      </c>
      <c r="F43" s="27" t="n">
        <v>7789703.25</v>
      </c>
      <c r="G43" s="28" t="n">
        <v>0.013</v>
      </c>
      <c r="H43" s="19" t="n">
        <v>0.7995</v>
      </c>
      <c r="I43" s="29" t="n">
        <v>0.25</v>
      </c>
      <c r="J43" s="2" t="inlineStr">
        <is>
          <t>EXP0517</t>
        </is>
      </c>
      <c r="K43" s="2" t="n">
        <v>3</v>
      </c>
      <c r="L43" s="2" t="inlineStr">
        <is>
          <t>BRK068</t>
        </is>
      </c>
      <c r="M43" s="2" t="inlineStr">
        <is>
          <t>AIR1</t>
        </is>
      </c>
      <c r="N43" s="2" t="n">
        <v>0</v>
      </c>
      <c r="O43" s="2" t="n">
        <v>0</v>
      </c>
      <c r="P43" s="2" t="n">
        <v>0</v>
      </c>
      <c r="Q43" s="2" t="n">
        <v>0</v>
      </c>
      <c r="R43" s="30">
        <f>IF(AND($C$5&lt;&gt;"",$A43=$C$5),1,"")</f>
        <v/>
      </c>
      <c r="S43" s="21">
        <f>IF(AND($C$5&lt;&gt;"",$A43=$C$5),SUMIFS($G$8:$G$715,$A$8:$A$715,$C$5,$B$8:$B$715,"&lt;="&amp;$B43),"")</f>
        <v/>
      </c>
      <c r="T43" s="24" t="n"/>
      <c r="U43" s="24" t="n"/>
    </row>
    <row r="44">
      <c r="A44" s="2" t="inlineStr">
        <is>
          <t>CHN-33</t>
        </is>
      </c>
      <c r="B44" s="2" t="n">
        <v>16</v>
      </c>
      <c r="C44" s="2" t="inlineStr">
        <is>
          <t>IMP00646</t>
        </is>
      </c>
      <c r="D44" s="2" t="inlineStr">
        <is>
          <t>Jade Imports Holdings Ltd</t>
        </is>
      </c>
      <c r="E44" s="2" t="n">
        <v>8</v>
      </c>
      <c r="F44" s="27" t="n">
        <v>6253938.41</v>
      </c>
      <c r="G44" s="28" t="n">
        <v>0.0104</v>
      </c>
      <c r="H44" s="19" t="n">
        <v>0.7534999999999999</v>
      </c>
      <c r="I44" s="29" t="n">
        <v>0.5</v>
      </c>
      <c r="J44" s="2" t="inlineStr">
        <is>
          <t>EXP0082</t>
        </is>
      </c>
      <c r="K44" s="2" t="n">
        <v>3</v>
      </c>
      <c r="L44" s="2" t="inlineStr">
        <is>
          <t>BRK052</t>
        </is>
      </c>
      <c r="M44" s="2" t="inlineStr">
        <is>
          <t>PORT2</t>
        </is>
      </c>
      <c r="N44" s="2" t="n">
        <v>0</v>
      </c>
      <c r="O44" s="2" t="n">
        <v>0</v>
      </c>
      <c r="P44" s="2" t="n">
        <v>0</v>
      </c>
      <c r="Q44" s="2" t="n">
        <v>1</v>
      </c>
      <c r="R44" s="30">
        <f>IF(AND($C$5&lt;&gt;"",$A44=$C$5),1,"")</f>
        <v/>
      </c>
      <c r="S44" s="21">
        <f>IF(AND($C$5&lt;&gt;"",$A44=$C$5),SUMIFS($G$8:$G$715,$A$8:$A$715,$C$5,$B$8:$B$715,"&lt;="&amp;$B44),"")</f>
        <v/>
      </c>
      <c r="T44" s="24" t="n"/>
      <c r="U44" s="24" t="n"/>
    </row>
    <row r="45">
      <c r="A45" s="2" t="inlineStr">
        <is>
          <t>CHN-33</t>
        </is>
      </c>
      <c r="B45" s="2" t="n">
        <v>17</v>
      </c>
      <c r="C45" s="2" t="inlineStr">
        <is>
          <t>IMP01400</t>
        </is>
      </c>
      <c r="D45" s="2" t="inlineStr">
        <is>
          <t>Pacific Fruits Group Ltd</t>
        </is>
      </c>
      <c r="E45" s="2" t="n">
        <v>3</v>
      </c>
      <c r="F45" s="27" t="n">
        <v>3698421.6</v>
      </c>
      <c r="G45" s="28" t="n">
        <v>0.0061</v>
      </c>
      <c r="H45" s="19" t="n">
        <v>0.874</v>
      </c>
      <c r="I45" s="29" t="n">
        <v>0</v>
      </c>
      <c r="J45" s="2" t="inlineStr">
        <is>
          <t>EXP0035</t>
        </is>
      </c>
      <c r="K45" s="2" t="n">
        <v>2</v>
      </c>
      <c r="L45" s="2" t="inlineStr">
        <is>
          <t>BRK073</t>
        </is>
      </c>
      <c r="M45" s="2" t="inlineStr">
        <is>
          <t>PORT3</t>
        </is>
      </c>
      <c r="N45" s="2" t="n">
        <v>0</v>
      </c>
      <c r="O45" s="2" t="n">
        <v>0</v>
      </c>
      <c r="P45" s="2" t="n">
        <v>0</v>
      </c>
      <c r="Q45" s="2" t="n">
        <v>0</v>
      </c>
      <c r="R45" s="30">
        <f>IF(AND($C$5&lt;&gt;"",$A45=$C$5),1,"")</f>
        <v/>
      </c>
      <c r="S45" s="21">
        <f>IF(AND($C$5&lt;&gt;"",$A45=$C$5),SUMIFS($G$8:$G$715,$A$8:$A$715,$C$5,$B$8:$B$715,"&lt;="&amp;$B45),"")</f>
        <v/>
      </c>
      <c r="T45" s="24" t="n"/>
      <c r="U45" s="24" t="n"/>
    </row>
    <row r="46">
      <c r="A46" s="2" t="inlineStr">
        <is>
          <t>CHN-33</t>
        </is>
      </c>
      <c r="B46" s="2" t="n">
        <v>18</v>
      </c>
      <c r="C46" s="2" t="inlineStr">
        <is>
          <t>IMP00953</t>
        </is>
      </c>
      <c r="D46" s="2" t="inlineStr">
        <is>
          <t>Dunmore Foods Ltd</t>
        </is>
      </c>
      <c r="E46" s="2" t="n">
        <v>6</v>
      </c>
      <c r="F46" s="27" t="n">
        <v>3626305.75</v>
      </c>
      <c r="G46" s="28" t="n">
        <v>0.006</v>
      </c>
      <c r="H46" s="19" t="n">
        <v>0.869</v>
      </c>
      <c r="I46" s="29" t="n">
        <v>0</v>
      </c>
      <c r="J46" s="2" t="inlineStr">
        <is>
          <t>EXP0012</t>
        </is>
      </c>
      <c r="K46" s="2" t="n">
        <v>1</v>
      </c>
      <c r="L46" s="2" t="inlineStr">
        <is>
          <t>BRK005</t>
        </is>
      </c>
      <c r="M46" s="2" t="inlineStr">
        <is>
          <t>PORT2</t>
        </is>
      </c>
      <c r="N46" s="2" t="n">
        <v>0</v>
      </c>
      <c r="O46" s="2" t="n">
        <v>0</v>
      </c>
      <c r="P46" s="2" t="n">
        <v>0</v>
      </c>
      <c r="Q46" s="2" t="n">
        <v>0</v>
      </c>
      <c r="R46" s="30">
        <f>IF(AND($C$5&lt;&gt;"",$A46=$C$5),1,"")</f>
        <v/>
      </c>
      <c r="S46" s="21">
        <f>IF(AND($C$5&lt;&gt;"",$A46=$C$5),SUMIFS($G$8:$G$715,$A$8:$A$715,$C$5,$B$8:$B$715,"&lt;="&amp;$B46),"")</f>
        <v/>
      </c>
      <c r="T46" s="24" t="n"/>
      <c r="U46" s="24" t="n"/>
    </row>
    <row r="47">
      <c r="A47" s="2" t="inlineStr">
        <is>
          <t>CHN-33</t>
        </is>
      </c>
      <c r="B47" s="2" t="n">
        <v>19</v>
      </c>
      <c r="C47" s="2" t="inlineStr">
        <is>
          <t>IMP01444</t>
        </is>
      </c>
      <c r="D47" s="2" t="inlineStr">
        <is>
          <t>Evergreen Motors Co., Ltd</t>
        </is>
      </c>
      <c r="E47" s="2" t="n">
        <v>3</v>
      </c>
      <c r="F47" s="27" t="n">
        <v>3350277.81</v>
      </c>
      <c r="G47" s="28" t="n">
        <v>0.0056</v>
      </c>
      <c r="H47" s="19" t="n">
        <v>0.718</v>
      </c>
      <c r="I47" s="29" t="n">
        <v>1</v>
      </c>
      <c r="J47" s="2" t="inlineStr">
        <is>
          <t>EXP0117</t>
        </is>
      </c>
      <c r="K47" s="2" t="n">
        <v>2</v>
      </c>
      <c r="L47" s="2" t="inlineStr">
        <is>
          <t>BRK035</t>
        </is>
      </c>
      <c r="M47" s="2" t="inlineStr">
        <is>
          <t>PORT3</t>
        </is>
      </c>
      <c r="N47" s="2" t="n">
        <v>0</v>
      </c>
      <c r="O47" s="2" t="n">
        <v>0</v>
      </c>
      <c r="P47" s="2" t="n">
        <v>0</v>
      </c>
      <c r="Q47" s="2" t="n">
        <v>0</v>
      </c>
      <c r="R47" s="30">
        <f>IF(AND($C$5&lt;&gt;"",$A47=$C$5),1,"")</f>
        <v/>
      </c>
      <c r="S47" s="21">
        <f>IF(AND($C$5&lt;&gt;"",$A47=$C$5),SUMIFS($G$8:$G$715,$A$8:$A$715,$C$5,$B$8:$B$715,"&lt;="&amp;$B47),"")</f>
        <v/>
      </c>
      <c r="T47" s="24" t="n"/>
      <c r="U47" s="24" t="n"/>
    </row>
    <row r="48">
      <c r="A48" s="2" t="inlineStr">
        <is>
          <t>CHN-33</t>
        </is>
      </c>
      <c r="B48" s="2" t="n">
        <v>20</v>
      </c>
      <c r="C48" s="2" t="inlineStr">
        <is>
          <t>IMP00199</t>
        </is>
      </c>
      <c r="D48" s="2" t="inlineStr">
        <is>
          <t>Green Valley Glow Co.</t>
        </is>
      </c>
      <c r="E48" s="2" t="n">
        <v>3</v>
      </c>
      <c r="F48" s="27" t="n">
        <v>3213198.82</v>
      </c>
      <c r="G48" s="28" t="n">
        <v>0.0053</v>
      </c>
      <c r="H48" s="19" t="n">
        <v>0.802</v>
      </c>
      <c r="I48" s="29" t="n">
        <v>0</v>
      </c>
      <c r="J48" s="2" t="inlineStr">
        <is>
          <t>EXP0466</t>
        </is>
      </c>
      <c r="K48" s="2" t="n">
        <v>2</v>
      </c>
      <c r="L48" s="2" t="inlineStr">
        <is>
          <t>BRK016</t>
        </is>
      </c>
      <c r="M48" s="2" t="inlineStr">
        <is>
          <t>PORT2</t>
        </is>
      </c>
      <c r="N48" s="2" t="n">
        <v>0</v>
      </c>
      <c r="O48" s="2" t="n">
        <v>0</v>
      </c>
      <c r="P48" s="2" t="n">
        <v>0</v>
      </c>
      <c r="Q48" s="2" t="n">
        <v>0</v>
      </c>
      <c r="R48" s="30">
        <f>IF(AND($C$5&lt;&gt;"",$A48=$C$5),1,"")</f>
        <v/>
      </c>
      <c r="S48" s="21">
        <f>IF(AND($C$5&lt;&gt;"",$A48=$C$5),SUMIFS($G$8:$G$715,$A$8:$A$715,$C$5,$B$8:$B$715,"&lt;="&amp;$B48),"")</f>
        <v/>
      </c>
      <c r="T48" s="24" t="n"/>
      <c r="U48" s="24" t="n"/>
    </row>
    <row r="49">
      <c r="A49" s="2" t="inlineStr">
        <is>
          <t>CHN-33</t>
        </is>
      </c>
      <c r="B49" s="2" t="n">
        <v>21</v>
      </c>
      <c r="C49" s="2" t="inlineStr">
        <is>
          <t>IMP00455</t>
        </is>
      </c>
      <c r="D49" s="2" t="inlineStr">
        <is>
          <t>Jade Enterprises Holdings Ltd</t>
        </is>
      </c>
      <c r="E49" s="2" t="n">
        <v>2</v>
      </c>
      <c r="F49" s="27" t="n">
        <v>2853516.92</v>
      </c>
      <c r="G49" s="28" t="n">
        <v>0.0047</v>
      </c>
      <c r="H49" s="19" t="n">
        <v>0.737</v>
      </c>
      <c r="I49" s="29" t="n">
        <v>0.5</v>
      </c>
      <c r="J49" s="2" t="inlineStr">
        <is>
          <t>EXP0453</t>
        </is>
      </c>
      <c r="K49" s="2" t="n">
        <v>4</v>
      </c>
      <c r="L49" s="2" t="inlineStr">
        <is>
          <t>BRK021</t>
        </is>
      </c>
      <c r="M49" s="2" t="inlineStr">
        <is>
          <t>LAND7</t>
        </is>
      </c>
      <c r="N49" s="2" t="n">
        <v>0</v>
      </c>
      <c r="O49" s="2" t="n">
        <v>0</v>
      </c>
      <c r="P49" s="2" t="n">
        <v>0</v>
      </c>
      <c r="Q49" s="2" t="n">
        <v>0</v>
      </c>
      <c r="R49" s="30">
        <f>IF(AND($C$5&lt;&gt;"",$A49=$C$5),1,"")</f>
        <v/>
      </c>
      <c r="S49" s="21">
        <f>IF(AND($C$5&lt;&gt;"",$A49=$C$5),SUMIFS($G$8:$G$715,$A$8:$A$715,$C$5,$B$8:$B$715,"&lt;="&amp;$B49),"")</f>
        <v/>
      </c>
      <c r="T49" s="24" t="n"/>
      <c r="U49" s="24" t="n"/>
    </row>
    <row r="50">
      <c r="A50" s="2" t="inlineStr">
        <is>
          <t>CHN-33</t>
        </is>
      </c>
      <c r="B50" s="2" t="n">
        <v>22</v>
      </c>
      <c r="C50" s="2" t="inlineStr">
        <is>
          <t>IMP01392</t>
        </is>
      </c>
      <c r="D50" s="2" t="inlineStr">
        <is>
          <t>Sunrise Distribution Enterprises</t>
        </is>
      </c>
      <c r="E50" s="2" t="n">
        <v>2</v>
      </c>
      <c r="F50" s="27" t="n">
        <v>2261330.49</v>
      </c>
      <c r="G50" s="28" t="n">
        <v>0.0038</v>
      </c>
      <c r="H50" s="19" t="n">
        <v>0.8135</v>
      </c>
      <c r="I50" s="29" t="n">
        <v>0.5</v>
      </c>
      <c r="J50" s="2" t="inlineStr">
        <is>
          <t>EXP0464</t>
        </is>
      </c>
      <c r="K50" s="2" t="n">
        <v>1</v>
      </c>
      <c r="L50" s="2" t="inlineStr">
        <is>
          <t>BRK066</t>
        </is>
      </c>
      <c r="M50" s="2" t="inlineStr">
        <is>
          <t>LAND1</t>
        </is>
      </c>
      <c r="N50" s="2" t="n">
        <v>0</v>
      </c>
      <c r="O50" s="2" t="n">
        <v>0</v>
      </c>
      <c r="P50" s="2" t="n">
        <v>1</v>
      </c>
      <c r="Q50" s="2" t="n">
        <v>0</v>
      </c>
      <c r="R50" s="30">
        <f>IF(AND($C$5&lt;&gt;"",$A50=$C$5),1,"")</f>
        <v/>
      </c>
      <c r="S50" s="21">
        <f>IF(AND($C$5&lt;&gt;"",$A50=$C$5),SUMIFS($G$8:$G$715,$A$8:$A$715,$C$5,$B$8:$B$715,"&lt;="&amp;$B50),"")</f>
        <v/>
      </c>
      <c r="T50" s="24" t="n"/>
      <c r="U50" s="24" t="n"/>
    </row>
    <row r="51">
      <c r="A51" s="2" t="inlineStr">
        <is>
          <t>CHN-33</t>
        </is>
      </c>
      <c r="B51" s="2" t="n">
        <v>23</v>
      </c>
      <c r="C51" s="2" t="inlineStr">
        <is>
          <t>IMP00079</t>
        </is>
      </c>
      <c r="D51" s="2" t="inlineStr">
        <is>
          <t>Saffron Enterprises Ltd</t>
        </is>
      </c>
      <c r="E51" s="2" t="n">
        <v>1</v>
      </c>
      <c r="F51" s="27" t="n">
        <v>2208818.21</v>
      </c>
      <c r="G51" s="28" t="n">
        <v>0.0037</v>
      </c>
      <c r="H51" s="19" t="n">
        <v>0.805</v>
      </c>
      <c r="I51" s="29" t="n">
        <v>0</v>
      </c>
      <c r="J51" s="2" t="inlineStr">
        <is>
          <t>EXP0178</t>
        </is>
      </c>
      <c r="K51" s="2" t="n">
        <v>2</v>
      </c>
      <c r="L51" s="2" t="inlineStr">
        <is>
          <t>BRK021</t>
        </is>
      </c>
      <c r="M51" s="2" t="inlineStr">
        <is>
          <t>LAND2</t>
        </is>
      </c>
      <c r="N51" s="2" t="n">
        <v>0</v>
      </c>
      <c r="O51" s="2" t="n">
        <v>0</v>
      </c>
      <c r="P51" s="2" t="n">
        <v>0</v>
      </c>
      <c r="Q51" s="2" t="n">
        <v>0</v>
      </c>
      <c r="R51" s="30">
        <f>IF(AND($C$5&lt;&gt;"",$A51=$C$5),1,"")</f>
        <v/>
      </c>
      <c r="S51" s="21">
        <f>IF(AND($C$5&lt;&gt;"",$A51=$C$5),SUMIFS($G$8:$G$715,$A$8:$A$715,$C$5,$B$8:$B$715,"&lt;="&amp;$B51),"")</f>
        <v/>
      </c>
      <c r="T51" s="24" t="n"/>
      <c r="U51" s="24" t="n"/>
    </row>
    <row r="52">
      <c r="A52" s="2" t="inlineStr">
        <is>
          <t>CHN-33</t>
        </is>
      </c>
      <c r="B52" s="2" t="n">
        <v>24</v>
      </c>
      <c r="C52" s="2" t="inlineStr">
        <is>
          <t>IMP00147</t>
        </is>
      </c>
      <c r="D52" s="2" t="inlineStr">
        <is>
          <t>Central Imports International Ltd</t>
        </is>
      </c>
      <c r="E52" s="2" t="n">
        <v>1</v>
      </c>
      <c r="F52" s="27" t="n">
        <v>2028499.89</v>
      </c>
      <c r="G52" s="28" t="n">
        <v>0.0034</v>
      </c>
      <c r="H52" s="19" t="n">
        <v>1.016</v>
      </c>
      <c r="I52" s="29" t="n">
        <v>0</v>
      </c>
      <c r="J52" s="2" t="inlineStr">
        <is>
          <t>EXP0406</t>
        </is>
      </c>
      <c r="K52" s="2" t="n">
        <v>3</v>
      </c>
      <c r="L52" s="2" t="inlineStr">
        <is>
          <t>BRK042</t>
        </is>
      </c>
      <c r="M52" s="2" t="inlineStr">
        <is>
          <t>PORT1</t>
        </is>
      </c>
      <c r="N52" s="2" t="n">
        <v>0</v>
      </c>
      <c r="O52" s="2" t="n">
        <v>0</v>
      </c>
      <c r="P52" s="2" t="n">
        <v>0</v>
      </c>
      <c r="Q52" s="2" t="n">
        <v>0</v>
      </c>
      <c r="R52" s="30">
        <f>IF(AND($C$5&lt;&gt;"",$A52=$C$5),1,"")</f>
        <v/>
      </c>
      <c r="S52" s="21">
        <f>IF(AND($C$5&lt;&gt;"",$A52=$C$5),SUMIFS($G$8:$G$715,$A$8:$A$715,$C$5,$B$8:$B$715,"&lt;="&amp;$B52),"")</f>
        <v/>
      </c>
      <c r="T52" s="24" t="n"/>
      <c r="U52" s="24" t="n"/>
    </row>
    <row r="53">
      <c r="A53" s="2" t="inlineStr">
        <is>
          <t>CHN-33</t>
        </is>
      </c>
      <c r="B53" s="2" t="n">
        <v>25</v>
      </c>
      <c r="C53" s="2" t="inlineStr">
        <is>
          <t>IMP00805</t>
        </is>
      </c>
      <c r="D53" s="2" t="inlineStr">
        <is>
          <t>Pacific Glow &amp; Sons</t>
        </is>
      </c>
      <c r="E53" s="2" t="n">
        <v>2</v>
      </c>
      <c r="F53" s="27" t="n">
        <v>1863380.68</v>
      </c>
      <c r="G53" s="28" t="n">
        <v>0.0031</v>
      </c>
      <c r="H53" s="19" t="n">
        <v>1.0055</v>
      </c>
      <c r="I53" s="29" t="n">
        <v>0</v>
      </c>
      <c r="J53" s="2" t="inlineStr">
        <is>
          <t>EXP0517</t>
        </is>
      </c>
      <c r="K53" s="2" t="n">
        <v>3</v>
      </c>
      <c r="L53" s="2" t="inlineStr">
        <is>
          <t>BRK055</t>
        </is>
      </c>
      <c r="M53" s="2" t="inlineStr">
        <is>
          <t>PORT2</t>
        </is>
      </c>
      <c r="N53" s="2" t="n">
        <v>1</v>
      </c>
      <c r="O53" s="2" t="n">
        <v>0</v>
      </c>
      <c r="P53" s="2" t="n">
        <v>0</v>
      </c>
      <c r="Q53" s="2" t="n">
        <v>0</v>
      </c>
      <c r="R53" s="30">
        <f>IF(AND($C$5&lt;&gt;"",$A53=$C$5),1,"")</f>
        <v/>
      </c>
      <c r="S53" s="21">
        <f>IF(AND($C$5&lt;&gt;"",$A53=$C$5),SUMIFS($G$8:$G$715,$A$8:$A$715,$C$5,$B$8:$B$715,"&lt;="&amp;$B53),"")</f>
        <v/>
      </c>
      <c r="T53" s="24" t="n"/>
      <c r="U53" s="24" t="n"/>
    </row>
    <row r="54">
      <c r="A54" s="2" t="inlineStr">
        <is>
          <t>CHN-33</t>
        </is>
      </c>
      <c r="B54" s="2" t="n">
        <v>26</v>
      </c>
      <c r="C54" s="2" t="inlineStr">
        <is>
          <t>IMP01003</t>
        </is>
      </c>
      <c r="D54" s="2" t="inlineStr">
        <is>
          <t>United Textiles Limited</t>
        </is>
      </c>
      <c r="E54" s="2" t="n">
        <v>1</v>
      </c>
      <c r="F54" s="27" t="n">
        <v>1713390.79</v>
      </c>
      <c r="G54" s="28" t="n">
        <v>0.0028</v>
      </c>
      <c r="H54" s="19" t="n">
        <v>1.577</v>
      </c>
      <c r="I54" s="29" t="n">
        <v>0</v>
      </c>
      <c r="J54" s="2" t="inlineStr">
        <is>
          <t>EXP0035</t>
        </is>
      </c>
      <c r="K54" s="2" t="n">
        <v>2</v>
      </c>
      <c r="L54" s="2" t="inlineStr">
        <is>
          <t>BRK048</t>
        </is>
      </c>
      <c r="M54" s="2" t="inlineStr">
        <is>
          <t>PORT1</t>
        </is>
      </c>
      <c r="N54" s="2" t="n">
        <v>0</v>
      </c>
      <c r="O54" s="2" t="n">
        <v>0</v>
      </c>
      <c r="P54" s="2" t="n">
        <v>0</v>
      </c>
      <c r="Q54" s="2" t="n">
        <v>0</v>
      </c>
      <c r="R54" s="30">
        <f>IF(AND($C$5&lt;&gt;"",$A54=$C$5),1,"")</f>
        <v/>
      </c>
      <c r="S54" s="21">
        <f>IF(AND($C$5&lt;&gt;"",$A54=$C$5),SUMIFS($G$8:$G$715,$A$8:$A$715,$C$5,$B$8:$B$715,"&lt;="&amp;$B54),"")</f>
        <v/>
      </c>
      <c r="T54" s="24" t="n"/>
      <c r="U54" s="24" t="n"/>
    </row>
    <row r="55">
      <c r="A55" s="2" t="inlineStr">
        <is>
          <t>CHN-33</t>
        </is>
      </c>
      <c r="B55" s="2" t="n">
        <v>27</v>
      </c>
      <c r="C55" s="2" t="inlineStr">
        <is>
          <t>IMP00655</t>
        </is>
      </c>
      <c r="D55" s="2" t="inlineStr">
        <is>
          <t>Ocean Steel Group Ltd</t>
        </is>
      </c>
      <c r="E55" s="2" t="n">
        <v>2</v>
      </c>
      <c r="F55" s="27" t="n">
        <v>1465619.23</v>
      </c>
      <c r="G55" s="28" t="n">
        <v>0.0024</v>
      </c>
      <c r="H55" s="19" t="n">
        <v>0.6705</v>
      </c>
      <c r="I55" s="29" t="n">
        <v>1</v>
      </c>
      <c r="J55" s="2" t="inlineStr">
        <is>
          <t>EXP0479</t>
        </is>
      </c>
      <c r="K55" s="2" t="n">
        <v>2</v>
      </c>
      <c r="L55" s="2" t="inlineStr">
        <is>
          <t>BRK048</t>
        </is>
      </c>
      <c r="M55" s="2" t="inlineStr">
        <is>
          <t>LAND3</t>
        </is>
      </c>
      <c r="N55" s="2" t="n">
        <v>0</v>
      </c>
      <c r="O55" s="2" t="n">
        <v>0</v>
      </c>
      <c r="P55" s="2" t="n">
        <v>1</v>
      </c>
      <c r="Q55" s="2" t="n">
        <v>0</v>
      </c>
      <c r="R55" s="30">
        <f>IF(AND($C$5&lt;&gt;"",$A55=$C$5),1,"")</f>
        <v/>
      </c>
      <c r="S55" s="21">
        <f>IF(AND($C$5&lt;&gt;"",$A55=$C$5),SUMIFS($G$8:$G$715,$A$8:$A$715,$C$5,$B$8:$B$715,"&lt;="&amp;$B55),"")</f>
        <v/>
      </c>
      <c r="T55" s="24" t="n"/>
      <c r="U55" s="24" t="n"/>
    </row>
    <row r="56">
      <c r="A56" s="2" t="inlineStr">
        <is>
          <t>CHN-33</t>
        </is>
      </c>
      <c r="B56" s="2" t="n">
        <v>28</v>
      </c>
      <c r="C56" s="2" t="inlineStr">
        <is>
          <t>IMP00356</t>
        </is>
      </c>
      <c r="D56" s="2" t="inlineStr">
        <is>
          <t>Cobalt Logistics Ltd</t>
        </is>
      </c>
      <c r="E56" s="2" t="n">
        <v>1</v>
      </c>
      <c r="F56" s="27" t="n">
        <v>1455164.36</v>
      </c>
      <c r="G56" s="28" t="n">
        <v>0.0024</v>
      </c>
      <c r="H56" s="19" t="n">
        <v>0.757</v>
      </c>
      <c r="I56" s="29" t="n">
        <v>0</v>
      </c>
      <c r="J56" s="2" t="inlineStr">
        <is>
          <t>EXP0178</t>
        </is>
      </c>
      <c r="K56" s="2" t="n">
        <v>2</v>
      </c>
      <c r="L56" s="2" t="inlineStr">
        <is>
          <t>BRK007</t>
        </is>
      </c>
      <c r="M56" s="2" t="inlineStr">
        <is>
          <t>PORT1</t>
        </is>
      </c>
      <c r="N56" s="2" t="n">
        <v>0</v>
      </c>
      <c r="O56" s="2" t="n">
        <v>0</v>
      </c>
      <c r="P56" s="2" t="n">
        <v>0</v>
      </c>
      <c r="Q56" s="2" t="n">
        <v>0</v>
      </c>
      <c r="R56" s="30">
        <f>IF(AND($C$5&lt;&gt;"",$A56=$C$5),1,"")</f>
        <v/>
      </c>
      <c r="S56" s="21">
        <f>IF(AND($C$5&lt;&gt;"",$A56=$C$5),SUMIFS($G$8:$G$715,$A$8:$A$715,$C$5,$B$8:$B$715,"&lt;="&amp;$B56),"")</f>
        <v/>
      </c>
      <c r="T56" s="24" t="n"/>
      <c r="U56" s="24" t="n"/>
    </row>
    <row r="57">
      <c r="A57" s="2" t="inlineStr">
        <is>
          <t>CHN-33</t>
        </is>
      </c>
      <c r="B57" s="2" t="n">
        <v>29</v>
      </c>
      <c r="C57" s="2" t="inlineStr">
        <is>
          <t>IMP00990</t>
        </is>
      </c>
      <c r="D57" s="2" t="inlineStr">
        <is>
          <t>Metro Motors Group Ltd</t>
        </is>
      </c>
      <c r="E57" s="2" t="n">
        <v>1</v>
      </c>
      <c r="F57" s="27" t="n">
        <v>676625.24</v>
      </c>
      <c r="G57" s="28" t="n">
        <v>0.0011</v>
      </c>
      <c r="H57" s="19" t="n">
        <v>0.751</v>
      </c>
      <c r="I57" s="29" t="n">
        <v>0</v>
      </c>
      <c r="J57" s="2" t="inlineStr">
        <is>
          <t>EXP0421</t>
        </is>
      </c>
      <c r="K57" s="2" t="n">
        <v>2</v>
      </c>
      <c r="L57" s="2" t="inlineStr">
        <is>
          <t>BRK033</t>
        </is>
      </c>
      <c r="M57" s="2" t="inlineStr">
        <is>
          <t>LAND3</t>
        </is>
      </c>
      <c r="N57" s="2" t="n">
        <v>0</v>
      </c>
      <c r="O57" s="2" t="n">
        <v>1</v>
      </c>
      <c r="P57" s="2" t="n">
        <v>0</v>
      </c>
      <c r="Q57" s="2" t="n">
        <v>0</v>
      </c>
      <c r="R57" s="30">
        <f>IF(AND($C$5&lt;&gt;"",$A57=$C$5),1,"")</f>
        <v/>
      </c>
      <c r="S57" s="21">
        <f>IF(AND($C$5&lt;&gt;"",$A57=$C$5),SUMIFS($G$8:$G$715,$A$8:$A$715,$C$5,$B$8:$B$715,"&lt;="&amp;$B57),"")</f>
        <v/>
      </c>
      <c r="T57" s="24" t="n"/>
      <c r="U57" s="24" t="n"/>
    </row>
    <row r="58">
      <c r="A58" s="2" t="inlineStr">
        <is>
          <t>CHN-33</t>
        </is>
      </c>
      <c r="B58" s="2" t="n">
        <v>30</v>
      </c>
      <c r="C58" s="2" t="inlineStr">
        <is>
          <t>IMP00591</t>
        </is>
      </c>
      <c r="D58" s="2" t="inlineStr">
        <is>
          <t>Twin Rivers Medical Ltd</t>
        </is>
      </c>
      <c r="E58" s="2" t="n">
        <v>1</v>
      </c>
      <c r="F58" s="27" t="n">
        <v>564966.71</v>
      </c>
      <c r="G58" s="28" t="n">
        <v>0.0009</v>
      </c>
      <c r="H58" s="19" t="n">
        <v>1.254</v>
      </c>
      <c r="I58" s="29" t="n">
        <v>0</v>
      </c>
      <c r="J58" s="2" t="inlineStr">
        <is>
          <t>EXP0378</t>
        </is>
      </c>
      <c r="K58" s="2" t="n">
        <v>2</v>
      </c>
      <c r="L58" s="2" t="inlineStr">
        <is>
          <t>BRK044</t>
        </is>
      </c>
      <c r="M58" s="2" t="inlineStr">
        <is>
          <t>LAND1</t>
        </is>
      </c>
      <c r="N58" s="2" t="n">
        <v>0</v>
      </c>
      <c r="O58" s="2" t="n">
        <v>0</v>
      </c>
      <c r="P58" s="2" t="n">
        <v>0</v>
      </c>
      <c r="Q58" s="2" t="n">
        <v>0</v>
      </c>
      <c r="R58" s="30">
        <f>IF(AND($C$5&lt;&gt;"",$A58=$C$5),1,"")</f>
        <v/>
      </c>
      <c r="S58" s="21">
        <f>IF(AND($C$5&lt;&gt;"",$A58=$C$5),SUMIFS($G$8:$G$715,$A$8:$A$715,$C$5,$B$8:$B$715,"&lt;="&amp;$B58),"")</f>
        <v/>
      </c>
      <c r="T58" s="24" t="n"/>
      <c r="U58" s="24" t="n"/>
    </row>
    <row r="59">
      <c r="A59" s="2" t="inlineStr">
        <is>
          <t>CHN-33</t>
        </is>
      </c>
      <c r="B59" s="2" t="n">
        <v>31</v>
      </c>
      <c r="C59" s="2" t="inlineStr">
        <is>
          <t>IMP00539</t>
        </is>
      </c>
      <c r="D59" s="2" t="inlineStr">
        <is>
          <t>United Distribution &amp; Sons</t>
        </is>
      </c>
      <c r="E59" s="2" t="n">
        <v>1</v>
      </c>
      <c r="F59" s="27" t="n">
        <v>509629.82</v>
      </c>
      <c r="G59" s="28" t="n">
        <v>0.0008</v>
      </c>
      <c r="H59" s="19" t="n">
        <v>0.755</v>
      </c>
      <c r="I59" s="29" t="n">
        <v>0</v>
      </c>
      <c r="J59" s="2" t="inlineStr">
        <is>
          <t>EXP0044</t>
        </is>
      </c>
      <c r="K59" s="2" t="n">
        <v>4</v>
      </c>
      <c r="L59" s="2" t="inlineStr">
        <is>
          <t>BRK075</t>
        </is>
      </c>
      <c r="M59" s="2" t="inlineStr">
        <is>
          <t>PORT2</t>
        </is>
      </c>
      <c r="N59" s="2" t="n">
        <v>0</v>
      </c>
      <c r="O59" s="2" t="n">
        <v>0</v>
      </c>
      <c r="P59" s="2" t="n">
        <v>0</v>
      </c>
      <c r="Q59" s="2" t="n">
        <v>0</v>
      </c>
      <c r="R59" s="30">
        <f>IF(AND($C$5&lt;&gt;"",$A59=$C$5),1,"")</f>
        <v/>
      </c>
      <c r="S59" s="21">
        <f>IF(AND($C$5&lt;&gt;"",$A59=$C$5),SUMIFS($G$8:$G$715,$A$8:$A$715,$C$5,$B$8:$B$715,"&lt;="&amp;$B59),"")</f>
        <v/>
      </c>
      <c r="T59" s="24" t="n"/>
      <c r="U59" s="24" t="n"/>
    </row>
    <row r="60">
      <c r="A60" s="2" t="inlineStr">
        <is>
          <t>CHN-33</t>
        </is>
      </c>
      <c r="B60" s="2" t="n">
        <v>32</v>
      </c>
      <c r="C60" s="2" t="inlineStr">
        <is>
          <t>IMP00011</t>
        </is>
      </c>
      <c r="D60" s="2" t="inlineStr">
        <is>
          <t>Silk Road Steel Co.</t>
        </is>
      </c>
      <c r="E60" s="2" t="n">
        <v>1</v>
      </c>
      <c r="F60" s="27" t="n">
        <v>443707.46</v>
      </c>
      <c r="G60" s="28" t="n">
        <v>0.0007</v>
      </c>
      <c r="H60" s="19" t="n">
        <v>0.6919999999999999</v>
      </c>
      <c r="I60" s="29" t="n">
        <v>1</v>
      </c>
      <c r="J60" s="2" t="inlineStr">
        <is>
          <t>EXP0044</t>
        </is>
      </c>
      <c r="K60" s="2" t="n">
        <v>4</v>
      </c>
      <c r="L60" s="2" t="inlineStr">
        <is>
          <t>BRK015</t>
        </is>
      </c>
      <c r="M60" s="2" t="inlineStr">
        <is>
          <t>PORT1</t>
        </is>
      </c>
      <c r="N60" s="2" t="n">
        <v>0</v>
      </c>
      <c r="O60" s="2" t="n">
        <v>1</v>
      </c>
      <c r="P60" s="2" t="n">
        <v>1</v>
      </c>
      <c r="Q60" s="2" t="n">
        <v>0</v>
      </c>
      <c r="R60" s="30">
        <f>IF(AND($C$5&lt;&gt;"",$A60=$C$5),1,"")</f>
        <v/>
      </c>
      <c r="S60" s="21">
        <f>IF(AND($C$5&lt;&gt;"",$A60=$C$5),SUMIFS($G$8:$G$715,$A$8:$A$715,$C$5,$B$8:$B$715,"&lt;="&amp;$B60),"")</f>
        <v/>
      </c>
      <c r="T60" s="24" t="n"/>
      <c r="U60" s="24" t="n"/>
    </row>
    <row r="61">
      <c r="A61" s="2" t="inlineStr">
        <is>
          <t>CHN-33</t>
        </is>
      </c>
      <c r="B61" s="2" t="n">
        <v>33</v>
      </c>
      <c r="C61" s="2" t="inlineStr">
        <is>
          <t>IMP00403</t>
        </is>
      </c>
      <c r="D61" s="2" t="inlineStr">
        <is>
          <t>Harmony Agro &amp; Sons</t>
        </is>
      </c>
      <c r="E61" s="2" t="n">
        <v>1</v>
      </c>
      <c r="F61" s="27" t="n">
        <v>280259.71</v>
      </c>
      <c r="G61" s="28" t="n">
        <v>0.0005</v>
      </c>
      <c r="H61" s="19" t="n">
        <v>0.864</v>
      </c>
      <c r="I61" s="29" t="n">
        <v>0</v>
      </c>
      <c r="J61" s="2" t="inlineStr">
        <is>
          <t>EXP0170</t>
        </is>
      </c>
      <c r="K61" s="2" t="n">
        <v>2</v>
      </c>
      <c r="L61" s="2" t="inlineStr">
        <is>
          <t>BRK020</t>
        </is>
      </c>
      <c r="M61" s="2" t="inlineStr">
        <is>
          <t>PORT1</t>
        </is>
      </c>
      <c r="N61" s="2" t="n">
        <v>0</v>
      </c>
      <c r="O61" s="2" t="n">
        <v>0</v>
      </c>
      <c r="P61" s="2" t="n">
        <v>0</v>
      </c>
      <c r="Q61" s="2" t="n">
        <v>0</v>
      </c>
      <c r="R61" s="30">
        <f>IF(AND($C$5&lt;&gt;"",$A61=$C$5),1,"")</f>
        <v/>
      </c>
      <c r="S61" s="21">
        <f>IF(AND($C$5&lt;&gt;"",$A61=$C$5),SUMIFS($G$8:$G$715,$A$8:$A$715,$C$5,$B$8:$B$715,"&lt;="&amp;$B61),"")</f>
        <v/>
      </c>
      <c r="T61" s="24" t="n"/>
      <c r="U61" s="24" t="n"/>
    </row>
    <row r="62">
      <c r="A62" s="2" t="inlineStr">
        <is>
          <t>CHN-33</t>
        </is>
      </c>
      <c r="B62" s="2" t="n">
        <v>34</v>
      </c>
      <c r="C62" s="2" t="inlineStr">
        <is>
          <t>IMP00557</t>
        </is>
      </c>
      <c r="D62" s="2" t="inlineStr">
        <is>
          <t>Northern Electronics Co., Ltd</t>
        </is>
      </c>
      <c r="E62" s="2" t="n">
        <v>1</v>
      </c>
      <c r="F62" s="27" t="n">
        <v>96079.28999999999</v>
      </c>
      <c r="G62" s="28" t="n">
        <v>0.0002</v>
      </c>
      <c r="H62" s="19" t="n">
        <v>0.761</v>
      </c>
      <c r="I62" s="29" t="n">
        <v>0</v>
      </c>
      <c r="J62" s="2" t="inlineStr">
        <is>
          <t>EXP0549</t>
        </is>
      </c>
      <c r="K62" s="2" t="n">
        <v>3</v>
      </c>
      <c r="L62" s="2" t="inlineStr">
        <is>
          <t>BRK049</t>
        </is>
      </c>
      <c r="M62" s="2" t="inlineStr">
        <is>
          <t>PORT2</t>
        </is>
      </c>
      <c r="N62" s="2" t="n">
        <v>0</v>
      </c>
      <c r="O62" s="2" t="n">
        <v>0</v>
      </c>
      <c r="P62" s="2" t="n">
        <v>0</v>
      </c>
      <c r="Q62" s="2" t="n">
        <v>0</v>
      </c>
      <c r="R62" s="30">
        <f>IF(AND($C$5&lt;&gt;"",$A62=$C$5),1,"")</f>
        <v/>
      </c>
      <c r="S62" s="21">
        <f>IF(AND($C$5&lt;&gt;"",$A62=$C$5),SUMIFS($G$8:$G$715,$A$8:$A$715,$C$5,$B$8:$B$715,"&lt;="&amp;$B62),"")</f>
        <v/>
      </c>
      <c r="T62" s="24" t="n"/>
      <c r="U62" s="24" t="n"/>
    </row>
    <row r="63">
      <c r="A63" s="2" t="inlineStr">
        <is>
          <t>CHN-39</t>
        </is>
      </c>
      <c r="B63" s="2" t="n">
        <v>1</v>
      </c>
      <c r="C63" s="2" t="inlineStr">
        <is>
          <t>IMP01032</t>
        </is>
      </c>
      <c r="D63" s="2" t="inlineStr">
        <is>
          <t>Pacific Distribution Partners Ltd</t>
        </is>
      </c>
      <c r="E63" s="2" t="n">
        <v>52</v>
      </c>
      <c r="F63" s="27" t="n">
        <v>27863879.02</v>
      </c>
      <c r="G63" s="28" t="n">
        <v>0.2096</v>
      </c>
      <c r="H63" s="19" t="n">
        <v>0.894</v>
      </c>
      <c r="I63" s="29" t="n">
        <v>0.0769</v>
      </c>
      <c r="J63" s="2" t="inlineStr">
        <is>
          <t>EXP0561</t>
        </is>
      </c>
      <c r="K63" s="2" t="n">
        <v>3</v>
      </c>
      <c r="L63" s="2" t="inlineStr">
        <is>
          <t>BRK017</t>
        </is>
      </c>
      <c r="M63" s="2" t="inlineStr">
        <is>
          <t>PORT2</t>
        </is>
      </c>
      <c r="N63" s="2" t="n">
        <v>0</v>
      </c>
      <c r="O63" s="2" t="n">
        <v>0</v>
      </c>
      <c r="P63" s="2" t="n">
        <v>0</v>
      </c>
      <c r="Q63" s="2" t="n">
        <v>0</v>
      </c>
      <c r="R63" s="30">
        <f>IF(AND($C$5&lt;&gt;"",$A63=$C$5),1,"")</f>
        <v/>
      </c>
      <c r="S63" s="21">
        <f>IF(AND($C$5&lt;&gt;"",$A63=$C$5),SUMIFS($G$8:$G$715,$A$8:$A$715,$C$5,$B$8:$B$715,"&lt;="&amp;$B63),"")</f>
        <v/>
      </c>
      <c r="T63" s="24" t="n"/>
      <c r="U63" s="24" t="n"/>
    </row>
    <row r="64">
      <c r="A64" s="2" t="inlineStr">
        <is>
          <t>CHN-39</t>
        </is>
      </c>
      <c r="B64" s="2" t="n">
        <v>2</v>
      </c>
      <c r="C64" s="2" t="inlineStr">
        <is>
          <t>IMP00591</t>
        </is>
      </c>
      <c r="D64" s="2" t="inlineStr">
        <is>
          <t>Twin Rivers Medical Ltd</t>
        </is>
      </c>
      <c r="E64" s="2" t="n">
        <v>35</v>
      </c>
      <c r="F64" s="27" t="n">
        <v>15555395.53</v>
      </c>
      <c r="G64" s="28" t="n">
        <v>0.117</v>
      </c>
      <c r="H64" s="19" t="n">
        <v>0.945</v>
      </c>
      <c r="I64" s="29" t="n">
        <v>0.0286</v>
      </c>
      <c r="J64" s="2" t="inlineStr">
        <is>
          <t>EXP0378</t>
        </is>
      </c>
      <c r="K64" s="2" t="n">
        <v>2</v>
      </c>
      <c r="L64" s="2" t="inlineStr">
        <is>
          <t>BRK044</t>
        </is>
      </c>
      <c r="M64" s="2" t="inlineStr">
        <is>
          <t>LAND1</t>
        </is>
      </c>
      <c r="N64" s="2" t="n">
        <v>0</v>
      </c>
      <c r="O64" s="2" t="n">
        <v>0</v>
      </c>
      <c r="P64" s="2" t="n">
        <v>0</v>
      </c>
      <c r="Q64" s="2" t="n">
        <v>0</v>
      </c>
      <c r="R64" s="30">
        <f>IF(AND($C$5&lt;&gt;"",$A64=$C$5),1,"")</f>
        <v/>
      </c>
      <c r="S64" s="21">
        <f>IF(AND($C$5&lt;&gt;"",$A64=$C$5),SUMIFS($G$8:$G$715,$A$8:$A$715,$C$5,$B$8:$B$715,"&lt;="&amp;$B64),"")</f>
        <v/>
      </c>
      <c r="T64" s="24" t="n"/>
      <c r="U64" s="24" t="n"/>
    </row>
    <row r="65">
      <c r="A65" s="2" t="inlineStr">
        <is>
          <t>CHN-39</t>
        </is>
      </c>
      <c r="B65" s="2" t="n">
        <v>3</v>
      </c>
      <c r="C65" s="2" t="inlineStr">
        <is>
          <t>IMP00662</t>
        </is>
      </c>
      <c r="D65" s="2" t="inlineStr">
        <is>
          <t>Lotus Textiles Enterprises</t>
        </is>
      </c>
      <c r="E65" s="2" t="n">
        <v>18</v>
      </c>
      <c r="F65" s="27" t="n">
        <v>11538851.07</v>
      </c>
      <c r="G65" s="28" t="n">
        <v>0.0868</v>
      </c>
      <c r="H65" s="19" t="n">
        <v>0.9305</v>
      </c>
      <c r="I65" s="29" t="n">
        <v>0</v>
      </c>
      <c r="J65" s="2" t="inlineStr">
        <is>
          <t>EXP0418</t>
        </is>
      </c>
      <c r="K65" s="2" t="n">
        <v>2</v>
      </c>
      <c r="L65" s="2" t="inlineStr">
        <is>
          <t>BRK032</t>
        </is>
      </c>
      <c r="M65" s="2" t="inlineStr">
        <is>
          <t>PORT2</t>
        </is>
      </c>
      <c r="N65" s="2" t="n">
        <v>0</v>
      </c>
      <c r="O65" s="2" t="n">
        <v>0</v>
      </c>
      <c r="P65" s="2" t="n">
        <v>0</v>
      </c>
      <c r="Q65" s="2" t="n">
        <v>0</v>
      </c>
      <c r="R65" s="30">
        <f>IF(AND($C$5&lt;&gt;"",$A65=$C$5),1,"")</f>
        <v/>
      </c>
      <c r="S65" s="21">
        <f>IF(AND($C$5&lt;&gt;"",$A65=$C$5),SUMIFS($G$8:$G$715,$A$8:$A$715,$C$5,$B$8:$B$715,"&lt;="&amp;$B65),"")</f>
        <v/>
      </c>
      <c r="T65" s="24" t="n"/>
      <c r="U65" s="24" t="n"/>
    </row>
    <row r="66">
      <c r="A66" s="2" t="inlineStr">
        <is>
          <t>CHN-39</t>
        </is>
      </c>
      <c r="B66" s="2" t="n">
        <v>4</v>
      </c>
      <c r="C66" s="2" t="inlineStr">
        <is>
          <t>IMP00646</t>
        </is>
      </c>
      <c r="D66" s="2" t="inlineStr">
        <is>
          <t>Jade Imports Holdings Ltd</t>
        </is>
      </c>
      <c r="E66" s="2" t="n">
        <v>12</v>
      </c>
      <c r="F66" s="27" t="n">
        <v>8862165.550000001</v>
      </c>
      <c r="G66" s="28" t="n">
        <v>0.0667</v>
      </c>
      <c r="H66" s="19" t="n">
        <v>0.8975</v>
      </c>
      <c r="I66" s="29" t="n">
        <v>0.0833</v>
      </c>
      <c r="J66" s="2" t="inlineStr">
        <is>
          <t>EXP0082</t>
        </is>
      </c>
      <c r="K66" s="2" t="n">
        <v>2</v>
      </c>
      <c r="L66" s="2" t="inlineStr">
        <is>
          <t>BRK052</t>
        </is>
      </c>
      <c r="M66" s="2" t="inlineStr">
        <is>
          <t>PORT2</t>
        </is>
      </c>
      <c r="N66" s="2" t="n">
        <v>0</v>
      </c>
      <c r="O66" s="2" t="n">
        <v>0</v>
      </c>
      <c r="P66" s="2" t="n">
        <v>0</v>
      </c>
      <c r="Q66" s="2" t="n">
        <v>1</v>
      </c>
      <c r="R66" s="30">
        <f>IF(AND($C$5&lt;&gt;"",$A66=$C$5),1,"")</f>
        <v/>
      </c>
      <c r="S66" s="21">
        <f>IF(AND($C$5&lt;&gt;"",$A66=$C$5),SUMIFS($G$8:$G$715,$A$8:$A$715,$C$5,$B$8:$B$715,"&lt;="&amp;$B66),"")</f>
        <v/>
      </c>
      <c r="T66" s="24" t="n"/>
      <c r="U66" s="24" t="n"/>
    </row>
    <row r="67">
      <c r="A67" s="2" t="inlineStr">
        <is>
          <t>CHN-39</t>
        </is>
      </c>
      <c r="B67" s="2" t="n">
        <v>5</v>
      </c>
      <c r="C67" s="2" t="inlineStr">
        <is>
          <t>IMP00992</t>
        </is>
      </c>
      <c r="D67" s="2" t="inlineStr">
        <is>
          <t>Saffron Commercial &amp; Sons</t>
        </is>
      </c>
      <c r="E67" s="2" t="n">
        <v>9</v>
      </c>
      <c r="F67" s="27" t="n">
        <v>7176280.95</v>
      </c>
      <c r="G67" s="28" t="n">
        <v>0.054</v>
      </c>
      <c r="H67" s="19" t="n">
        <v>0.782</v>
      </c>
      <c r="I67" s="29" t="n">
        <v>0.4444</v>
      </c>
      <c r="J67" s="2" t="inlineStr">
        <is>
          <t>EXP0178</t>
        </is>
      </c>
      <c r="K67" s="2" t="n">
        <v>3</v>
      </c>
      <c r="L67" s="2" t="inlineStr">
        <is>
          <t>BRK007</t>
        </is>
      </c>
      <c r="M67" s="2" t="inlineStr">
        <is>
          <t>PORT1</t>
        </is>
      </c>
      <c r="N67" s="2" t="n">
        <v>0</v>
      </c>
      <c r="O67" s="2" t="n">
        <v>0</v>
      </c>
      <c r="P67" s="2" t="n">
        <v>0</v>
      </c>
      <c r="Q67" s="2" t="n">
        <v>1</v>
      </c>
      <c r="R67" s="30">
        <f>IF(AND($C$5&lt;&gt;"",$A67=$C$5),1,"")</f>
        <v/>
      </c>
      <c r="S67" s="21">
        <f>IF(AND($C$5&lt;&gt;"",$A67=$C$5),SUMIFS($G$8:$G$715,$A$8:$A$715,$C$5,$B$8:$B$715,"&lt;="&amp;$B67),"")</f>
        <v/>
      </c>
      <c r="T67" s="24" t="n"/>
      <c r="U67" s="24" t="n"/>
    </row>
    <row r="68">
      <c r="A68" s="2" t="inlineStr">
        <is>
          <t>CHN-39</t>
        </is>
      </c>
      <c r="B68" s="2" t="n">
        <v>6</v>
      </c>
      <c r="C68" s="2" t="inlineStr">
        <is>
          <t>IMP00171</t>
        </is>
      </c>
      <c r="D68" s="2" t="inlineStr">
        <is>
          <t>Sunrise Fruits Partners Ltd</t>
        </is>
      </c>
      <c r="E68" s="2" t="n">
        <v>16</v>
      </c>
      <c r="F68" s="27" t="n">
        <v>6883616.91</v>
      </c>
      <c r="G68" s="28" t="n">
        <v>0.0518</v>
      </c>
      <c r="H68" s="19" t="n">
        <v>0.9275</v>
      </c>
      <c r="I68" s="29" t="n">
        <v>0</v>
      </c>
      <c r="J68" s="2" t="inlineStr">
        <is>
          <t>EXP0233</t>
        </is>
      </c>
      <c r="K68" s="2" t="n">
        <v>1</v>
      </c>
      <c r="L68" s="2" t="inlineStr">
        <is>
          <t>BRK065</t>
        </is>
      </c>
      <c r="M68" s="2" t="inlineStr">
        <is>
          <t>AIR1</t>
        </is>
      </c>
      <c r="N68" s="2" t="n">
        <v>1</v>
      </c>
      <c r="O68" s="2" t="n">
        <v>0</v>
      </c>
      <c r="P68" s="2" t="n">
        <v>0</v>
      </c>
      <c r="Q68" s="2" t="n">
        <v>0</v>
      </c>
      <c r="R68" s="30">
        <f>IF(AND($C$5&lt;&gt;"",$A68=$C$5),1,"")</f>
        <v/>
      </c>
      <c r="S68" s="21">
        <f>IF(AND($C$5&lt;&gt;"",$A68=$C$5),SUMIFS($G$8:$G$715,$A$8:$A$715,$C$5,$B$8:$B$715,"&lt;="&amp;$B68),"")</f>
        <v/>
      </c>
      <c r="T68" s="24" t="n"/>
      <c r="U68" s="24" t="n"/>
    </row>
    <row r="69">
      <c r="A69" s="2" t="inlineStr">
        <is>
          <t>CHN-39</t>
        </is>
      </c>
      <c r="B69" s="2" t="n">
        <v>7</v>
      </c>
      <c r="C69" s="2" t="inlineStr">
        <is>
          <t>IMP00155</t>
        </is>
      </c>
      <c r="D69" s="2" t="inlineStr">
        <is>
          <t>Meridian Commercial Partners Ltd</t>
        </is>
      </c>
      <c r="E69" s="2" t="n">
        <v>10</v>
      </c>
      <c r="F69" s="27" t="n">
        <v>6112668.61</v>
      </c>
      <c r="G69" s="28" t="n">
        <v>0.046</v>
      </c>
      <c r="H69" s="19" t="n">
        <v>0.9370000000000001</v>
      </c>
      <c r="I69" s="29" t="n">
        <v>0.1</v>
      </c>
      <c r="J69" s="2" t="inlineStr">
        <is>
          <t>EXP0012</t>
        </is>
      </c>
      <c r="K69" s="2" t="n">
        <v>3</v>
      </c>
      <c r="L69" s="2" t="inlineStr">
        <is>
          <t>BRK021</t>
        </is>
      </c>
      <c r="M69" s="2" t="inlineStr">
        <is>
          <t>LAND3</t>
        </is>
      </c>
      <c r="N69" s="2" t="n">
        <v>0</v>
      </c>
      <c r="O69" s="2" t="n">
        <v>0</v>
      </c>
      <c r="P69" s="2" t="n">
        <v>0</v>
      </c>
      <c r="Q69" s="2" t="n">
        <v>0</v>
      </c>
      <c r="R69" s="30">
        <f>IF(AND($C$5&lt;&gt;"",$A69=$C$5),1,"")</f>
        <v/>
      </c>
      <c r="S69" s="21">
        <f>IF(AND($C$5&lt;&gt;"",$A69=$C$5),SUMIFS($G$8:$G$715,$A$8:$A$715,$C$5,$B$8:$B$715,"&lt;="&amp;$B69),"")</f>
        <v/>
      </c>
      <c r="T69" s="24" t="n"/>
      <c r="U69" s="24" t="n"/>
    </row>
    <row r="70">
      <c r="A70" s="2" t="inlineStr">
        <is>
          <t>CHN-39</t>
        </is>
      </c>
      <c r="B70" s="2" t="n">
        <v>8</v>
      </c>
      <c r="C70" s="2" t="inlineStr">
        <is>
          <t>IMP00222</t>
        </is>
      </c>
      <c r="D70" s="2" t="inlineStr">
        <is>
          <t>Inverness Fruits Partners Ltd</t>
        </is>
      </c>
      <c r="E70" s="2" t="n">
        <v>10</v>
      </c>
      <c r="F70" s="27" t="n">
        <v>5828675.85</v>
      </c>
      <c r="G70" s="28" t="n">
        <v>0.0439</v>
      </c>
      <c r="H70" s="19" t="n">
        <v>0.977</v>
      </c>
      <c r="I70" s="29" t="n">
        <v>0</v>
      </c>
      <c r="J70" s="2" t="inlineStr">
        <is>
          <t>EXP0585</t>
        </is>
      </c>
      <c r="K70" s="2" t="n">
        <v>2</v>
      </c>
      <c r="L70" s="2" t="inlineStr">
        <is>
          <t>BRK004</t>
        </is>
      </c>
      <c r="M70" s="2" t="inlineStr">
        <is>
          <t>LAND5</t>
        </is>
      </c>
      <c r="N70" s="2" t="n">
        <v>0</v>
      </c>
      <c r="O70" s="2" t="n">
        <v>0</v>
      </c>
      <c r="P70" s="2" t="n">
        <v>0</v>
      </c>
      <c r="Q70" s="2" t="n">
        <v>1</v>
      </c>
      <c r="R70" s="30">
        <f>IF(AND($C$5&lt;&gt;"",$A70=$C$5),1,"")</f>
        <v/>
      </c>
      <c r="S70" s="21">
        <f>IF(AND($C$5&lt;&gt;"",$A70=$C$5),SUMIFS($G$8:$G$715,$A$8:$A$715,$C$5,$B$8:$B$715,"&lt;="&amp;$B70),"")</f>
        <v/>
      </c>
      <c r="T70" s="24" t="n"/>
      <c r="U70" s="24" t="n"/>
    </row>
    <row r="71">
      <c r="A71" s="2" t="inlineStr">
        <is>
          <t>CHN-39</t>
        </is>
      </c>
      <c r="B71" s="2" t="n">
        <v>9</v>
      </c>
      <c r="C71" s="2" t="inlineStr">
        <is>
          <t>IMP00528</t>
        </is>
      </c>
      <c r="D71" s="2" t="inlineStr">
        <is>
          <t>Great Vellmoor Electronics International Ltd</t>
        </is>
      </c>
      <c r="E71" s="2" t="n">
        <v>13</v>
      </c>
      <c r="F71" s="27" t="n">
        <v>5515370.79</v>
      </c>
      <c r="G71" s="28" t="n">
        <v>0.0415</v>
      </c>
      <c r="H71" s="19" t="n">
        <v>0.862</v>
      </c>
      <c r="I71" s="29" t="n">
        <v>0</v>
      </c>
      <c r="J71" s="2" t="inlineStr">
        <is>
          <t>EXP0593</t>
        </is>
      </c>
      <c r="K71" s="2" t="n">
        <v>1</v>
      </c>
      <c r="L71" s="2" t="inlineStr">
        <is>
          <t>BRK007</t>
        </is>
      </c>
      <c r="M71" s="2" t="inlineStr">
        <is>
          <t>LAND7</t>
        </is>
      </c>
      <c r="N71" s="2" t="n">
        <v>0</v>
      </c>
      <c r="O71" s="2" t="n">
        <v>0</v>
      </c>
      <c r="P71" s="2" t="n">
        <v>0</v>
      </c>
      <c r="Q71" s="2" t="n">
        <v>0</v>
      </c>
      <c r="R71" s="30">
        <f>IF(AND($C$5&lt;&gt;"",$A71=$C$5),1,"")</f>
        <v/>
      </c>
      <c r="S71" s="21">
        <f>IF(AND($C$5&lt;&gt;"",$A71=$C$5),SUMIFS($G$8:$G$715,$A$8:$A$715,$C$5,$B$8:$B$715,"&lt;="&amp;$B71),"")</f>
        <v/>
      </c>
      <c r="T71" s="24" t="n"/>
      <c r="U71" s="24" t="n"/>
    </row>
    <row r="72">
      <c r="A72" s="2" t="inlineStr">
        <is>
          <t>CHN-39</t>
        </is>
      </c>
      <c r="B72" s="2" t="n">
        <v>10</v>
      </c>
      <c r="C72" s="2" t="inlineStr">
        <is>
          <t>IMP01224</t>
        </is>
      </c>
      <c r="D72" s="2" t="inlineStr">
        <is>
          <t>Lotus Pack Partners Ltd</t>
        </is>
      </c>
      <c r="E72" s="2" t="n">
        <v>9</v>
      </c>
      <c r="F72" s="27" t="n">
        <v>5238319.73</v>
      </c>
      <c r="G72" s="28" t="n">
        <v>0.0394</v>
      </c>
      <c r="H72" s="19" t="n">
        <v>0.996</v>
      </c>
      <c r="I72" s="29" t="n">
        <v>0</v>
      </c>
      <c r="J72" s="2" t="inlineStr">
        <is>
          <t>EXP0398</t>
        </is>
      </c>
      <c r="K72" s="2" t="n">
        <v>1</v>
      </c>
      <c r="L72" s="2" t="inlineStr">
        <is>
          <t>BRK010</t>
        </is>
      </c>
      <c r="M72" s="2" t="inlineStr">
        <is>
          <t>LAND5</t>
        </is>
      </c>
      <c r="N72" s="2" t="n">
        <v>0</v>
      </c>
      <c r="O72" s="2" t="n">
        <v>0</v>
      </c>
      <c r="P72" s="2" t="n">
        <v>0</v>
      </c>
      <c r="Q72" s="2" t="n">
        <v>0</v>
      </c>
      <c r="R72" s="30">
        <f>IF(AND($C$5&lt;&gt;"",$A72=$C$5),1,"")</f>
        <v/>
      </c>
      <c r="S72" s="21">
        <f>IF(AND($C$5&lt;&gt;"",$A72=$C$5),SUMIFS($G$8:$G$715,$A$8:$A$715,$C$5,$B$8:$B$715,"&lt;="&amp;$B72),"")</f>
        <v/>
      </c>
      <c r="T72" s="24" t="n"/>
      <c r="U72" s="24" t="n"/>
    </row>
    <row r="73">
      <c r="A73" s="2" t="inlineStr">
        <is>
          <t>CHN-39</t>
        </is>
      </c>
      <c r="B73" s="2" t="n">
        <v>11</v>
      </c>
      <c r="C73" s="2" t="inlineStr">
        <is>
          <t>IMP00979</t>
        </is>
      </c>
      <c r="D73" s="2" t="inlineStr">
        <is>
          <t>Prime Mobile &amp; Sons</t>
        </is>
      </c>
      <c r="E73" s="2" t="n">
        <v>11</v>
      </c>
      <c r="F73" s="27" t="n">
        <v>4376043.29</v>
      </c>
      <c r="G73" s="28" t="n">
        <v>0.0329</v>
      </c>
      <c r="H73" s="19" t="n">
        <v>0.873</v>
      </c>
      <c r="I73" s="29" t="n">
        <v>0.09089999999999999</v>
      </c>
      <c r="J73" s="2" t="inlineStr">
        <is>
          <t>EXP0117</t>
        </is>
      </c>
      <c r="K73" s="2" t="n">
        <v>4</v>
      </c>
      <c r="L73" s="2" t="inlineStr">
        <is>
          <t>BRK073</t>
        </is>
      </c>
      <c r="M73" s="2" t="inlineStr">
        <is>
          <t>LAND4</t>
        </is>
      </c>
      <c r="N73" s="2" t="n">
        <v>0</v>
      </c>
      <c r="O73" s="2" t="n">
        <v>0</v>
      </c>
      <c r="P73" s="2" t="n">
        <v>0</v>
      </c>
      <c r="Q73" s="2" t="n">
        <v>0</v>
      </c>
      <c r="R73" s="30">
        <f>IF(AND($C$5&lt;&gt;"",$A73=$C$5),1,"")</f>
        <v/>
      </c>
      <c r="S73" s="21">
        <f>IF(AND($C$5&lt;&gt;"",$A73=$C$5),SUMIFS($G$8:$G$715,$A$8:$A$715,$C$5,$B$8:$B$715,"&lt;="&amp;$B73),"")</f>
        <v/>
      </c>
      <c r="T73" s="24" t="n"/>
      <c r="U73" s="24" t="n"/>
    </row>
    <row r="74">
      <c r="A74" s="2" t="inlineStr">
        <is>
          <t>CHN-39</t>
        </is>
      </c>
      <c r="B74" s="2" t="n">
        <v>12</v>
      </c>
      <c r="C74" s="2" t="inlineStr">
        <is>
          <t>IMP00625</t>
        </is>
      </c>
      <c r="D74" s="2" t="inlineStr">
        <is>
          <t>Pacific Mobile Holdings Ltd</t>
        </is>
      </c>
      <c r="E74" s="2" t="n">
        <v>11</v>
      </c>
      <c r="F74" s="27" t="n">
        <v>4051679.27</v>
      </c>
      <c r="G74" s="28" t="n">
        <v>0.0305</v>
      </c>
      <c r="H74" s="19" t="n">
        <v>0.835</v>
      </c>
      <c r="I74" s="29" t="n">
        <v>0.09089999999999999</v>
      </c>
      <c r="J74" s="2" t="inlineStr">
        <is>
          <t>EXP0378</t>
        </is>
      </c>
      <c r="K74" s="2" t="n">
        <v>2</v>
      </c>
      <c r="L74" s="2" t="inlineStr">
        <is>
          <t>BRK054</t>
        </is>
      </c>
      <c r="M74" s="2" t="inlineStr">
        <is>
          <t>AIR1</t>
        </is>
      </c>
      <c r="N74" s="2" t="n">
        <v>0</v>
      </c>
      <c r="O74" s="2" t="n">
        <v>0</v>
      </c>
      <c r="P74" s="2" t="n">
        <v>0</v>
      </c>
      <c r="Q74" s="2" t="n">
        <v>1</v>
      </c>
      <c r="R74" s="30">
        <f>IF(AND($C$5&lt;&gt;"",$A74=$C$5),1,"")</f>
        <v/>
      </c>
      <c r="S74" s="21">
        <f>IF(AND($C$5&lt;&gt;"",$A74=$C$5),SUMIFS($G$8:$G$715,$A$8:$A$715,$C$5,$B$8:$B$715,"&lt;="&amp;$B74),"")</f>
        <v/>
      </c>
      <c r="T74" s="24" t="n"/>
      <c r="U74" s="24" t="n"/>
    </row>
    <row r="75">
      <c r="A75" s="2" t="inlineStr">
        <is>
          <t>CHN-39</t>
        </is>
      </c>
      <c r="B75" s="2" t="n">
        <v>13</v>
      </c>
      <c r="C75" s="2" t="inlineStr">
        <is>
          <t>IMP00434</t>
        </is>
      </c>
      <c r="D75" s="2" t="inlineStr">
        <is>
          <t>Inverness Enterprises International Ltd</t>
        </is>
      </c>
      <c r="E75" s="2" t="n">
        <v>8</v>
      </c>
      <c r="F75" s="27" t="n">
        <v>3924066.25</v>
      </c>
      <c r="G75" s="28" t="n">
        <v>0.0295</v>
      </c>
      <c r="H75" s="19" t="n">
        <v>1.018</v>
      </c>
      <c r="I75" s="29" t="n">
        <v>0</v>
      </c>
      <c r="J75" s="2" t="inlineStr">
        <is>
          <t>EXP0170</t>
        </is>
      </c>
      <c r="K75" s="2" t="n">
        <v>1</v>
      </c>
      <c r="L75" s="2" t="inlineStr">
        <is>
          <t>BRK036</t>
        </is>
      </c>
      <c r="M75" s="2" t="inlineStr">
        <is>
          <t>PORT1</t>
        </is>
      </c>
      <c r="N75" s="2" t="n">
        <v>0</v>
      </c>
      <c r="O75" s="2" t="n">
        <v>0</v>
      </c>
      <c r="P75" s="2" t="n">
        <v>0</v>
      </c>
      <c r="Q75" s="2" t="n">
        <v>0</v>
      </c>
      <c r="R75" s="30">
        <f>IF(AND($C$5&lt;&gt;"",$A75=$C$5),1,"")</f>
        <v/>
      </c>
      <c r="S75" s="21">
        <f>IF(AND($C$5&lt;&gt;"",$A75=$C$5),SUMIFS($G$8:$G$715,$A$8:$A$715,$C$5,$B$8:$B$715,"&lt;="&amp;$B75),"")</f>
        <v/>
      </c>
      <c r="T75" s="24" t="n"/>
      <c r="U75" s="24" t="n"/>
    </row>
    <row r="76">
      <c r="A76" s="2" t="inlineStr">
        <is>
          <t>CHN-39</t>
        </is>
      </c>
      <c r="B76" s="2" t="n">
        <v>14</v>
      </c>
      <c r="C76" s="2" t="inlineStr">
        <is>
          <t>IMP01098</t>
        </is>
      </c>
      <c r="D76" s="2" t="inlineStr">
        <is>
          <t>Coral Glow Ltd</t>
        </is>
      </c>
      <c r="E76" s="2" t="n">
        <v>8</v>
      </c>
      <c r="F76" s="27" t="n">
        <v>3080189.28</v>
      </c>
      <c r="G76" s="28" t="n">
        <v>0.0232</v>
      </c>
      <c r="H76" s="19" t="n">
        <v>0.857</v>
      </c>
      <c r="I76" s="29" t="n">
        <v>0</v>
      </c>
      <c r="J76" s="2" t="inlineStr">
        <is>
          <t>EXP0038</t>
        </is>
      </c>
      <c r="K76" s="2" t="n">
        <v>1</v>
      </c>
      <c r="L76" s="2" t="inlineStr">
        <is>
          <t>BRK039</t>
        </is>
      </c>
      <c r="M76" s="2" t="inlineStr">
        <is>
          <t>AIR2</t>
        </is>
      </c>
      <c r="N76" s="2" t="n">
        <v>0</v>
      </c>
      <c r="O76" s="2" t="n">
        <v>0</v>
      </c>
      <c r="P76" s="2" t="n">
        <v>0</v>
      </c>
      <c r="Q76" s="2" t="n">
        <v>1</v>
      </c>
      <c r="R76" s="30">
        <f>IF(AND($C$5&lt;&gt;"",$A76=$C$5),1,"")</f>
        <v/>
      </c>
      <c r="S76" s="21">
        <f>IF(AND($C$5&lt;&gt;"",$A76=$C$5),SUMIFS($G$8:$G$715,$A$8:$A$715,$C$5,$B$8:$B$715,"&lt;="&amp;$B76),"")</f>
        <v/>
      </c>
      <c r="T76" s="24" t="n"/>
      <c r="U76" s="24" t="n"/>
    </row>
    <row r="77">
      <c r="A77" s="2" t="inlineStr">
        <is>
          <t>CHN-39</t>
        </is>
      </c>
      <c r="B77" s="2" t="n">
        <v>15</v>
      </c>
      <c r="C77" s="2" t="inlineStr">
        <is>
          <t>IMP00450</t>
        </is>
      </c>
      <c r="D77" s="2" t="inlineStr">
        <is>
          <t>Carrick Glow Holdings Ltd</t>
        </is>
      </c>
      <c r="E77" s="2" t="n">
        <v>5</v>
      </c>
      <c r="F77" s="27" t="n">
        <v>2875896.47</v>
      </c>
      <c r="G77" s="28" t="n">
        <v>0.0216</v>
      </c>
      <c r="H77" s="19" t="n">
        <v>0.988</v>
      </c>
      <c r="I77" s="29" t="n">
        <v>0</v>
      </c>
      <c r="J77" s="2" t="inlineStr">
        <is>
          <t>EXP0549</t>
        </is>
      </c>
      <c r="K77" s="2" t="n">
        <v>3</v>
      </c>
      <c r="L77" s="2" t="inlineStr">
        <is>
          <t>BRK004</t>
        </is>
      </c>
      <c r="M77" s="2" t="inlineStr">
        <is>
          <t>AIR2</t>
        </is>
      </c>
      <c r="N77" s="2" t="n">
        <v>0</v>
      </c>
      <c r="O77" s="2" t="n">
        <v>0</v>
      </c>
      <c r="P77" s="2" t="n">
        <v>0</v>
      </c>
      <c r="Q77" s="2" t="n">
        <v>0</v>
      </c>
      <c r="R77" s="30">
        <f>IF(AND($C$5&lt;&gt;"",$A77=$C$5),1,"")</f>
        <v/>
      </c>
      <c r="S77" s="21">
        <f>IF(AND($C$5&lt;&gt;"",$A77=$C$5),SUMIFS($G$8:$G$715,$A$8:$A$715,$C$5,$B$8:$B$715,"&lt;="&amp;$B77),"")</f>
        <v/>
      </c>
      <c r="T77" s="24" t="n"/>
      <c r="U77" s="24" t="n"/>
    </row>
    <row r="78">
      <c r="A78" s="2" t="inlineStr">
        <is>
          <t>CHN-39</t>
        </is>
      </c>
      <c r="B78" s="2" t="n">
        <v>16</v>
      </c>
      <c r="C78" s="2" t="inlineStr">
        <is>
          <t>IMP01333</t>
        </is>
      </c>
      <c r="D78" s="2" t="inlineStr">
        <is>
          <t>Eastern Pack Co.</t>
        </is>
      </c>
      <c r="E78" s="2" t="n">
        <v>4</v>
      </c>
      <c r="F78" s="27" t="n">
        <v>2375044.71</v>
      </c>
      <c r="G78" s="28" t="n">
        <v>0.0179</v>
      </c>
      <c r="H78" s="19" t="n">
        <v>1.187</v>
      </c>
      <c r="I78" s="29" t="n">
        <v>0</v>
      </c>
      <c r="J78" s="2" t="inlineStr">
        <is>
          <t>EXP0235</t>
        </is>
      </c>
      <c r="K78" s="2" t="n">
        <v>1</v>
      </c>
      <c r="L78" s="2" t="inlineStr">
        <is>
          <t>BRK006</t>
        </is>
      </c>
      <c r="M78" s="2" t="inlineStr">
        <is>
          <t>LAND3</t>
        </is>
      </c>
      <c r="N78" s="2" t="n">
        <v>1</v>
      </c>
      <c r="O78" s="2" t="n">
        <v>0</v>
      </c>
      <c r="P78" s="2" t="n">
        <v>0</v>
      </c>
      <c r="Q78" s="2" t="n">
        <v>0</v>
      </c>
      <c r="R78" s="30">
        <f>IF(AND($C$5&lt;&gt;"",$A78=$C$5),1,"")</f>
        <v/>
      </c>
      <c r="S78" s="21">
        <f>IF(AND($C$5&lt;&gt;"",$A78=$C$5),SUMIFS($G$8:$G$715,$A$8:$A$715,$C$5,$B$8:$B$715,"&lt;="&amp;$B78),"")</f>
        <v/>
      </c>
      <c r="T78" s="24" t="n"/>
      <c r="U78" s="24" t="n"/>
    </row>
    <row r="79">
      <c r="A79" s="2" t="inlineStr">
        <is>
          <t>CHN-39</t>
        </is>
      </c>
      <c r="B79" s="2" t="n">
        <v>17</v>
      </c>
      <c r="C79" s="2" t="inlineStr">
        <is>
          <t>IMP01446</t>
        </is>
      </c>
      <c r="D79" s="2" t="inlineStr">
        <is>
          <t>Prime Commercial Enterprises</t>
        </is>
      </c>
      <c r="E79" s="2" t="n">
        <v>4</v>
      </c>
      <c r="F79" s="27" t="n">
        <v>1865533.41</v>
      </c>
      <c r="G79" s="28" t="n">
        <v>0.014</v>
      </c>
      <c r="H79" s="19" t="n">
        <v>0.982</v>
      </c>
      <c r="I79" s="29" t="n">
        <v>0</v>
      </c>
      <c r="J79" s="2" t="inlineStr">
        <is>
          <t>EXP0483</t>
        </is>
      </c>
      <c r="K79" s="2" t="n">
        <v>1</v>
      </c>
      <c r="L79" s="2" t="inlineStr">
        <is>
          <t>BRK026</t>
        </is>
      </c>
      <c r="M79" s="2" t="inlineStr">
        <is>
          <t>AIR1</t>
        </is>
      </c>
      <c r="N79" s="2" t="n">
        <v>0</v>
      </c>
      <c r="O79" s="2" t="n">
        <v>0</v>
      </c>
      <c r="P79" s="2" t="n">
        <v>0</v>
      </c>
      <c r="Q79" s="2" t="n">
        <v>0</v>
      </c>
      <c r="R79" s="30">
        <f>IF(AND($C$5&lt;&gt;"",$A79=$C$5),1,"")</f>
        <v/>
      </c>
      <c r="S79" s="21">
        <f>IF(AND($C$5&lt;&gt;"",$A79=$C$5),SUMIFS($G$8:$G$715,$A$8:$A$715,$C$5,$B$8:$B$715,"&lt;="&amp;$B79),"")</f>
        <v/>
      </c>
      <c r="T79" s="24" t="n"/>
      <c r="U79" s="24" t="n"/>
    </row>
    <row r="80">
      <c r="A80" s="2" t="inlineStr">
        <is>
          <t>CHN-39</t>
        </is>
      </c>
      <c r="B80" s="2" t="n">
        <v>18</v>
      </c>
      <c r="C80" s="2" t="inlineStr">
        <is>
          <t>IMP00910</t>
        </is>
      </c>
      <c r="D80" s="2" t="inlineStr">
        <is>
          <t>Delta Logistics Holdings Ltd</t>
        </is>
      </c>
      <c r="E80" s="2" t="n">
        <v>1</v>
      </c>
      <c r="F80" s="27" t="n">
        <v>1211786.97</v>
      </c>
      <c r="G80" s="28" t="n">
        <v>0.0091</v>
      </c>
      <c r="H80" s="19" t="n">
        <v>1.046</v>
      </c>
      <c r="I80" s="29" t="n">
        <v>0</v>
      </c>
      <c r="J80" s="2" t="inlineStr">
        <is>
          <t>EXP0485</t>
        </is>
      </c>
      <c r="K80" s="2" t="n">
        <v>3</v>
      </c>
      <c r="L80" s="2" t="inlineStr">
        <is>
          <t>BRK034</t>
        </is>
      </c>
      <c r="M80" s="2" t="inlineStr">
        <is>
          <t>PORT1</t>
        </is>
      </c>
      <c r="N80" s="2" t="n">
        <v>0</v>
      </c>
      <c r="O80" s="2" t="n">
        <v>0</v>
      </c>
      <c r="P80" s="2" t="n">
        <v>0</v>
      </c>
      <c r="Q80" s="2" t="n">
        <v>0</v>
      </c>
      <c r="R80" s="30">
        <f>IF(AND($C$5&lt;&gt;"",$A80=$C$5),1,"")</f>
        <v/>
      </c>
      <c r="S80" s="21">
        <f>IF(AND($C$5&lt;&gt;"",$A80=$C$5),SUMIFS($G$8:$G$715,$A$8:$A$715,$C$5,$B$8:$B$715,"&lt;="&amp;$B80),"")</f>
        <v/>
      </c>
      <c r="T80" s="24" t="n"/>
      <c r="U80" s="24" t="n"/>
    </row>
    <row r="81">
      <c r="A81" s="2" t="inlineStr">
        <is>
          <t>CHN-39</t>
        </is>
      </c>
      <c r="B81" s="2" t="n">
        <v>19</v>
      </c>
      <c r="C81" s="2" t="inlineStr">
        <is>
          <t>IMP00520</t>
        </is>
      </c>
      <c r="D81" s="2" t="inlineStr">
        <is>
          <t>Green Valley Supply Group Ltd</t>
        </is>
      </c>
      <c r="E81" s="2" t="n">
        <v>3</v>
      </c>
      <c r="F81" s="27" t="n">
        <v>1075255.95</v>
      </c>
      <c r="G81" s="28" t="n">
        <v>0.0081</v>
      </c>
      <c r="H81" s="19" t="n">
        <v>0.776</v>
      </c>
      <c r="I81" s="29" t="n">
        <v>0.3333</v>
      </c>
      <c r="J81" s="2" t="inlineStr">
        <is>
          <t>EXP0213</t>
        </is>
      </c>
      <c r="K81" s="2" t="n">
        <v>2</v>
      </c>
      <c r="L81" s="2" t="inlineStr">
        <is>
          <t>BRK031</t>
        </is>
      </c>
      <c r="M81" s="2" t="inlineStr">
        <is>
          <t>LAND2</t>
        </is>
      </c>
      <c r="N81" s="2" t="n">
        <v>0</v>
      </c>
      <c r="O81" s="2" t="n">
        <v>0</v>
      </c>
      <c r="P81" s="2" t="n">
        <v>0</v>
      </c>
      <c r="Q81" s="2" t="n">
        <v>0</v>
      </c>
      <c r="R81" s="30">
        <f>IF(AND($C$5&lt;&gt;"",$A81=$C$5),1,"")</f>
        <v/>
      </c>
      <c r="S81" s="21">
        <f>IF(AND($C$5&lt;&gt;"",$A81=$C$5),SUMIFS($G$8:$G$715,$A$8:$A$715,$C$5,$B$8:$B$715,"&lt;="&amp;$B81),"")</f>
        <v/>
      </c>
      <c r="T81" s="24" t="n"/>
      <c r="U81" s="24" t="n"/>
    </row>
    <row r="82">
      <c r="A82" s="2" t="inlineStr">
        <is>
          <t>CHN-39</t>
        </is>
      </c>
      <c r="B82" s="2" t="n">
        <v>20</v>
      </c>
      <c r="C82" s="2" t="inlineStr">
        <is>
          <t>IMP00701</t>
        </is>
      </c>
      <c r="D82" s="2" t="inlineStr">
        <is>
          <t>Golden Imports Enterprises</t>
        </is>
      </c>
      <c r="E82" s="2" t="n">
        <v>5</v>
      </c>
      <c r="F82" s="27" t="n">
        <v>1026711.03</v>
      </c>
      <c r="G82" s="28" t="n">
        <v>0.0077</v>
      </c>
      <c r="H82" s="19" t="n">
        <v>0.765</v>
      </c>
      <c r="I82" s="29" t="n">
        <v>0.4</v>
      </c>
      <c r="J82" s="2" t="inlineStr">
        <is>
          <t>EXP0300</t>
        </is>
      </c>
      <c r="K82" s="2" t="n">
        <v>1</v>
      </c>
      <c r="L82" s="2" t="inlineStr">
        <is>
          <t>BRK039</t>
        </is>
      </c>
      <c r="M82" s="2" t="inlineStr">
        <is>
          <t>LAND7</t>
        </is>
      </c>
      <c r="N82" s="2" t="n">
        <v>0</v>
      </c>
      <c r="O82" s="2" t="n">
        <v>0</v>
      </c>
      <c r="P82" s="2" t="n">
        <v>0</v>
      </c>
      <c r="Q82" s="2" t="n">
        <v>0</v>
      </c>
      <c r="R82" s="30">
        <f>IF(AND($C$5&lt;&gt;"",$A82=$C$5),1,"")</f>
        <v/>
      </c>
      <c r="S82" s="21">
        <f>IF(AND($C$5&lt;&gt;"",$A82=$C$5),SUMIFS($G$8:$G$715,$A$8:$A$715,$C$5,$B$8:$B$715,"&lt;="&amp;$B82),"")</f>
        <v/>
      </c>
      <c r="T82" s="24" t="n"/>
      <c r="U82" s="24" t="n"/>
    </row>
    <row r="83">
      <c r="A83" s="2" t="inlineStr">
        <is>
          <t>CHN-39</t>
        </is>
      </c>
      <c r="B83" s="2" t="n">
        <v>21</v>
      </c>
      <c r="C83" s="2" t="inlineStr">
        <is>
          <t>IMP01234</t>
        </is>
      </c>
      <c r="D83" s="2" t="inlineStr">
        <is>
          <t>Summit Glow Co., Ltd</t>
        </is>
      </c>
      <c r="E83" s="2" t="n">
        <v>2</v>
      </c>
      <c r="F83" s="27" t="n">
        <v>999123.74</v>
      </c>
      <c r="G83" s="28" t="n">
        <v>0.0075</v>
      </c>
      <c r="H83" s="19" t="n">
        <v>0.9409999999999999</v>
      </c>
      <c r="I83" s="29" t="n">
        <v>0</v>
      </c>
      <c r="J83" s="2" t="inlineStr">
        <is>
          <t>EXP0596</t>
        </is>
      </c>
      <c r="K83" s="2" t="n">
        <v>2</v>
      </c>
      <c r="L83" s="2" t="inlineStr">
        <is>
          <t>BRK019</t>
        </is>
      </c>
      <c r="M83" s="2" t="inlineStr">
        <is>
          <t>AIR1</t>
        </is>
      </c>
      <c r="N83" s="2" t="n">
        <v>0</v>
      </c>
      <c r="O83" s="2" t="n">
        <v>1</v>
      </c>
      <c r="P83" s="2" t="n">
        <v>0</v>
      </c>
      <c r="Q83" s="2" t="n">
        <v>0</v>
      </c>
      <c r="R83" s="30">
        <f>IF(AND($C$5&lt;&gt;"",$A83=$C$5),1,"")</f>
        <v/>
      </c>
      <c r="S83" s="21">
        <f>IF(AND($C$5&lt;&gt;"",$A83=$C$5),SUMIFS($G$8:$G$715,$A$8:$A$715,$C$5,$B$8:$B$715,"&lt;="&amp;$B83),"")</f>
        <v/>
      </c>
      <c r="T83" s="24" t="n"/>
      <c r="U83" s="24" t="n"/>
    </row>
    <row r="84">
      <c r="A84" s="2" t="inlineStr">
        <is>
          <t>CHN-39</t>
        </is>
      </c>
      <c r="B84" s="2" t="n">
        <v>22</v>
      </c>
      <c r="C84" s="2" t="inlineStr">
        <is>
          <t>IMP01281</t>
        </is>
      </c>
      <c r="D84" s="2" t="inlineStr">
        <is>
          <t>Cobalt Glow &amp; Sons</t>
        </is>
      </c>
      <c r="E84" s="2" t="n">
        <v>2</v>
      </c>
      <c r="F84" s="27" t="n">
        <v>817267</v>
      </c>
      <c r="G84" s="28" t="n">
        <v>0.0061</v>
      </c>
      <c r="H84" s="19" t="n">
        <v>0.92</v>
      </c>
      <c r="I84" s="29" t="n">
        <v>0</v>
      </c>
      <c r="J84" s="2" t="inlineStr">
        <is>
          <t>EXP0549</t>
        </is>
      </c>
      <c r="K84" s="2" t="n">
        <v>3</v>
      </c>
      <c r="L84" s="2" t="inlineStr">
        <is>
          <t>BRK017</t>
        </is>
      </c>
      <c r="M84" s="2" t="inlineStr">
        <is>
          <t>PORT2</t>
        </is>
      </c>
      <c r="N84" s="2" t="n">
        <v>1</v>
      </c>
      <c r="O84" s="2" t="n">
        <v>0</v>
      </c>
      <c r="P84" s="2" t="n">
        <v>0</v>
      </c>
      <c r="Q84" s="2" t="n">
        <v>0</v>
      </c>
      <c r="R84" s="30">
        <f>IF(AND($C$5&lt;&gt;"",$A84=$C$5),1,"")</f>
        <v/>
      </c>
      <c r="S84" s="21">
        <f>IF(AND($C$5&lt;&gt;"",$A84=$C$5),SUMIFS($G$8:$G$715,$A$8:$A$715,$C$5,$B$8:$B$715,"&lt;="&amp;$B84),"")</f>
        <v/>
      </c>
      <c r="T84" s="24" t="n"/>
      <c r="U84" s="24" t="n"/>
    </row>
    <row r="85">
      <c r="A85" s="2" t="inlineStr">
        <is>
          <t>CHN-39</t>
        </is>
      </c>
      <c r="B85" s="2" t="n">
        <v>23</v>
      </c>
      <c r="C85" s="2" t="inlineStr">
        <is>
          <t>IMP01184</t>
        </is>
      </c>
      <c r="D85" s="2" t="inlineStr">
        <is>
          <t>Silver Textiles Co.</t>
        </is>
      </c>
      <c r="E85" s="2" t="n">
        <v>2</v>
      </c>
      <c r="F85" s="27" t="n">
        <v>621852.39</v>
      </c>
      <c r="G85" s="28" t="n">
        <v>0.0047</v>
      </c>
      <c r="H85" s="19" t="n">
        <v>0.951</v>
      </c>
      <c r="I85" s="29" t="n">
        <v>0</v>
      </c>
      <c r="J85" s="2" t="inlineStr">
        <is>
          <t>EXP0549</t>
        </is>
      </c>
      <c r="K85" s="2" t="n">
        <v>3</v>
      </c>
      <c r="L85" s="2" t="inlineStr">
        <is>
          <t>BRK005</t>
        </is>
      </c>
      <c r="M85" s="2" t="inlineStr">
        <is>
          <t>AIR1</t>
        </is>
      </c>
      <c r="N85" s="2" t="n">
        <v>0</v>
      </c>
      <c r="O85" s="2" t="n">
        <v>0</v>
      </c>
      <c r="P85" s="2" t="n">
        <v>0</v>
      </c>
      <c r="Q85" s="2" t="n">
        <v>0</v>
      </c>
      <c r="R85" s="30">
        <f>IF(AND($C$5&lt;&gt;"",$A85=$C$5),1,"")</f>
        <v/>
      </c>
      <c r="S85" s="21">
        <f>IF(AND($C$5&lt;&gt;"",$A85=$C$5),SUMIFS($G$8:$G$715,$A$8:$A$715,$C$5,$B$8:$B$715,"&lt;="&amp;$B85),"")</f>
        <v/>
      </c>
      <c r="T85" s="24" t="n"/>
      <c r="U85" s="24" t="n"/>
    </row>
    <row r="86">
      <c r="A86" s="2" t="inlineStr">
        <is>
          <t>CHN-39</t>
        </is>
      </c>
      <c r="B86" s="2" t="n">
        <v>24</v>
      </c>
      <c r="C86" s="2" t="inlineStr">
        <is>
          <t>IMP00593</t>
        </is>
      </c>
      <c r="D86" s="2" t="inlineStr">
        <is>
          <t>Golden Pack Group Ltd</t>
        </is>
      </c>
      <c r="E86" s="2" t="n">
        <v>2</v>
      </c>
      <c r="F86" s="27" t="n">
        <v>586457.51</v>
      </c>
      <c r="G86" s="28" t="n">
        <v>0.0044</v>
      </c>
      <c r="H86" s="19" t="n">
        <v>1.0085</v>
      </c>
      <c r="I86" s="29" t="n">
        <v>0</v>
      </c>
      <c r="J86" s="2" t="inlineStr">
        <is>
          <t>EXP0485</t>
        </is>
      </c>
      <c r="K86" s="2" t="n">
        <v>3</v>
      </c>
      <c r="L86" s="2" t="inlineStr">
        <is>
          <t>BRK062</t>
        </is>
      </c>
      <c r="M86" s="2" t="inlineStr">
        <is>
          <t>PORT3</t>
        </is>
      </c>
      <c r="N86" s="2" t="n">
        <v>0</v>
      </c>
      <c r="O86" s="2" t="n">
        <v>0</v>
      </c>
      <c r="P86" s="2" t="n">
        <v>0</v>
      </c>
      <c r="Q86" s="2" t="n">
        <v>0</v>
      </c>
      <c r="R86" s="30">
        <f>IF(AND($C$5&lt;&gt;"",$A86=$C$5),1,"")</f>
        <v/>
      </c>
      <c r="S86" s="21">
        <f>IF(AND($C$5&lt;&gt;"",$A86=$C$5),SUMIFS($G$8:$G$715,$A$8:$A$715,$C$5,$B$8:$B$715,"&lt;="&amp;$B86),"")</f>
        <v/>
      </c>
      <c r="T86" s="24" t="n"/>
      <c r="U86" s="24" t="n"/>
    </row>
    <row r="87">
      <c r="A87" s="2" t="inlineStr">
        <is>
          <t>CHN-39</t>
        </is>
      </c>
      <c r="B87" s="2" t="n">
        <v>25</v>
      </c>
      <c r="C87" s="2" t="inlineStr">
        <is>
          <t>IMP00037</t>
        </is>
      </c>
      <c r="D87" s="2" t="inlineStr">
        <is>
          <t>Carrick Agro &amp; Sons</t>
        </is>
      </c>
      <c r="E87" s="2" t="n">
        <v>1</v>
      </c>
      <c r="F87" s="27" t="n">
        <v>558762.03</v>
      </c>
      <c r="G87" s="28" t="n">
        <v>0.0042</v>
      </c>
      <c r="H87" s="19" t="n">
        <v>0.832</v>
      </c>
      <c r="I87" s="29" t="n">
        <v>0</v>
      </c>
      <c r="J87" s="2" t="inlineStr">
        <is>
          <t>EXP0504</t>
        </is>
      </c>
      <c r="K87" s="2" t="n">
        <v>1</v>
      </c>
      <c r="L87" s="2" t="inlineStr">
        <is>
          <t>BRK074</t>
        </is>
      </c>
      <c r="M87" s="2" t="inlineStr">
        <is>
          <t>PORT1</t>
        </is>
      </c>
      <c r="N87" s="2" t="n">
        <v>0</v>
      </c>
      <c r="O87" s="2" t="n">
        <v>0</v>
      </c>
      <c r="P87" s="2" t="n">
        <v>0</v>
      </c>
      <c r="Q87" s="2" t="n">
        <v>0</v>
      </c>
      <c r="R87" s="30">
        <f>IF(AND($C$5&lt;&gt;"",$A87=$C$5),1,"")</f>
        <v/>
      </c>
      <c r="S87" s="21">
        <f>IF(AND($C$5&lt;&gt;"",$A87=$C$5),SUMIFS($G$8:$G$715,$A$8:$A$715,$C$5,$B$8:$B$715,"&lt;="&amp;$B87),"")</f>
        <v/>
      </c>
      <c r="T87" s="24" t="n"/>
      <c r="U87" s="24" t="n"/>
    </row>
    <row r="88">
      <c r="A88" s="2" t="inlineStr">
        <is>
          <t>CHN-39</t>
        </is>
      </c>
      <c r="B88" s="2" t="n">
        <v>26</v>
      </c>
      <c r="C88" s="2" t="inlineStr">
        <is>
          <t>IMP00055</t>
        </is>
      </c>
      <c r="D88" s="2" t="inlineStr">
        <is>
          <t>Aldergate Steel Group Ltd</t>
        </is>
      </c>
      <c r="E88" s="2" t="n">
        <v>1</v>
      </c>
      <c r="F88" s="27" t="n">
        <v>533181.29</v>
      </c>
      <c r="G88" s="28" t="n">
        <v>0.004</v>
      </c>
      <c r="H88" s="19" t="n">
        <v>0.78</v>
      </c>
      <c r="I88" s="29" t="n">
        <v>0</v>
      </c>
      <c r="J88" s="2" t="inlineStr">
        <is>
          <t>EXP0048</t>
        </is>
      </c>
      <c r="K88" s="2" t="n">
        <v>2</v>
      </c>
      <c r="L88" s="2" t="inlineStr">
        <is>
          <t>BRK048</t>
        </is>
      </c>
      <c r="M88" s="2" t="inlineStr">
        <is>
          <t>LAND5</t>
        </is>
      </c>
      <c r="N88" s="2" t="n">
        <v>0</v>
      </c>
      <c r="O88" s="2" t="n">
        <v>0</v>
      </c>
      <c r="P88" s="2" t="n">
        <v>0</v>
      </c>
      <c r="Q88" s="2" t="n">
        <v>0</v>
      </c>
      <c r="R88" s="30">
        <f>IF(AND($C$5&lt;&gt;"",$A88=$C$5),1,"")</f>
        <v/>
      </c>
      <c r="S88" s="21">
        <f>IF(AND($C$5&lt;&gt;"",$A88=$C$5),SUMIFS($G$8:$G$715,$A$8:$A$715,$C$5,$B$8:$B$715,"&lt;="&amp;$B88),"")</f>
        <v/>
      </c>
      <c r="T88" s="24" t="n"/>
      <c r="U88" s="24" t="n"/>
    </row>
    <row r="89">
      <c r="A89" s="2" t="inlineStr">
        <is>
          <t>CHN-39</t>
        </is>
      </c>
      <c r="B89" s="2" t="n">
        <v>27</v>
      </c>
      <c r="C89" s="2" t="inlineStr">
        <is>
          <t>IMP00488</t>
        </is>
      </c>
      <c r="D89" s="2" t="inlineStr">
        <is>
          <t>Eastern Textiles Co.</t>
        </is>
      </c>
      <c r="E89" s="2" t="n">
        <v>1</v>
      </c>
      <c r="F89" s="27" t="n">
        <v>485247.49</v>
      </c>
      <c r="G89" s="28" t="n">
        <v>0.0037</v>
      </c>
      <c r="H89" s="19" t="n">
        <v>0.86</v>
      </c>
      <c r="I89" s="29" t="n">
        <v>0</v>
      </c>
      <c r="J89" s="2" t="inlineStr">
        <is>
          <t>EXP0238</t>
        </is>
      </c>
      <c r="K89" s="2" t="n">
        <v>2</v>
      </c>
      <c r="L89" s="2" t="inlineStr">
        <is>
          <t>BRK059</t>
        </is>
      </c>
      <c r="M89" s="2" t="inlineStr">
        <is>
          <t>LAND1</t>
        </is>
      </c>
      <c r="N89" s="2" t="n">
        <v>0</v>
      </c>
      <c r="O89" s="2" t="n">
        <v>0</v>
      </c>
      <c r="P89" s="2" t="n">
        <v>0</v>
      </c>
      <c r="Q89" s="2" t="n">
        <v>0</v>
      </c>
      <c r="R89" s="30">
        <f>IF(AND($C$5&lt;&gt;"",$A89=$C$5),1,"")</f>
        <v/>
      </c>
      <c r="S89" s="21">
        <f>IF(AND($C$5&lt;&gt;"",$A89=$C$5),SUMIFS($G$8:$G$715,$A$8:$A$715,$C$5,$B$8:$B$715,"&lt;="&amp;$B89),"")</f>
        <v/>
      </c>
      <c r="T89" s="24" t="n"/>
      <c r="U89" s="24" t="n"/>
    </row>
    <row r="90">
      <c r="A90" s="2" t="inlineStr">
        <is>
          <t>CHN-39</t>
        </is>
      </c>
      <c r="B90" s="2" t="n">
        <v>28</v>
      </c>
      <c r="C90" s="2" t="inlineStr">
        <is>
          <t>IMP00183</t>
        </is>
      </c>
      <c r="D90" s="2" t="inlineStr">
        <is>
          <t>Metro Pack International Ltd</t>
        </is>
      </c>
      <c r="E90" s="2" t="n">
        <v>2</v>
      </c>
      <c r="F90" s="27" t="n">
        <v>483084.05</v>
      </c>
      <c r="G90" s="28" t="n">
        <v>0.0036</v>
      </c>
      <c r="H90" s="19" t="n">
        <v>0.7305</v>
      </c>
      <c r="I90" s="29" t="n">
        <v>1</v>
      </c>
      <c r="J90" s="2" t="inlineStr">
        <is>
          <t>EXP0176</t>
        </is>
      </c>
      <c r="K90" s="2" t="n">
        <v>1</v>
      </c>
      <c r="L90" s="2" t="inlineStr">
        <is>
          <t>BRK048</t>
        </is>
      </c>
      <c r="M90" s="2" t="inlineStr">
        <is>
          <t>PORT2</t>
        </is>
      </c>
      <c r="N90" s="2" t="n">
        <v>1</v>
      </c>
      <c r="O90" s="2" t="n">
        <v>0</v>
      </c>
      <c r="P90" s="2" t="n">
        <v>0</v>
      </c>
      <c r="Q90" s="2" t="n">
        <v>0</v>
      </c>
      <c r="R90" s="30">
        <f>IF(AND($C$5&lt;&gt;"",$A90=$C$5),1,"")</f>
        <v/>
      </c>
      <c r="S90" s="21">
        <f>IF(AND($C$5&lt;&gt;"",$A90=$C$5),SUMIFS($G$8:$G$715,$A$8:$A$715,$C$5,$B$8:$B$715,"&lt;="&amp;$B90),"")</f>
        <v/>
      </c>
      <c r="T90" s="24" t="n"/>
      <c r="U90" s="24" t="n"/>
    </row>
    <row r="91">
      <c r="A91" s="2" t="inlineStr">
        <is>
          <t>CHN-39</t>
        </is>
      </c>
      <c r="B91" s="2" t="n">
        <v>29</v>
      </c>
      <c r="C91" s="2" t="inlineStr">
        <is>
          <t>IMP00191</t>
        </is>
      </c>
      <c r="D91" s="2" t="inlineStr">
        <is>
          <t>Royal Industries Co.</t>
        </is>
      </c>
      <c r="E91" s="2" t="n">
        <v>2</v>
      </c>
      <c r="F91" s="27" t="n">
        <v>445479.06</v>
      </c>
      <c r="G91" s="28" t="n">
        <v>0.0034</v>
      </c>
      <c r="H91" s="19" t="n">
        <v>0.9389999999999999</v>
      </c>
      <c r="I91" s="29" t="n">
        <v>0</v>
      </c>
      <c r="J91" s="2" t="inlineStr">
        <is>
          <t>EXP0596</t>
        </is>
      </c>
      <c r="K91" s="2" t="n">
        <v>2</v>
      </c>
      <c r="L91" s="2" t="inlineStr">
        <is>
          <t>BRK074</t>
        </is>
      </c>
      <c r="M91" s="2" t="inlineStr">
        <is>
          <t>LAND5</t>
        </is>
      </c>
      <c r="N91" s="2" t="n">
        <v>0</v>
      </c>
      <c r="O91" s="2" t="n">
        <v>0</v>
      </c>
      <c r="P91" s="2" t="n">
        <v>0</v>
      </c>
      <c r="Q91" s="2" t="n">
        <v>0</v>
      </c>
      <c r="R91" s="30">
        <f>IF(AND($C$5&lt;&gt;"",$A91=$C$5),1,"")</f>
        <v/>
      </c>
      <c r="S91" s="21">
        <f>IF(AND($C$5&lt;&gt;"",$A91=$C$5),SUMIFS($G$8:$G$715,$A$8:$A$715,$C$5,$B$8:$B$715,"&lt;="&amp;$B91),"")</f>
        <v/>
      </c>
      <c r="T91" s="24" t="n"/>
      <c r="U91" s="24" t="n"/>
    </row>
    <row r="92">
      <c r="A92" s="2" t="inlineStr">
        <is>
          <t>CHN-39</t>
        </is>
      </c>
      <c r="B92" s="2" t="n">
        <v>30</v>
      </c>
      <c r="C92" s="2" t="inlineStr">
        <is>
          <t>IMP01486</t>
        </is>
      </c>
      <c r="D92" s="2" t="inlineStr">
        <is>
          <t>Twin Rivers Commercial Co.</t>
        </is>
      </c>
      <c r="E92" s="2" t="n">
        <v>1</v>
      </c>
      <c r="F92" s="27" t="n">
        <v>337278.14</v>
      </c>
      <c r="G92" s="28" t="n">
        <v>0.0025</v>
      </c>
      <c r="H92" s="19" t="n">
        <v>0.979</v>
      </c>
      <c r="I92" s="29" t="n">
        <v>0</v>
      </c>
      <c r="J92" s="2" t="inlineStr">
        <is>
          <t>EXP0421</t>
        </is>
      </c>
      <c r="K92" s="2" t="n">
        <v>1</v>
      </c>
      <c r="L92" s="2" t="inlineStr">
        <is>
          <t>BRK078</t>
        </is>
      </c>
      <c r="M92" s="2" t="inlineStr">
        <is>
          <t>AIR2</t>
        </is>
      </c>
      <c r="N92" s="2" t="n">
        <v>0</v>
      </c>
      <c r="O92" s="2" t="n">
        <v>0</v>
      </c>
      <c r="P92" s="2" t="n">
        <v>0</v>
      </c>
      <c r="Q92" s="2" t="n">
        <v>0</v>
      </c>
      <c r="R92" s="30">
        <f>IF(AND($C$5&lt;&gt;"",$A92=$C$5),1,"")</f>
        <v/>
      </c>
      <c r="S92" s="21">
        <f>IF(AND($C$5&lt;&gt;"",$A92=$C$5),SUMIFS($G$8:$G$715,$A$8:$A$715,$C$5,$B$8:$B$715,"&lt;="&amp;$B92),"")</f>
        <v/>
      </c>
      <c r="T92" s="24" t="n"/>
      <c r="U92" s="24" t="n"/>
    </row>
    <row r="93">
      <c r="A93" s="2" t="inlineStr">
        <is>
          <t>CHN-39</t>
        </is>
      </c>
      <c r="B93" s="2" t="n">
        <v>31</v>
      </c>
      <c r="C93" s="2" t="inlineStr">
        <is>
          <t>IMP01202</t>
        </is>
      </c>
      <c r="D93" s="2" t="inlineStr">
        <is>
          <t>Star Distribution &amp; Sons</t>
        </is>
      </c>
      <c r="E93" s="2" t="n">
        <v>1</v>
      </c>
      <c r="F93" s="27" t="n">
        <v>309401.93</v>
      </c>
      <c r="G93" s="28" t="n">
        <v>0.0023</v>
      </c>
      <c r="H93" s="19" t="n">
        <v>1.071</v>
      </c>
      <c r="I93" s="29" t="n">
        <v>0</v>
      </c>
      <c r="J93" s="2" t="inlineStr">
        <is>
          <t>EXP0012</t>
        </is>
      </c>
      <c r="K93" s="2" t="n">
        <v>3</v>
      </c>
      <c r="L93" s="2" t="inlineStr">
        <is>
          <t>BRK076</t>
        </is>
      </c>
      <c r="M93" s="2" t="inlineStr">
        <is>
          <t>PORT3</t>
        </is>
      </c>
      <c r="N93" s="2" t="n">
        <v>1</v>
      </c>
      <c r="O93" s="2" t="n">
        <v>0</v>
      </c>
      <c r="P93" s="2" t="n">
        <v>0</v>
      </c>
      <c r="Q93" s="2" t="n">
        <v>0</v>
      </c>
      <c r="R93" s="30">
        <f>IF(AND($C$5&lt;&gt;"",$A93=$C$5),1,"")</f>
        <v/>
      </c>
      <c r="S93" s="21">
        <f>IF(AND($C$5&lt;&gt;"",$A93=$C$5),SUMIFS($G$8:$G$715,$A$8:$A$715,$C$5,$B$8:$B$715,"&lt;="&amp;$B93),"")</f>
        <v/>
      </c>
      <c r="T93" s="24" t="n"/>
      <c r="U93" s="24" t="n"/>
    </row>
    <row r="94">
      <c r="A94" s="2" t="inlineStr">
        <is>
          <t>CHN-39</t>
        </is>
      </c>
      <c r="B94" s="2" t="n">
        <v>32</v>
      </c>
      <c r="C94" s="2" t="inlineStr">
        <is>
          <t>IMP01453</t>
        </is>
      </c>
      <c r="D94" s="2" t="inlineStr">
        <is>
          <t>Silver Enterprises Holdings Ltd</t>
        </is>
      </c>
      <c r="E94" s="2" t="n">
        <v>1</v>
      </c>
      <c r="F94" s="27" t="n">
        <v>307704.59</v>
      </c>
      <c r="G94" s="28" t="n">
        <v>0.0023</v>
      </c>
      <c r="H94" s="19" t="n">
        <v>0.806</v>
      </c>
      <c r="I94" s="29" t="n">
        <v>0</v>
      </c>
      <c r="J94" s="2" t="inlineStr">
        <is>
          <t>EXP0479</t>
        </is>
      </c>
      <c r="K94" s="2" t="n">
        <v>2</v>
      </c>
      <c r="L94" s="2" t="inlineStr">
        <is>
          <t>BRK027</t>
        </is>
      </c>
      <c r="M94" s="2" t="inlineStr">
        <is>
          <t>LAND2</t>
        </is>
      </c>
      <c r="N94" s="2" t="n">
        <v>0</v>
      </c>
      <c r="O94" s="2" t="n">
        <v>0</v>
      </c>
      <c r="P94" s="2" t="n">
        <v>0</v>
      </c>
      <c r="Q94" s="2" t="n">
        <v>0</v>
      </c>
      <c r="R94" s="30">
        <f>IF(AND($C$5&lt;&gt;"",$A94=$C$5),1,"")</f>
        <v/>
      </c>
      <c r="S94" s="21">
        <f>IF(AND($C$5&lt;&gt;"",$A94=$C$5),SUMIFS($G$8:$G$715,$A$8:$A$715,$C$5,$B$8:$B$715,"&lt;="&amp;$B94),"")</f>
        <v/>
      </c>
      <c r="T94" s="24" t="n"/>
      <c r="U94" s="24" t="n"/>
    </row>
    <row r="95">
      <c r="A95" s="2" t="inlineStr">
        <is>
          <t>CHN-52</t>
        </is>
      </c>
      <c r="B95" s="2" t="n">
        <v>1</v>
      </c>
      <c r="C95" s="2" t="inlineStr">
        <is>
          <t>IMP01310</t>
        </is>
      </c>
      <c r="D95" s="2" t="inlineStr">
        <is>
          <t>Pacific Living Co.</t>
        </is>
      </c>
      <c r="E95" s="2" t="n">
        <v>2090</v>
      </c>
      <c r="F95" s="27" t="n">
        <v>1584365598.99</v>
      </c>
      <c r="G95" s="28" t="n">
        <v>0.9372</v>
      </c>
      <c r="H95" s="19" t="n">
        <v>0.996</v>
      </c>
      <c r="I95" s="29" t="n">
        <v>0.0148</v>
      </c>
      <c r="J95" s="2" t="inlineStr">
        <is>
          <t>EXP0048</t>
        </is>
      </c>
      <c r="K95" s="2" t="n">
        <v>2</v>
      </c>
      <c r="L95" s="2" t="inlineStr">
        <is>
          <t>BRK069</t>
        </is>
      </c>
      <c r="M95" s="2" t="inlineStr">
        <is>
          <t>LAND1</t>
        </is>
      </c>
      <c r="N95" s="2" t="n">
        <v>0</v>
      </c>
      <c r="O95" s="2" t="n">
        <v>0</v>
      </c>
      <c r="P95" s="2" t="n">
        <v>0</v>
      </c>
      <c r="Q95" s="2" t="n">
        <v>0</v>
      </c>
      <c r="R95" s="30">
        <f>IF(AND($C$5&lt;&gt;"",$A95=$C$5),1,"")</f>
        <v/>
      </c>
      <c r="S95" s="21">
        <f>IF(AND($C$5&lt;&gt;"",$A95=$C$5),SUMIFS($G$8:$G$715,$A$8:$A$715,$C$5,$B$8:$B$715,"&lt;="&amp;$B95),"")</f>
        <v/>
      </c>
      <c r="T95" s="24" t="n"/>
      <c r="U95" s="24" t="n"/>
    </row>
    <row r="96">
      <c r="A96" s="2" t="inlineStr">
        <is>
          <t>CHN-52</t>
        </is>
      </c>
      <c r="B96" s="2" t="n">
        <v>2</v>
      </c>
      <c r="C96" s="2" t="inlineStr">
        <is>
          <t>IMP00013</t>
        </is>
      </c>
      <c r="D96" s="2" t="inlineStr">
        <is>
          <t>Twin Rivers Glow International Ltd</t>
        </is>
      </c>
      <c r="E96" s="2" t="n">
        <v>68</v>
      </c>
      <c r="F96" s="27" t="n">
        <v>43108695.41</v>
      </c>
      <c r="G96" s="28" t="n">
        <v>0.0255</v>
      </c>
      <c r="H96" s="19" t="n">
        <v>1.018</v>
      </c>
      <c r="I96" s="29" t="n">
        <v>0</v>
      </c>
      <c r="J96" s="2" t="inlineStr">
        <is>
          <t>EXP0361</t>
        </is>
      </c>
      <c r="K96" s="2" t="n">
        <v>2</v>
      </c>
      <c r="L96" s="2" t="inlineStr">
        <is>
          <t>BRK078</t>
        </is>
      </c>
      <c r="M96" s="2" t="inlineStr">
        <is>
          <t>PORT3</t>
        </is>
      </c>
      <c r="N96" s="2" t="n">
        <v>0</v>
      </c>
      <c r="O96" s="2" t="n">
        <v>0</v>
      </c>
      <c r="P96" s="2" t="n">
        <v>0</v>
      </c>
      <c r="Q96" s="2" t="n">
        <v>0</v>
      </c>
      <c r="R96" s="30">
        <f>IF(AND($C$5&lt;&gt;"",$A96=$C$5),1,"")</f>
        <v/>
      </c>
      <c r="S96" s="21">
        <f>IF(AND($C$5&lt;&gt;"",$A96=$C$5),SUMIFS($G$8:$G$715,$A$8:$A$715,$C$5,$B$8:$B$715,"&lt;="&amp;$B96),"")</f>
        <v/>
      </c>
      <c r="T96" s="24" t="n"/>
      <c r="U96" s="24" t="n"/>
    </row>
    <row r="97">
      <c r="A97" s="2" t="inlineStr">
        <is>
          <t>CHN-52</t>
        </is>
      </c>
      <c r="B97" s="2" t="n">
        <v>3</v>
      </c>
      <c r="C97" s="2" t="inlineStr">
        <is>
          <t>IMP01323</t>
        </is>
      </c>
      <c r="D97" s="2" t="inlineStr">
        <is>
          <t>Harmony Medical Holdings Ltd</t>
        </is>
      </c>
      <c r="E97" s="2" t="n">
        <v>35</v>
      </c>
      <c r="F97" s="27" t="n">
        <v>21741617.82</v>
      </c>
      <c r="G97" s="28" t="n">
        <v>0.0129</v>
      </c>
      <c r="H97" s="19" t="n">
        <v>0.966</v>
      </c>
      <c r="I97" s="29" t="n">
        <v>0</v>
      </c>
      <c r="J97" s="2" t="inlineStr">
        <is>
          <t>EXP0238</t>
        </is>
      </c>
      <c r="K97" s="2" t="n">
        <v>2</v>
      </c>
      <c r="L97" s="2" t="inlineStr">
        <is>
          <t>BRK062</t>
        </is>
      </c>
      <c r="M97" s="2" t="inlineStr">
        <is>
          <t>LAND1</t>
        </is>
      </c>
      <c r="N97" s="2" t="n">
        <v>0</v>
      </c>
      <c r="O97" s="2" t="n">
        <v>0</v>
      </c>
      <c r="P97" s="2" t="n">
        <v>0</v>
      </c>
      <c r="Q97" s="2" t="n">
        <v>0</v>
      </c>
      <c r="R97" s="30">
        <f>IF(AND($C$5&lt;&gt;"",$A97=$C$5),1,"")</f>
        <v/>
      </c>
      <c r="S97" s="21">
        <f>IF(AND($C$5&lt;&gt;"",$A97=$C$5),SUMIFS($G$8:$G$715,$A$8:$A$715,$C$5,$B$8:$B$715,"&lt;="&amp;$B97),"")</f>
        <v/>
      </c>
      <c r="T97" s="24" t="n"/>
      <c r="U97" s="24" t="n"/>
    </row>
    <row r="98">
      <c r="A98" s="2" t="inlineStr">
        <is>
          <t>CHN-52</t>
        </is>
      </c>
      <c r="B98" s="2" t="n">
        <v>4</v>
      </c>
      <c r="C98" s="2" t="inlineStr">
        <is>
          <t>IMP00083</t>
        </is>
      </c>
      <c r="D98" s="2" t="inlineStr">
        <is>
          <t>United Textiles &amp; Sons</t>
        </is>
      </c>
      <c r="E98" s="2" t="n">
        <v>13</v>
      </c>
      <c r="F98" s="27" t="n">
        <v>9939305.630000001</v>
      </c>
      <c r="G98" s="28" t="n">
        <v>0.0059</v>
      </c>
      <c r="H98" s="19" t="n">
        <v>0.991</v>
      </c>
      <c r="I98" s="29" t="n">
        <v>0</v>
      </c>
      <c r="J98" s="2" t="inlineStr">
        <is>
          <t>EXP0581</t>
        </is>
      </c>
      <c r="K98" s="2" t="n">
        <v>3</v>
      </c>
      <c r="L98" s="2" t="inlineStr">
        <is>
          <t>BRK057</t>
        </is>
      </c>
      <c r="M98" s="2" t="inlineStr">
        <is>
          <t>LAND2</t>
        </is>
      </c>
      <c r="N98" s="2" t="n">
        <v>0</v>
      </c>
      <c r="O98" s="2" t="n">
        <v>0</v>
      </c>
      <c r="P98" s="2" t="n">
        <v>0</v>
      </c>
      <c r="Q98" s="2" t="n">
        <v>0</v>
      </c>
      <c r="R98" s="30">
        <f>IF(AND($C$5&lt;&gt;"",$A98=$C$5),1,"")</f>
        <v/>
      </c>
      <c r="S98" s="21">
        <f>IF(AND($C$5&lt;&gt;"",$A98=$C$5),SUMIFS($G$8:$G$715,$A$8:$A$715,$C$5,$B$8:$B$715,"&lt;="&amp;$B98),"")</f>
        <v/>
      </c>
      <c r="T98" s="24" t="n"/>
      <c r="U98" s="24" t="n"/>
    </row>
    <row r="99">
      <c r="A99" s="2" t="inlineStr">
        <is>
          <t>CHN-52</t>
        </is>
      </c>
      <c r="B99" s="2" t="n">
        <v>5</v>
      </c>
      <c r="C99" s="2" t="inlineStr">
        <is>
          <t>IMP01405</t>
        </is>
      </c>
      <c r="D99" s="2" t="inlineStr">
        <is>
          <t>Central Steel Holdings Ltd</t>
        </is>
      </c>
      <c r="E99" s="2" t="n">
        <v>7</v>
      </c>
      <c r="F99" s="27" t="n">
        <v>7224526.52</v>
      </c>
      <c r="G99" s="28" t="n">
        <v>0.0043</v>
      </c>
      <c r="H99" s="19" t="n">
        <v>1.095</v>
      </c>
      <c r="I99" s="29" t="n">
        <v>0</v>
      </c>
      <c r="J99" s="2" t="inlineStr">
        <is>
          <t>EXP0378</t>
        </is>
      </c>
      <c r="K99" s="2" t="n">
        <v>2</v>
      </c>
      <c r="L99" s="2" t="inlineStr">
        <is>
          <t>BRK053</t>
        </is>
      </c>
      <c r="M99" s="2" t="inlineStr">
        <is>
          <t>PORT2</t>
        </is>
      </c>
      <c r="N99" s="2" t="n">
        <v>0</v>
      </c>
      <c r="O99" s="2" t="n">
        <v>0</v>
      </c>
      <c r="P99" s="2" t="n">
        <v>0</v>
      </c>
      <c r="Q99" s="2" t="n">
        <v>1</v>
      </c>
      <c r="R99" s="30">
        <f>IF(AND($C$5&lt;&gt;"",$A99=$C$5),1,"")</f>
        <v/>
      </c>
      <c r="S99" s="21">
        <f>IF(AND($C$5&lt;&gt;"",$A99=$C$5),SUMIFS($G$8:$G$715,$A$8:$A$715,$C$5,$B$8:$B$715,"&lt;="&amp;$B99),"")</f>
        <v/>
      </c>
      <c r="T99" s="24" t="n"/>
      <c r="U99" s="24" t="n"/>
    </row>
    <row r="100">
      <c r="A100" s="2" t="inlineStr">
        <is>
          <t>CHN-52</t>
        </is>
      </c>
      <c r="B100" s="2" t="n">
        <v>6</v>
      </c>
      <c r="C100" s="2" t="inlineStr">
        <is>
          <t>IMP00535</t>
        </is>
      </c>
      <c r="D100" s="2" t="inlineStr">
        <is>
          <t>Golden Medical Co.</t>
        </is>
      </c>
      <c r="E100" s="2" t="n">
        <v>8</v>
      </c>
      <c r="F100" s="27" t="n">
        <v>6921784.17</v>
      </c>
      <c r="G100" s="28" t="n">
        <v>0.0041</v>
      </c>
      <c r="H100" s="19" t="n">
        <v>1.51</v>
      </c>
      <c r="I100" s="29" t="n">
        <v>0.125</v>
      </c>
      <c r="J100" s="2" t="inlineStr">
        <is>
          <t>EXP0015</t>
        </is>
      </c>
      <c r="K100" s="2" t="n">
        <v>3</v>
      </c>
      <c r="L100" s="2" t="inlineStr">
        <is>
          <t>BRK018</t>
        </is>
      </c>
      <c r="M100" s="2" t="inlineStr">
        <is>
          <t>PORT1</t>
        </is>
      </c>
      <c r="N100" s="2" t="n">
        <v>0</v>
      </c>
      <c r="O100" s="2" t="n">
        <v>0</v>
      </c>
      <c r="P100" s="2" t="n">
        <v>0</v>
      </c>
      <c r="Q100" s="2" t="n">
        <v>1</v>
      </c>
      <c r="R100" s="30">
        <f>IF(AND($C$5&lt;&gt;"",$A100=$C$5),1,"")</f>
        <v/>
      </c>
      <c r="S100" s="21">
        <f>IF(AND($C$5&lt;&gt;"",$A100=$C$5),SUMIFS($G$8:$G$715,$A$8:$A$715,$C$5,$B$8:$B$715,"&lt;="&amp;$B100),"")</f>
        <v/>
      </c>
      <c r="T100" s="24" t="n"/>
      <c r="U100" s="24" t="n"/>
    </row>
    <row r="101">
      <c r="A101" s="2" t="inlineStr">
        <is>
          <t>CHN-52</t>
        </is>
      </c>
      <c r="B101" s="2" t="n">
        <v>7</v>
      </c>
      <c r="C101" s="2" t="inlineStr">
        <is>
          <t>IMP00163</t>
        </is>
      </c>
      <c r="D101" s="2" t="inlineStr">
        <is>
          <t>Coral Trading Limited</t>
        </is>
      </c>
      <c r="E101" s="2" t="n">
        <v>10</v>
      </c>
      <c r="F101" s="27" t="n">
        <v>4578161.38</v>
      </c>
      <c r="G101" s="28" t="n">
        <v>0.0027</v>
      </c>
      <c r="H101" s="19" t="n">
        <v>1.008</v>
      </c>
      <c r="I101" s="29" t="n">
        <v>0.1</v>
      </c>
      <c r="J101" s="2" t="inlineStr">
        <is>
          <t>EXP0024</t>
        </is>
      </c>
      <c r="K101" s="2" t="n">
        <v>3</v>
      </c>
      <c r="L101" s="2" t="inlineStr">
        <is>
          <t>BRK038</t>
        </is>
      </c>
      <c r="M101" s="2" t="inlineStr">
        <is>
          <t>PORT1</t>
        </is>
      </c>
      <c r="N101" s="2" t="n">
        <v>0</v>
      </c>
      <c r="O101" s="2" t="n">
        <v>0</v>
      </c>
      <c r="P101" s="2" t="n">
        <v>0</v>
      </c>
      <c r="Q101" s="2" t="n">
        <v>1</v>
      </c>
      <c r="R101" s="30">
        <f>IF(AND($C$5&lt;&gt;"",$A101=$C$5),1,"")</f>
        <v/>
      </c>
      <c r="S101" s="21">
        <f>IF(AND($C$5&lt;&gt;"",$A101=$C$5),SUMIFS($G$8:$G$715,$A$8:$A$715,$C$5,$B$8:$B$715,"&lt;="&amp;$B101),"")</f>
        <v/>
      </c>
      <c r="T101" s="24" t="n"/>
      <c r="U101" s="24" t="n"/>
    </row>
    <row r="102">
      <c r="A102" s="2" t="inlineStr">
        <is>
          <t>CHN-52</t>
        </is>
      </c>
      <c r="B102" s="2" t="n">
        <v>8</v>
      </c>
      <c r="C102" s="2" t="inlineStr">
        <is>
          <t>IMP01304</t>
        </is>
      </c>
      <c r="D102" s="2" t="inlineStr">
        <is>
          <t>Lotus Pack Co., Ltd</t>
        </is>
      </c>
      <c r="E102" s="2" t="n">
        <v>5</v>
      </c>
      <c r="F102" s="27" t="n">
        <v>3958249.74</v>
      </c>
      <c r="G102" s="28" t="n">
        <v>0.0023</v>
      </c>
      <c r="H102" s="19" t="n">
        <v>1.2</v>
      </c>
      <c r="I102" s="29" t="n">
        <v>0</v>
      </c>
      <c r="J102" s="2" t="inlineStr">
        <is>
          <t>EXP0015</t>
        </is>
      </c>
      <c r="K102" s="2" t="n">
        <v>3</v>
      </c>
      <c r="L102" s="2" t="inlineStr">
        <is>
          <t>BRK003</t>
        </is>
      </c>
      <c r="M102" s="2" t="inlineStr">
        <is>
          <t>PORT2</t>
        </is>
      </c>
      <c r="N102" s="2" t="n">
        <v>0</v>
      </c>
      <c r="O102" s="2" t="n">
        <v>0</v>
      </c>
      <c r="P102" s="2" t="n">
        <v>0</v>
      </c>
      <c r="Q102" s="2" t="n">
        <v>0</v>
      </c>
      <c r="R102" s="30">
        <f>IF(AND($C$5&lt;&gt;"",$A102=$C$5),1,"")</f>
        <v/>
      </c>
      <c r="S102" s="21">
        <f>IF(AND($C$5&lt;&gt;"",$A102=$C$5),SUMIFS($G$8:$G$715,$A$8:$A$715,$C$5,$B$8:$B$715,"&lt;="&amp;$B102),"")</f>
        <v/>
      </c>
      <c r="T102" s="24" t="n"/>
      <c r="U102" s="24" t="n"/>
    </row>
    <row r="103">
      <c r="A103" s="2" t="inlineStr">
        <is>
          <t>CHN-52</t>
        </is>
      </c>
      <c r="B103" s="2" t="n">
        <v>9</v>
      </c>
      <c r="C103" s="2" t="inlineStr">
        <is>
          <t>IMP00868</t>
        </is>
      </c>
      <c r="D103" s="2" t="inlineStr">
        <is>
          <t>Prescott Motors International Ltd</t>
        </is>
      </c>
      <c r="E103" s="2" t="n">
        <v>1</v>
      </c>
      <c r="F103" s="27" t="n">
        <v>2439812.12</v>
      </c>
      <c r="G103" s="28" t="n">
        <v>0.0014</v>
      </c>
      <c r="H103" s="19" t="n">
        <v>1.074</v>
      </c>
      <c r="I103" s="29" t="n">
        <v>0</v>
      </c>
      <c r="J103" s="2" t="inlineStr">
        <is>
          <t>EXP0504</t>
        </is>
      </c>
      <c r="K103" s="2" t="n">
        <v>3</v>
      </c>
      <c r="L103" s="2" t="inlineStr">
        <is>
          <t>BRK068</t>
        </is>
      </c>
      <c r="M103" s="2" t="inlineStr">
        <is>
          <t>PORT2</t>
        </is>
      </c>
      <c r="N103" s="2" t="n">
        <v>0</v>
      </c>
      <c r="O103" s="2" t="n">
        <v>0</v>
      </c>
      <c r="P103" s="2" t="n">
        <v>0</v>
      </c>
      <c r="Q103" s="2" t="n">
        <v>0</v>
      </c>
      <c r="R103" s="30">
        <f>IF(AND($C$5&lt;&gt;"",$A103=$C$5),1,"")</f>
        <v/>
      </c>
      <c r="S103" s="21">
        <f>IF(AND($C$5&lt;&gt;"",$A103=$C$5),SUMIFS($G$8:$G$715,$A$8:$A$715,$C$5,$B$8:$B$715,"&lt;="&amp;$B103),"")</f>
        <v/>
      </c>
      <c r="T103" s="24" t="n"/>
      <c r="U103" s="24" t="n"/>
    </row>
    <row r="104">
      <c r="A104" s="2" t="inlineStr">
        <is>
          <t>CHN-52</t>
        </is>
      </c>
      <c r="B104" s="2" t="n">
        <v>10</v>
      </c>
      <c r="C104" s="2" t="inlineStr">
        <is>
          <t>IMP00899</t>
        </is>
      </c>
      <c r="D104" s="2" t="inlineStr">
        <is>
          <t>Sunrise Imports Group Ltd</t>
        </is>
      </c>
      <c r="E104" s="2" t="n">
        <v>1</v>
      </c>
      <c r="F104" s="27" t="n">
        <v>2355802.6</v>
      </c>
      <c r="G104" s="28" t="n">
        <v>0.0014</v>
      </c>
      <c r="H104" s="19" t="n">
        <v>0.991</v>
      </c>
      <c r="I104" s="29" t="n">
        <v>0</v>
      </c>
      <c r="J104" s="2" t="inlineStr">
        <is>
          <t>EXP0421</t>
        </is>
      </c>
      <c r="K104" s="2" t="n">
        <v>2</v>
      </c>
      <c r="L104" s="2" t="inlineStr">
        <is>
          <t>BRK015</t>
        </is>
      </c>
      <c r="M104" s="2" t="inlineStr">
        <is>
          <t>PORT1</t>
        </is>
      </c>
      <c r="N104" s="2" t="n">
        <v>0</v>
      </c>
      <c r="O104" s="2" t="n">
        <v>0</v>
      </c>
      <c r="P104" s="2" t="n">
        <v>0</v>
      </c>
      <c r="Q104" s="2" t="n">
        <v>0</v>
      </c>
      <c r="R104" s="30">
        <f>IF(AND($C$5&lt;&gt;"",$A104=$C$5),1,"")</f>
        <v/>
      </c>
      <c r="S104" s="21">
        <f>IF(AND($C$5&lt;&gt;"",$A104=$C$5),SUMIFS($G$8:$G$715,$A$8:$A$715,$C$5,$B$8:$B$715,"&lt;="&amp;$B104),"")</f>
        <v/>
      </c>
      <c r="T104" s="24" t="n"/>
      <c r="U104" s="24" t="n"/>
    </row>
    <row r="105">
      <c r="A105" s="2" t="inlineStr">
        <is>
          <t>CHN-52</t>
        </is>
      </c>
      <c r="B105" s="2" t="n">
        <v>11</v>
      </c>
      <c r="C105" s="2" t="inlineStr">
        <is>
          <t>IMP00076</t>
        </is>
      </c>
      <c r="D105" s="2" t="inlineStr">
        <is>
          <t>United Imports Enterprises</t>
        </is>
      </c>
      <c r="E105" s="2" t="n">
        <v>2</v>
      </c>
      <c r="F105" s="27" t="n">
        <v>1294346.43</v>
      </c>
      <c r="G105" s="28" t="n">
        <v>0.0008</v>
      </c>
      <c r="H105" s="19" t="n">
        <v>1.165</v>
      </c>
      <c r="I105" s="29" t="n">
        <v>0</v>
      </c>
      <c r="J105" s="2" t="inlineStr">
        <is>
          <t>EXP0024</t>
        </is>
      </c>
      <c r="K105" s="2" t="n">
        <v>3</v>
      </c>
      <c r="L105" s="2" t="inlineStr">
        <is>
          <t>BRK021</t>
        </is>
      </c>
      <c r="M105" s="2" t="inlineStr">
        <is>
          <t>LAND5</t>
        </is>
      </c>
      <c r="N105" s="2" t="n">
        <v>0</v>
      </c>
      <c r="O105" s="2" t="n">
        <v>0</v>
      </c>
      <c r="P105" s="2" t="n">
        <v>0</v>
      </c>
      <c r="Q105" s="2" t="n">
        <v>0</v>
      </c>
      <c r="R105" s="30">
        <f>IF(AND($C$5&lt;&gt;"",$A105=$C$5),1,"")</f>
        <v/>
      </c>
      <c r="S105" s="21">
        <f>IF(AND($C$5&lt;&gt;"",$A105=$C$5),SUMIFS($G$8:$G$715,$A$8:$A$715,$C$5,$B$8:$B$715,"&lt;="&amp;$B105),"")</f>
        <v/>
      </c>
      <c r="T105" s="24" t="n"/>
      <c r="U105" s="24" t="n"/>
    </row>
    <row r="106">
      <c r="A106" s="2" t="inlineStr">
        <is>
          <t>CHN-52</t>
        </is>
      </c>
      <c r="B106" s="2" t="n">
        <v>12</v>
      </c>
      <c r="C106" s="2" t="inlineStr">
        <is>
          <t>IMP00750</t>
        </is>
      </c>
      <c r="D106" s="2" t="inlineStr">
        <is>
          <t>Crown Logistics Enterprises</t>
        </is>
      </c>
      <c r="E106" s="2" t="n">
        <v>1</v>
      </c>
      <c r="F106" s="27" t="n">
        <v>1123303.84</v>
      </c>
      <c r="G106" s="28" t="n">
        <v>0.0007</v>
      </c>
      <c r="H106" s="19" t="n">
        <v>0.857</v>
      </c>
      <c r="I106" s="29" t="n">
        <v>0</v>
      </c>
      <c r="J106" s="2" t="inlineStr">
        <is>
          <t>EXP0169</t>
        </is>
      </c>
      <c r="K106" s="2" t="n">
        <v>3</v>
      </c>
      <c r="L106" s="2" t="inlineStr">
        <is>
          <t>BRK070</t>
        </is>
      </c>
      <c r="M106" s="2" t="inlineStr">
        <is>
          <t>PORT2</t>
        </is>
      </c>
      <c r="N106" s="2" t="n">
        <v>0</v>
      </c>
      <c r="O106" s="2" t="n">
        <v>0</v>
      </c>
      <c r="P106" s="2" t="n">
        <v>0</v>
      </c>
      <c r="Q106" s="2" t="n">
        <v>0</v>
      </c>
      <c r="R106" s="30">
        <f>IF(AND($C$5&lt;&gt;"",$A106=$C$5),1,"")</f>
        <v/>
      </c>
      <c r="S106" s="21">
        <f>IF(AND($C$5&lt;&gt;"",$A106=$C$5),SUMIFS($G$8:$G$715,$A$8:$A$715,$C$5,$B$8:$B$715,"&lt;="&amp;$B106),"")</f>
        <v/>
      </c>
      <c r="T106" s="24" t="n"/>
      <c r="U106" s="24" t="n"/>
    </row>
    <row r="107">
      <c r="A107" s="2" t="inlineStr">
        <is>
          <t>CHN-52</t>
        </is>
      </c>
      <c r="B107" s="2" t="n">
        <v>13</v>
      </c>
      <c r="C107" s="2" t="inlineStr">
        <is>
          <t>IMP00769</t>
        </is>
      </c>
      <c r="D107" s="2" t="inlineStr">
        <is>
          <t>Crown Agro Enterprises</t>
        </is>
      </c>
      <c r="E107" s="2" t="n">
        <v>1</v>
      </c>
      <c r="F107" s="27" t="n">
        <v>863734.25</v>
      </c>
      <c r="G107" s="28" t="n">
        <v>0.0005</v>
      </c>
      <c r="H107" s="19" t="n"/>
      <c r="I107" s="29" t="n">
        <v>0</v>
      </c>
      <c r="J107" s="2" t="inlineStr">
        <is>
          <t>EXP0235</t>
        </is>
      </c>
      <c r="K107" s="2" t="n">
        <v>3</v>
      </c>
      <c r="L107" s="2" t="inlineStr">
        <is>
          <t>BRK008</t>
        </is>
      </c>
      <c r="M107" s="2" t="inlineStr">
        <is>
          <t>LAND3</t>
        </is>
      </c>
      <c r="N107" s="2" t="n">
        <v>0</v>
      </c>
      <c r="O107" s="2" t="n">
        <v>0</v>
      </c>
      <c r="P107" s="2" t="n">
        <v>0</v>
      </c>
      <c r="Q107" s="2" t="n">
        <v>0</v>
      </c>
      <c r="R107" s="30">
        <f>IF(AND($C$5&lt;&gt;"",$A107=$C$5),1,"")</f>
        <v/>
      </c>
      <c r="S107" s="21">
        <f>IF(AND($C$5&lt;&gt;"",$A107=$C$5),SUMIFS($G$8:$G$715,$A$8:$A$715,$C$5,$B$8:$B$715,"&lt;="&amp;$B107),"")</f>
        <v/>
      </c>
      <c r="T107" s="24" t="n"/>
      <c r="U107" s="24" t="n"/>
    </row>
    <row r="108">
      <c r="A108" s="2" t="inlineStr">
        <is>
          <t>CHN-52</t>
        </is>
      </c>
      <c r="B108" s="2" t="n">
        <v>14</v>
      </c>
      <c r="C108" s="2" t="inlineStr">
        <is>
          <t>IMP01341</t>
        </is>
      </c>
      <c r="D108" s="2" t="inlineStr">
        <is>
          <t>Twin Rivers Motors Co., Ltd</t>
        </is>
      </c>
      <c r="E108" s="2" t="n">
        <v>1</v>
      </c>
      <c r="F108" s="27" t="n">
        <v>333093.08</v>
      </c>
      <c r="G108" s="28" t="n">
        <v>0.0002</v>
      </c>
      <c r="H108" s="19" t="n">
        <v>1.513</v>
      </c>
      <c r="I108" s="29" t="n">
        <v>0</v>
      </c>
      <c r="J108" s="2" t="inlineStr">
        <is>
          <t>EXP0038</t>
        </is>
      </c>
      <c r="K108" s="2" t="n">
        <v>5</v>
      </c>
      <c r="L108" s="2" t="inlineStr">
        <is>
          <t>BRK052</t>
        </is>
      </c>
      <c r="M108" s="2" t="inlineStr">
        <is>
          <t>PORT1</t>
        </is>
      </c>
      <c r="N108" s="2" t="n">
        <v>0</v>
      </c>
      <c r="O108" s="2" t="n">
        <v>0</v>
      </c>
      <c r="P108" s="2" t="n">
        <v>0</v>
      </c>
      <c r="Q108" s="2" t="n">
        <v>0</v>
      </c>
      <c r="R108" s="30">
        <f>IF(AND($C$5&lt;&gt;"",$A108=$C$5),1,"")</f>
        <v/>
      </c>
      <c r="S108" s="21">
        <f>IF(AND($C$5&lt;&gt;"",$A108=$C$5),SUMIFS($G$8:$G$715,$A$8:$A$715,$C$5,$B$8:$B$715,"&lt;="&amp;$B108),"")</f>
        <v/>
      </c>
      <c r="T108" s="24" t="n"/>
      <c r="U108" s="24" t="n"/>
    </row>
    <row r="109">
      <c r="A109" s="2" t="inlineStr">
        <is>
          <t>CHN-52</t>
        </is>
      </c>
      <c r="B109" s="2" t="n">
        <v>15</v>
      </c>
      <c r="C109" s="2" t="inlineStr">
        <is>
          <t>IMP00160</t>
        </is>
      </c>
      <c r="D109" s="2" t="inlineStr">
        <is>
          <t>Jade Pack International Ltd</t>
        </is>
      </c>
      <c r="E109" s="2" t="n">
        <v>1</v>
      </c>
      <c r="F109" s="27" t="n">
        <v>229477.58</v>
      </c>
      <c r="G109" s="28" t="n">
        <v>0.0001</v>
      </c>
      <c r="H109" s="19" t="n">
        <v>0.663</v>
      </c>
      <c r="I109" s="29" t="n">
        <v>1</v>
      </c>
      <c r="J109" s="2" t="inlineStr">
        <is>
          <t>EXP0038</t>
        </is>
      </c>
      <c r="K109" s="2" t="n">
        <v>5</v>
      </c>
      <c r="L109" s="2" t="inlineStr">
        <is>
          <t>BRK008</t>
        </is>
      </c>
      <c r="M109" s="2" t="inlineStr">
        <is>
          <t>PORT1</t>
        </is>
      </c>
      <c r="N109" s="2" t="n">
        <v>0</v>
      </c>
      <c r="O109" s="2" t="n">
        <v>1</v>
      </c>
      <c r="P109" s="2" t="n">
        <v>1</v>
      </c>
      <c r="Q109" s="2" t="n">
        <v>0</v>
      </c>
      <c r="R109" s="30">
        <f>IF(AND($C$5&lt;&gt;"",$A109=$C$5),1,"")</f>
        <v/>
      </c>
      <c r="S109" s="21">
        <f>IF(AND($C$5&lt;&gt;"",$A109=$C$5),SUMIFS($G$8:$G$715,$A$8:$A$715,$C$5,$B$8:$B$715,"&lt;="&amp;$B109),"")</f>
        <v/>
      </c>
      <c r="T109" s="24" t="n"/>
      <c r="U109" s="24" t="n"/>
    </row>
    <row r="110">
      <c r="A110" s="2" t="inlineStr">
        <is>
          <t>CHN-61</t>
        </is>
      </c>
      <c r="B110" s="2" t="n">
        <v>1</v>
      </c>
      <c r="C110" s="2" t="inlineStr">
        <is>
          <t>IMP01310</t>
        </is>
      </c>
      <c r="D110" s="2" t="inlineStr">
        <is>
          <t>Pacific Living Co.</t>
        </is>
      </c>
      <c r="E110" s="2" t="n">
        <v>414</v>
      </c>
      <c r="F110" s="27" t="n">
        <v>538736169.0599999</v>
      </c>
      <c r="G110" s="28" t="n">
        <v>0.5631</v>
      </c>
      <c r="H110" s="19" t="n">
        <v>0.994</v>
      </c>
      <c r="I110" s="29" t="n">
        <v>0.0266</v>
      </c>
      <c r="J110" s="2" t="inlineStr">
        <is>
          <t>EXP0048</t>
        </is>
      </c>
      <c r="K110" s="2" t="n">
        <v>3</v>
      </c>
      <c r="L110" s="2" t="inlineStr">
        <is>
          <t>BRK069</t>
        </is>
      </c>
      <c r="M110" s="2" t="inlineStr">
        <is>
          <t>LAND1</t>
        </is>
      </c>
      <c r="N110" s="2" t="n">
        <v>0</v>
      </c>
      <c r="O110" s="2" t="n">
        <v>0</v>
      </c>
      <c r="P110" s="2" t="n">
        <v>0</v>
      </c>
      <c r="Q110" s="2" t="n">
        <v>0</v>
      </c>
      <c r="R110" s="30">
        <f>IF(AND($C$5&lt;&gt;"",$A110=$C$5),1,"")</f>
        <v/>
      </c>
      <c r="S110" s="21">
        <f>IF(AND($C$5&lt;&gt;"",$A110=$C$5),SUMIFS($G$8:$G$715,$A$8:$A$715,$C$5,$B$8:$B$715,"&lt;="&amp;$B110),"")</f>
        <v/>
      </c>
      <c r="T110" s="24" t="n"/>
      <c r="U110" s="24" t="n"/>
    </row>
    <row r="111">
      <c r="A111" s="2" t="inlineStr">
        <is>
          <t>CHN-61</t>
        </is>
      </c>
      <c r="B111" s="2" t="n">
        <v>2</v>
      </c>
      <c r="C111" s="2" t="inlineStr">
        <is>
          <t>IMP00083</t>
        </is>
      </c>
      <c r="D111" s="2" t="inlineStr">
        <is>
          <t>United Textiles &amp; Sons</t>
        </is>
      </c>
      <c r="E111" s="2" t="n">
        <v>143</v>
      </c>
      <c r="F111" s="27" t="n">
        <v>145093514.4</v>
      </c>
      <c r="G111" s="28" t="n">
        <v>0.1517</v>
      </c>
      <c r="H111" s="19" t="n">
        <v>0.944</v>
      </c>
      <c r="I111" s="29" t="n">
        <v>0.049</v>
      </c>
      <c r="J111" s="2" t="inlineStr">
        <is>
          <t>EXP0581</t>
        </is>
      </c>
      <c r="K111" s="2" t="n">
        <v>2</v>
      </c>
      <c r="L111" s="2" t="inlineStr">
        <is>
          <t>BRK057</t>
        </is>
      </c>
      <c r="M111" s="2" t="inlineStr">
        <is>
          <t>PORT1</t>
        </is>
      </c>
      <c r="N111" s="2" t="n">
        <v>0</v>
      </c>
      <c r="O111" s="2" t="n">
        <v>0</v>
      </c>
      <c r="P111" s="2" t="n">
        <v>0</v>
      </c>
      <c r="Q111" s="2" t="n">
        <v>0</v>
      </c>
      <c r="R111" s="30">
        <f>IF(AND($C$5&lt;&gt;"",$A111=$C$5),1,"")</f>
        <v/>
      </c>
      <c r="S111" s="21">
        <f>IF(AND($C$5&lt;&gt;"",$A111=$C$5),SUMIFS($G$8:$G$715,$A$8:$A$715,$C$5,$B$8:$B$715,"&lt;="&amp;$B111),"")</f>
        <v/>
      </c>
      <c r="T111" s="24" t="n"/>
      <c r="U111" s="24" t="n"/>
    </row>
    <row r="112">
      <c r="A112" s="2" t="inlineStr">
        <is>
          <t>CHN-61</t>
        </is>
      </c>
      <c r="B112" s="2" t="n">
        <v>3</v>
      </c>
      <c r="C112" s="2" t="inlineStr">
        <is>
          <t>IMP00013</t>
        </is>
      </c>
      <c r="D112" s="2" t="inlineStr">
        <is>
          <t>Twin Rivers Glow International Ltd</t>
        </is>
      </c>
      <c r="E112" s="2" t="n">
        <v>51</v>
      </c>
      <c r="F112" s="27" t="n">
        <v>61211161.25</v>
      </c>
      <c r="G112" s="28" t="n">
        <v>0.064</v>
      </c>
      <c r="H112" s="19" t="n">
        <v>0.993</v>
      </c>
      <c r="I112" s="29" t="n">
        <v>0</v>
      </c>
      <c r="J112" s="2" t="inlineStr">
        <is>
          <t>EXP0361</t>
        </is>
      </c>
      <c r="K112" s="2" t="n">
        <v>4</v>
      </c>
      <c r="L112" s="2" t="inlineStr">
        <is>
          <t>BRK078</t>
        </is>
      </c>
      <c r="M112" s="2" t="inlineStr">
        <is>
          <t>PORT3</t>
        </is>
      </c>
      <c r="N112" s="2" t="n">
        <v>0</v>
      </c>
      <c r="O112" s="2" t="n">
        <v>0</v>
      </c>
      <c r="P112" s="2" t="n">
        <v>0</v>
      </c>
      <c r="Q112" s="2" t="n">
        <v>0</v>
      </c>
      <c r="R112" s="30">
        <f>IF(AND($C$5&lt;&gt;"",$A112=$C$5),1,"")</f>
        <v/>
      </c>
      <c r="S112" s="21">
        <f>IF(AND($C$5&lt;&gt;"",$A112=$C$5),SUMIFS($G$8:$G$715,$A$8:$A$715,$C$5,$B$8:$B$715,"&lt;="&amp;$B112),"")</f>
        <v/>
      </c>
      <c r="T112" s="24" t="n"/>
      <c r="U112" s="24" t="n"/>
    </row>
    <row r="113">
      <c r="A113" s="2" t="inlineStr">
        <is>
          <t>CHN-61</t>
        </is>
      </c>
      <c r="B113" s="2" t="n">
        <v>4</v>
      </c>
      <c r="C113" s="2" t="inlineStr">
        <is>
          <t>IMP00141</t>
        </is>
      </c>
      <c r="D113" s="2" t="inlineStr">
        <is>
          <t>Global Fruits Limited</t>
        </is>
      </c>
      <c r="E113" s="2" t="n">
        <v>77</v>
      </c>
      <c r="F113" s="27" t="n">
        <v>58927081.74</v>
      </c>
      <c r="G113" s="28" t="n">
        <v>0.0616</v>
      </c>
      <c r="H113" s="19" t="n">
        <v>1.007</v>
      </c>
      <c r="I113" s="29" t="n">
        <v>0.026</v>
      </c>
      <c r="J113" s="2" t="inlineStr">
        <is>
          <t>EXP0413</t>
        </is>
      </c>
      <c r="K113" s="2" t="n">
        <v>2</v>
      </c>
      <c r="L113" s="2" t="inlineStr">
        <is>
          <t>BRK078</t>
        </is>
      </c>
      <c r="M113" s="2" t="inlineStr">
        <is>
          <t>PORT3</t>
        </is>
      </c>
      <c r="N113" s="2" t="n">
        <v>0</v>
      </c>
      <c r="O113" s="2" t="n">
        <v>0</v>
      </c>
      <c r="P113" s="2" t="n">
        <v>0</v>
      </c>
      <c r="Q113" s="2" t="n">
        <v>0</v>
      </c>
      <c r="R113" s="30">
        <f>IF(AND($C$5&lt;&gt;"",$A113=$C$5),1,"")</f>
        <v/>
      </c>
      <c r="S113" s="21">
        <f>IF(AND($C$5&lt;&gt;"",$A113=$C$5),SUMIFS($G$8:$G$715,$A$8:$A$715,$C$5,$B$8:$B$715,"&lt;="&amp;$B113),"")</f>
        <v/>
      </c>
      <c r="T113" s="24" t="n"/>
      <c r="U113" s="24" t="n"/>
    </row>
    <row r="114">
      <c r="A114" s="2" t="inlineStr">
        <is>
          <t>CHN-61</t>
        </is>
      </c>
      <c r="B114" s="2" t="n">
        <v>5</v>
      </c>
      <c r="C114" s="2" t="inlineStr">
        <is>
          <t>IMP00684</t>
        </is>
      </c>
      <c r="D114" s="2" t="inlineStr">
        <is>
          <t>United Pack Enterprises</t>
        </is>
      </c>
      <c r="E114" s="2" t="n">
        <v>37</v>
      </c>
      <c r="F114" s="27" t="n">
        <v>32650905.83</v>
      </c>
      <c r="G114" s="28" t="n">
        <v>0.0341</v>
      </c>
      <c r="H114" s="19" t="n">
        <v>1.009</v>
      </c>
      <c r="I114" s="29" t="n">
        <v>0.08110000000000001</v>
      </c>
      <c r="J114" s="2" t="inlineStr">
        <is>
          <t>EXP0233</t>
        </is>
      </c>
      <c r="K114" s="2" t="n">
        <v>3</v>
      </c>
      <c r="L114" s="2" t="inlineStr">
        <is>
          <t>BRK002</t>
        </is>
      </c>
      <c r="M114" s="2" t="inlineStr">
        <is>
          <t>PORT3</t>
        </is>
      </c>
      <c r="N114" s="2" t="n">
        <v>0</v>
      </c>
      <c r="O114" s="2" t="n">
        <v>0</v>
      </c>
      <c r="P114" s="2" t="n">
        <v>0</v>
      </c>
      <c r="Q114" s="2" t="n">
        <v>1</v>
      </c>
      <c r="R114" s="30">
        <f>IF(AND($C$5&lt;&gt;"",$A114=$C$5),1,"")</f>
        <v/>
      </c>
      <c r="S114" s="21">
        <f>IF(AND($C$5&lt;&gt;"",$A114=$C$5),SUMIFS($G$8:$G$715,$A$8:$A$715,$C$5,$B$8:$B$715,"&lt;="&amp;$B114),"")</f>
        <v/>
      </c>
      <c r="T114" s="24" t="n"/>
      <c r="U114" s="24" t="n"/>
    </row>
    <row r="115">
      <c r="A115" s="2" t="inlineStr">
        <is>
          <t>CHN-61</t>
        </is>
      </c>
      <c r="B115" s="2" t="n">
        <v>6</v>
      </c>
      <c r="C115" s="2" t="inlineStr">
        <is>
          <t>IMP00163</t>
        </is>
      </c>
      <c r="D115" s="2" t="inlineStr">
        <is>
          <t>Coral Trading Limited</t>
        </is>
      </c>
      <c r="E115" s="2" t="n">
        <v>28</v>
      </c>
      <c r="F115" s="27" t="n">
        <v>18916641.26</v>
      </c>
      <c r="G115" s="28" t="n">
        <v>0.0198</v>
      </c>
      <c r="H115" s="19" t="n">
        <v>0.9115</v>
      </c>
      <c r="I115" s="29" t="n">
        <v>0.0357</v>
      </c>
      <c r="J115" s="2" t="inlineStr">
        <is>
          <t>EXP0024</t>
        </is>
      </c>
      <c r="K115" s="2" t="n">
        <v>4</v>
      </c>
      <c r="L115" s="2" t="inlineStr">
        <is>
          <t>BRK038</t>
        </is>
      </c>
      <c r="M115" s="2" t="inlineStr">
        <is>
          <t>LAND5</t>
        </is>
      </c>
      <c r="N115" s="2" t="n">
        <v>0</v>
      </c>
      <c r="O115" s="2" t="n">
        <v>0</v>
      </c>
      <c r="P115" s="2" t="n">
        <v>0</v>
      </c>
      <c r="Q115" s="2" t="n">
        <v>0</v>
      </c>
      <c r="R115" s="30">
        <f>IF(AND($C$5&lt;&gt;"",$A115=$C$5),1,"")</f>
        <v/>
      </c>
      <c r="S115" s="21">
        <f>IF(AND($C$5&lt;&gt;"",$A115=$C$5),SUMIFS($G$8:$G$715,$A$8:$A$715,$C$5,$B$8:$B$715,"&lt;="&amp;$B115),"")</f>
        <v/>
      </c>
      <c r="T115" s="24" t="n"/>
      <c r="U115" s="24" t="n"/>
    </row>
    <row r="116">
      <c r="A116" s="2" t="inlineStr">
        <is>
          <t>CHN-61</t>
        </is>
      </c>
      <c r="B116" s="2" t="n">
        <v>7</v>
      </c>
      <c r="C116" s="2" t="inlineStr">
        <is>
          <t>IMP01405</t>
        </is>
      </c>
      <c r="D116" s="2" t="inlineStr">
        <is>
          <t>Central Steel Holdings Ltd</t>
        </is>
      </c>
      <c r="E116" s="2" t="n">
        <v>14</v>
      </c>
      <c r="F116" s="27" t="n">
        <v>12132131.11</v>
      </c>
      <c r="G116" s="28" t="n">
        <v>0.0127</v>
      </c>
      <c r="H116" s="19" t="n">
        <v>1.036</v>
      </c>
      <c r="I116" s="29" t="n">
        <v>0.1429</v>
      </c>
      <c r="J116" s="2" t="inlineStr">
        <is>
          <t>EXP0378</t>
        </is>
      </c>
      <c r="K116" s="2" t="n">
        <v>3</v>
      </c>
      <c r="L116" s="2" t="inlineStr">
        <is>
          <t>BRK053</t>
        </is>
      </c>
      <c r="M116" s="2" t="inlineStr">
        <is>
          <t>PORT2</t>
        </is>
      </c>
      <c r="N116" s="2" t="n">
        <v>0</v>
      </c>
      <c r="O116" s="2" t="n">
        <v>0</v>
      </c>
      <c r="P116" s="2" t="n">
        <v>0</v>
      </c>
      <c r="Q116" s="2" t="n">
        <v>0</v>
      </c>
      <c r="R116" s="30">
        <f>IF(AND($C$5&lt;&gt;"",$A116=$C$5),1,"")</f>
        <v/>
      </c>
      <c r="S116" s="21">
        <f>IF(AND($C$5&lt;&gt;"",$A116=$C$5),SUMIFS($G$8:$G$715,$A$8:$A$715,$C$5,$B$8:$B$715,"&lt;="&amp;$B116),"")</f>
        <v/>
      </c>
      <c r="T116" s="24" t="n"/>
      <c r="U116" s="24" t="n"/>
    </row>
    <row r="117">
      <c r="A117" s="2" t="inlineStr">
        <is>
          <t>CHN-61</t>
        </is>
      </c>
      <c r="B117" s="2" t="n">
        <v>8</v>
      </c>
      <c r="C117" s="2" t="inlineStr">
        <is>
          <t>IMP01095</t>
        </is>
      </c>
      <c r="D117" s="2" t="inlineStr">
        <is>
          <t>Arden Supply Co., Ltd</t>
        </is>
      </c>
      <c r="E117" s="2" t="n">
        <v>13</v>
      </c>
      <c r="F117" s="27" t="n">
        <v>11045382.64</v>
      </c>
      <c r="G117" s="28" t="n">
        <v>0.0115</v>
      </c>
      <c r="H117" s="19" t="n">
        <v>0.888</v>
      </c>
      <c r="I117" s="29" t="n">
        <v>0.0769</v>
      </c>
      <c r="J117" s="2" t="inlineStr">
        <is>
          <t>EXP0233</t>
        </is>
      </c>
      <c r="K117" s="2" t="n">
        <v>3</v>
      </c>
      <c r="L117" s="2" t="inlineStr">
        <is>
          <t>BRK052</t>
        </is>
      </c>
      <c r="M117" s="2" t="inlineStr">
        <is>
          <t>PORT3</t>
        </is>
      </c>
      <c r="N117" s="2" t="n">
        <v>0</v>
      </c>
      <c r="O117" s="2" t="n">
        <v>0</v>
      </c>
      <c r="P117" s="2" t="n">
        <v>0</v>
      </c>
      <c r="Q117" s="2" t="n">
        <v>0</v>
      </c>
      <c r="R117" s="30">
        <f>IF(AND($C$5&lt;&gt;"",$A117=$C$5),1,"")</f>
        <v/>
      </c>
      <c r="S117" s="21">
        <f>IF(AND($C$5&lt;&gt;"",$A117=$C$5),SUMIFS($G$8:$G$715,$A$8:$A$715,$C$5,$B$8:$B$715,"&lt;="&amp;$B117),"")</f>
        <v/>
      </c>
      <c r="T117" s="24" t="n"/>
      <c r="U117" s="24" t="n"/>
    </row>
    <row r="118">
      <c r="A118" s="2" t="inlineStr">
        <is>
          <t>CHN-61</t>
        </is>
      </c>
      <c r="B118" s="2" t="n">
        <v>9</v>
      </c>
      <c r="C118" s="2" t="inlineStr">
        <is>
          <t>IMP00535</t>
        </is>
      </c>
      <c r="D118" s="2" t="inlineStr">
        <is>
          <t>Golden Medical Co.</t>
        </is>
      </c>
      <c r="E118" s="2" t="n">
        <v>14</v>
      </c>
      <c r="F118" s="27" t="n">
        <v>10900295.97</v>
      </c>
      <c r="G118" s="28" t="n">
        <v>0.0114</v>
      </c>
      <c r="H118" s="19" t="n">
        <v>1.013</v>
      </c>
      <c r="I118" s="29" t="n">
        <v>0.1429</v>
      </c>
      <c r="J118" s="2" t="inlineStr">
        <is>
          <t>EXP0015</t>
        </is>
      </c>
      <c r="K118" s="2" t="n">
        <v>4</v>
      </c>
      <c r="L118" s="2" t="inlineStr">
        <is>
          <t>BRK018</t>
        </is>
      </c>
      <c r="M118" s="2" t="inlineStr">
        <is>
          <t>PORT3</t>
        </is>
      </c>
      <c r="N118" s="2" t="n">
        <v>0</v>
      </c>
      <c r="O118" s="2" t="n">
        <v>0</v>
      </c>
      <c r="P118" s="2" t="n">
        <v>0</v>
      </c>
      <c r="Q118" s="2" t="n">
        <v>1</v>
      </c>
      <c r="R118" s="30">
        <f>IF(AND($C$5&lt;&gt;"",$A118=$C$5),1,"")</f>
        <v/>
      </c>
      <c r="S118" s="21">
        <f>IF(AND($C$5&lt;&gt;"",$A118=$C$5),SUMIFS($G$8:$G$715,$A$8:$A$715,$C$5,$B$8:$B$715,"&lt;="&amp;$B118),"")</f>
        <v/>
      </c>
      <c r="T118" s="24" t="n"/>
      <c r="U118" s="24" t="n"/>
    </row>
    <row r="119">
      <c r="A119" s="2" t="inlineStr">
        <is>
          <t>CHN-61</t>
        </is>
      </c>
      <c r="B119" s="2" t="n">
        <v>10</v>
      </c>
      <c r="C119" s="2" t="inlineStr">
        <is>
          <t>IMP00528</t>
        </is>
      </c>
      <c r="D119" s="2" t="inlineStr">
        <is>
          <t>Great Vellmoor Electronics International Ltd</t>
        </is>
      </c>
      <c r="E119" s="2" t="n">
        <v>12</v>
      </c>
      <c r="F119" s="27" t="n">
        <v>10057438.58</v>
      </c>
      <c r="G119" s="28" t="n">
        <v>0.0105</v>
      </c>
      <c r="H119" s="19" t="n">
        <v>0.915</v>
      </c>
      <c r="I119" s="29" t="n">
        <v>0.0833</v>
      </c>
      <c r="J119" s="2" t="inlineStr">
        <is>
          <t>EXP0593</t>
        </is>
      </c>
      <c r="K119" s="2" t="n">
        <v>4</v>
      </c>
      <c r="L119" s="2" t="inlineStr">
        <is>
          <t>BRK007</t>
        </is>
      </c>
      <c r="M119" s="2" t="inlineStr">
        <is>
          <t>LAND7</t>
        </is>
      </c>
      <c r="N119" s="2" t="n">
        <v>0</v>
      </c>
      <c r="O119" s="2" t="n">
        <v>0</v>
      </c>
      <c r="P119" s="2" t="n">
        <v>0</v>
      </c>
      <c r="Q119" s="2" t="n">
        <v>0</v>
      </c>
      <c r="R119" s="30">
        <f>IF(AND($C$5&lt;&gt;"",$A119=$C$5),1,"")</f>
        <v/>
      </c>
      <c r="S119" s="21">
        <f>IF(AND($C$5&lt;&gt;"",$A119=$C$5),SUMIFS($G$8:$G$715,$A$8:$A$715,$C$5,$B$8:$B$715,"&lt;="&amp;$B119),"")</f>
        <v/>
      </c>
      <c r="T119" s="24" t="n"/>
      <c r="U119" s="24" t="n"/>
    </row>
    <row r="120">
      <c r="A120" s="2" t="inlineStr">
        <is>
          <t>CHN-61</t>
        </is>
      </c>
      <c r="B120" s="2" t="n">
        <v>11</v>
      </c>
      <c r="C120" s="2" t="inlineStr">
        <is>
          <t>IMP00298</t>
        </is>
      </c>
      <c r="D120" s="2" t="inlineStr">
        <is>
          <t>Green Valley Fruits International Ltd</t>
        </is>
      </c>
      <c r="E120" s="2" t="n">
        <v>9</v>
      </c>
      <c r="F120" s="27" t="n">
        <v>6868213.53</v>
      </c>
      <c r="G120" s="28" t="n">
        <v>0.0072</v>
      </c>
      <c r="H120" s="19" t="n">
        <v>1.021</v>
      </c>
      <c r="I120" s="29" t="n">
        <v>0</v>
      </c>
      <c r="J120" s="2" t="inlineStr">
        <is>
          <t>EXP0294</t>
        </is>
      </c>
      <c r="K120" s="2" t="n">
        <v>6</v>
      </c>
      <c r="L120" s="2" t="inlineStr">
        <is>
          <t>BRK008</t>
        </is>
      </c>
      <c r="M120" s="2" t="inlineStr">
        <is>
          <t>PORT1</t>
        </is>
      </c>
      <c r="N120" s="2" t="n">
        <v>0</v>
      </c>
      <c r="O120" s="2" t="n">
        <v>0</v>
      </c>
      <c r="P120" s="2" t="n">
        <v>0</v>
      </c>
      <c r="Q120" s="2" t="n">
        <v>1</v>
      </c>
      <c r="R120" s="30">
        <f>IF(AND($C$5&lt;&gt;"",$A120=$C$5),1,"")</f>
        <v/>
      </c>
      <c r="S120" s="21">
        <f>IF(AND($C$5&lt;&gt;"",$A120=$C$5),SUMIFS($G$8:$G$715,$A$8:$A$715,$C$5,$B$8:$B$715,"&lt;="&amp;$B120),"")</f>
        <v/>
      </c>
      <c r="T120" s="24" t="n"/>
      <c r="U120" s="24" t="n"/>
    </row>
    <row r="121">
      <c r="A121" s="2" t="inlineStr">
        <is>
          <t>CHN-61</t>
        </is>
      </c>
      <c r="B121" s="2" t="n">
        <v>12</v>
      </c>
      <c r="C121" s="2" t="inlineStr">
        <is>
          <t>IMP01012</t>
        </is>
      </c>
      <c r="D121" s="2" t="inlineStr">
        <is>
          <t>Delta Imports Holdings Ltd</t>
        </is>
      </c>
      <c r="E121" s="2" t="n">
        <v>7</v>
      </c>
      <c r="F121" s="27" t="n">
        <v>6297796.19</v>
      </c>
      <c r="G121" s="28" t="n">
        <v>0.0066</v>
      </c>
      <c r="H121" s="19" t="n">
        <v>0.862</v>
      </c>
      <c r="I121" s="29" t="n">
        <v>0.2857</v>
      </c>
      <c r="J121" s="2" t="inlineStr">
        <is>
          <t>EXP0464</t>
        </is>
      </c>
      <c r="K121" s="2" t="n">
        <v>2</v>
      </c>
      <c r="L121" s="2" t="inlineStr">
        <is>
          <t>BRK078</t>
        </is>
      </c>
      <c r="M121" s="2" t="inlineStr">
        <is>
          <t>PORT2</t>
        </is>
      </c>
      <c r="N121" s="2" t="n">
        <v>0</v>
      </c>
      <c r="O121" s="2" t="n">
        <v>1</v>
      </c>
      <c r="P121" s="2" t="n">
        <v>0</v>
      </c>
      <c r="Q121" s="2" t="n">
        <v>0</v>
      </c>
      <c r="R121" s="30">
        <f>IF(AND($C$5&lt;&gt;"",$A121=$C$5),1,"")</f>
        <v/>
      </c>
      <c r="S121" s="21">
        <f>IF(AND($C$5&lt;&gt;"",$A121=$C$5),SUMIFS($G$8:$G$715,$A$8:$A$715,$C$5,$B$8:$B$715,"&lt;="&amp;$B121),"")</f>
        <v/>
      </c>
      <c r="T121" s="24" t="n"/>
      <c r="U121" s="24" t="n"/>
    </row>
    <row r="122">
      <c r="A122" s="2" t="inlineStr">
        <is>
          <t>CHN-61</t>
        </is>
      </c>
      <c r="B122" s="2" t="n">
        <v>13</v>
      </c>
      <c r="C122" s="2" t="inlineStr">
        <is>
          <t>IMP00899</t>
        </is>
      </c>
      <c r="D122" s="2" t="inlineStr">
        <is>
          <t>Sunrise Imports Group Ltd</t>
        </is>
      </c>
      <c r="E122" s="2" t="n">
        <v>3</v>
      </c>
      <c r="F122" s="27" t="n">
        <v>5934358.67</v>
      </c>
      <c r="G122" s="28" t="n">
        <v>0.0062</v>
      </c>
      <c r="H122" s="19" t="n">
        <v>1.026</v>
      </c>
      <c r="I122" s="29" t="n">
        <v>0</v>
      </c>
      <c r="J122" s="2" t="inlineStr">
        <is>
          <t>EXP0294</t>
        </is>
      </c>
      <c r="K122" s="2" t="n">
        <v>6</v>
      </c>
      <c r="L122" s="2" t="inlineStr">
        <is>
          <t>BRK015</t>
        </is>
      </c>
      <c r="M122" s="2" t="inlineStr">
        <is>
          <t>PORT1</t>
        </is>
      </c>
      <c r="N122" s="2" t="n">
        <v>0</v>
      </c>
      <c r="O122" s="2" t="n">
        <v>0</v>
      </c>
      <c r="P122" s="2" t="n">
        <v>0</v>
      </c>
      <c r="Q122" s="2" t="n">
        <v>0</v>
      </c>
      <c r="R122" s="30">
        <f>IF(AND($C$5&lt;&gt;"",$A122=$C$5),1,"")</f>
        <v/>
      </c>
      <c r="S122" s="21">
        <f>IF(AND($C$5&lt;&gt;"",$A122=$C$5),SUMIFS($G$8:$G$715,$A$8:$A$715,$C$5,$B$8:$B$715,"&lt;="&amp;$B122),"")</f>
        <v/>
      </c>
      <c r="T122" s="24" t="n"/>
      <c r="U122" s="24" t="n"/>
    </row>
    <row r="123">
      <c r="A123" s="2" t="inlineStr">
        <is>
          <t>CHN-61</t>
        </is>
      </c>
      <c r="B123" s="2" t="n">
        <v>14</v>
      </c>
      <c r="C123" s="2" t="inlineStr">
        <is>
          <t>IMP01295</t>
        </is>
      </c>
      <c r="D123" s="2" t="inlineStr">
        <is>
          <t>Prime Agro Ltd</t>
        </is>
      </c>
      <c r="E123" s="2" t="n">
        <v>4</v>
      </c>
      <c r="F123" s="27" t="n">
        <v>5720538.89</v>
      </c>
      <c r="G123" s="28" t="n">
        <v>0.006</v>
      </c>
      <c r="H123" s="19" t="n">
        <v>1.011</v>
      </c>
      <c r="I123" s="29" t="n">
        <v>0</v>
      </c>
      <c r="J123" s="2" t="inlineStr">
        <is>
          <t>EXP0549</t>
        </is>
      </c>
      <c r="K123" s="2" t="n">
        <v>6</v>
      </c>
      <c r="L123" s="2" t="inlineStr">
        <is>
          <t>BRK072</t>
        </is>
      </c>
      <c r="M123" s="2" t="inlineStr">
        <is>
          <t>AIR1</t>
        </is>
      </c>
      <c r="N123" s="2" t="n">
        <v>0</v>
      </c>
      <c r="O123" s="2" t="n">
        <v>0</v>
      </c>
      <c r="P123" s="2" t="n">
        <v>0</v>
      </c>
      <c r="Q123" s="2" t="n">
        <v>0</v>
      </c>
      <c r="R123" s="30">
        <f>IF(AND($C$5&lt;&gt;"",$A123=$C$5),1,"")</f>
        <v/>
      </c>
      <c r="S123" s="21">
        <f>IF(AND($C$5&lt;&gt;"",$A123=$C$5),SUMIFS($G$8:$G$715,$A$8:$A$715,$C$5,$B$8:$B$715,"&lt;="&amp;$B123),"")</f>
        <v/>
      </c>
      <c r="T123" s="24" t="n"/>
      <c r="U123" s="24" t="n"/>
    </row>
    <row r="124">
      <c r="A124" s="2" t="inlineStr">
        <is>
          <t>CHN-61</t>
        </is>
      </c>
      <c r="B124" s="2" t="n">
        <v>15</v>
      </c>
      <c r="C124" s="2" t="inlineStr">
        <is>
          <t>IMP01448</t>
        </is>
      </c>
      <c r="D124" s="2" t="inlineStr">
        <is>
          <t>Central Logistics Limited</t>
        </is>
      </c>
      <c r="E124" s="2" t="n">
        <v>9</v>
      </c>
      <c r="F124" s="27" t="n">
        <v>5305012.03</v>
      </c>
      <c r="G124" s="28" t="n">
        <v>0.0055</v>
      </c>
      <c r="H124" s="19" t="n">
        <v>0.92</v>
      </c>
      <c r="I124" s="29" t="n">
        <v>0.2222</v>
      </c>
      <c r="J124" s="2" t="inlineStr">
        <is>
          <t>EXP0561</t>
        </is>
      </c>
      <c r="K124" s="2" t="n">
        <v>2</v>
      </c>
      <c r="L124" s="2" t="inlineStr">
        <is>
          <t>BRK058</t>
        </is>
      </c>
      <c r="M124" s="2" t="inlineStr">
        <is>
          <t>LAND3</t>
        </is>
      </c>
      <c r="N124" s="2" t="n">
        <v>0</v>
      </c>
      <c r="O124" s="2" t="n">
        <v>0</v>
      </c>
      <c r="P124" s="2" t="n">
        <v>0</v>
      </c>
      <c r="Q124" s="2" t="n">
        <v>0</v>
      </c>
      <c r="R124" s="30">
        <f>IF(AND($C$5&lt;&gt;"",$A124=$C$5),1,"")</f>
        <v/>
      </c>
      <c r="S124" s="21">
        <f>IF(AND($C$5&lt;&gt;"",$A124=$C$5),SUMIFS($G$8:$G$715,$A$8:$A$715,$C$5,$B$8:$B$715,"&lt;="&amp;$B124),"")</f>
        <v/>
      </c>
      <c r="T124" s="24" t="n"/>
      <c r="U124" s="24" t="n"/>
    </row>
    <row r="125">
      <c r="A125" s="2" t="inlineStr">
        <is>
          <t>CHN-61</t>
        </is>
      </c>
      <c r="B125" s="2" t="n">
        <v>16</v>
      </c>
      <c r="C125" s="2" t="inlineStr">
        <is>
          <t>IMP00501</t>
        </is>
      </c>
      <c r="D125" s="2" t="inlineStr">
        <is>
          <t>Arden Electronics Co., Ltd</t>
        </is>
      </c>
      <c r="E125" s="2" t="n">
        <v>4</v>
      </c>
      <c r="F125" s="27" t="n">
        <v>4327481.05</v>
      </c>
      <c r="G125" s="28" t="n">
        <v>0.0045</v>
      </c>
      <c r="H125" s="19" t="n">
        <v>0.9565</v>
      </c>
      <c r="I125" s="29" t="n">
        <v>0.25</v>
      </c>
      <c r="J125" s="2" t="inlineStr">
        <is>
          <t>EXP0418</t>
        </is>
      </c>
      <c r="K125" s="2" t="n">
        <v>1</v>
      </c>
      <c r="L125" s="2" t="inlineStr">
        <is>
          <t>BRK016</t>
        </is>
      </c>
      <c r="M125" s="2" t="inlineStr">
        <is>
          <t>PORT2</t>
        </is>
      </c>
      <c r="N125" s="2" t="n">
        <v>0</v>
      </c>
      <c r="O125" s="2" t="n">
        <v>0</v>
      </c>
      <c r="P125" s="2" t="n">
        <v>0</v>
      </c>
      <c r="Q125" s="2" t="n">
        <v>0</v>
      </c>
      <c r="R125" s="30">
        <f>IF(AND($C$5&lt;&gt;"",$A125=$C$5),1,"")</f>
        <v/>
      </c>
      <c r="S125" s="21">
        <f>IF(AND($C$5&lt;&gt;"",$A125=$C$5),SUMIFS($G$8:$G$715,$A$8:$A$715,$C$5,$B$8:$B$715,"&lt;="&amp;$B125),"")</f>
        <v/>
      </c>
      <c r="T125" s="24" t="n"/>
      <c r="U125" s="24" t="n"/>
    </row>
    <row r="126">
      <c r="A126" s="2" t="inlineStr">
        <is>
          <t>CHN-61</t>
        </is>
      </c>
      <c r="B126" s="2" t="n">
        <v>17</v>
      </c>
      <c r="C126" s="2" t="inlineStr">
        <is>
          <t>IMP00952</t>
        </is>
      </c>
      <c r="D126" s="2" t="inlineStr">
        <is>
          <t>Harmony Logistics &amp; Sons</t>
        </is>
      </c>
      <c r="E126" s="2" t="n">
        <v>4</v>
      </c>
      <c r="F126" s="27" t="n">
        <v>3839844.44</v>
      </c>
      <c r="G126" s="28" t="n">
        <v>0.004</v>
      </c>
      <c r="H126" s="19" t="n">
        <v>0.928</v>
      </c>
      <c r="I126" s="29" t="n">
        <v>0.25</v>
      </c>
      <c r="J126" s="2" t="inlineStr">
        <is>
          <t>EXP0300</t>
        </is>
      </c>
      <c r="K126" s="2" t="n">
        <v>2</v>
      </c>
      <c r="L126" s="2" t="inlineStr">
        <is>
          <t>BRK059</t>
        </is>
      </c>
      <c r="M126" s="2" t="inlineStr">
        <is>
          <t>LAND5</t>
        </is>
      </c>
      <c r="N126" s="2" t="n">
        <v>0</v>
      </c>
      <c r="O126" s="2" t="n">
        <v>0</v>
      </c>
      <c r="P126" s="2" t="n">
        <v>0</v>
      </c>
      <c r="Q126" s="2" t="n">
        <v>0</v>
      </c>
      <c r="R126" s="30">
        <f>IF(AND($C$5&lt;&gt;"",$A126=$C$5),1,"")</f>
        <v/>
      </c>
      <c r="S126" s="21">
        <f>IF(AND($C$5&lt;&gt;"",$A126=$C$5),SUMIFS($G$8:$G$715,$A$8:$A$715,$C$5,$B$8:$B$715,"&lt;="&amp;$B126),"")</f>
        <v/>
      </c>
      <c r="T126" s="24" t="n"/>
      <c r="U126" s="24" t="n"/>
    </row>
    <row r="127">
      <c r="A127" s="2" t="inlineStr">
        <is>
          <t>CHN-61</t>
        </is>
      </c>
      <c r="B127" s="2" t="n">
        <v>18</v>
      </c>
      <c r="C127" s="2" t="inlineStr">
        <is>
          <t>IMP00160</t>
        </is>
      </c>
      <c r="D127" s="2" t="inlineStr">
        <is>
          <t>Jade Pack International Ltd</t>
        </is>
      </c>
      <c r="E127" s="2" t="n">
        <v>6</v>
      </c>
      <c r="F127" s="27" t="n">
        <v>3350497.74</v>
      </c>
      <c r="G127" s="28" t="n">
        <v>0.0035</v>
      </c>
      <c r="H127" s="19" t="n">
        <v>0.856</v>
      </c>
      <c r="I127" s="29" t="n">
        <v>0.1667</v>
      </c>
      <c r="J127" s="2" t="inlineStr">
        <is>
          <t>EXP0178</t>
        </is>
      </c>
      <c r="K127" s="2" t="n">
        <v>3</v>
      </c>
      <c r="L127" s="2" t="inlineStr">
        <is>
          <t>BRK008</t>
        </is>
      </c>
      <c r="M127" s="2" t="inlineStr">
        <is>
          <t>PORT2</t>
        </is>
      </c>
      <c r="N127" s="2" t="n">
        <v>0</v>
      </c>
      <c r="O127" s="2" t="n">
        <v>1</v>
      </c>
      <c r="P127" s="2" t="n">
        <v>0</v>
      </c>
      <c r="Q127" s="2" t="n">
        <v>0</v>
      </c>
      <c r="R127" s="30">
        <f>IF(AND($C$5&lt;&gt;"",$A127=$C$5),1,"")</f>
        <v/>
      </c>
      <c r="S127" s="21">
        <f>IF(AND($C$5&lt;&gt;"",$A127=$C$5),SUMIFS($G$8:$G$715,$A$8:$A$715,$C$5,$B$8:$B$715,"&lt;="&amp;$B127),"")</f>
        <v/>
      </c>
      <c r="T127" s="24" t="n"/>
      <c r="U127" s="24" t="n"/>
    </row>
    <row r="128">
      <c r="A128" s="2" t="inlineStr">
        <is>
          <t>CHN-61</t>
        </is>
      </c>
      <c r="B128" s="2" t="n">
        <v>19</v>
      </c>
      <c r="C128" s="2" t="inlineStr">
        <is>
          <t>IMP00200</t>
        </is>
      </c>
      <c r="D128" s="2" t="inlineStr">
        <is>
          <t>Arden Commercial Co.</t>
        </is>
      </c>
      <c r="E128" s="2" t="n">
        <v>2</v>
      </c>
      <c r="F128" s="27" t="n">
        <v>3323427.04</v>
      </c>
      <c r="G128" s="28" t="n">
        <v>0.0035</v>
      </c>
      <c r="H128" s="19" t="n">
        <v>1.0475</v>
      </c>
      <c r="I128" s="29" t="n">
        <v>0</v>
      </c>
      <c r="J128" s="2" t="inlineStr">
        <is>
          <t>EXP0398</t>
        </is>
      </c>
      <c r="K128" s="2" t="n">
        <v>3</v>
      </c>
      <c r="L128" s="2" t="inlineStr">
        <is>
          <t>BRK044</t>
        </is>
      </c>
      <c r="M128" s="2" t="inlineStr">
        <is>
          <t>PORT1</t>
        </is>
      </c>
      <c r="N128" s="2" t="n">
        <v>0</v>
      </c>
      <c r="O128" s="2" t="n">
        <v>0</v>
      </c>
      <c r="P128" s="2" t="n">
        <v>0</v>
      </c>
      <c r="Q128" s="2" t="n">
        <v>0</v>
      </c>
      <c r="R128" s="30">
        <f>IF(AND($C$5&lt;&gt;"",$A128=$C$5),1,"")</f>
        <v/>
      </c>
      <c r="S128" s="21">
        <f>IF(AND($C$5&lt;&gt;"",$A128=$C$5),SUMIFS($G$8:$G$715,$A$8:$A$715,$C$5,$B$8:$B$715,"&lt;="&amp;$B128),"")</f>
        <v/>
      </c>
      <c r="T128" s="24" t="n"/>
      <c r="U128" s="24" t="n"/>
    </row>
    <row r="129">
      <c r="A129" s="2" t="inlineStr">
        <is>
          <t>CHN-61</t>
        </is>
      </c>
      <c r="B129" s="2" t="n">
        <v>20</v>
      </c>
      <c r="C129" s="2" t="inlineStr">
        <is>
          <t>IMP00750</t>
        </is>
      </c>
      <c r="D129" s="2" t="inlineStr">
        <is>
          <t>Crown Logistics Enterprises</t>
        </is>
      </c>
      <c r="E129" s="2" t="n">
        <v>3</v>
      </c>
      <c r="F129" s="27" t="n">
        <v>1974919.31</v>
      </c>
      <c r="G129" s="28" t="n">
        <v>0.0021</v>
      </c>
      <c r="H129" s="19" t="n">
        <v>1.025</v>
      </c>
      <c r="I129" s="29" t="n">
        <v>0</v>
      </c>
      <c r="J129" s="2" t="inlineStr">
        <is>
          <t>EXP0169</t>
        </is>
      </c>
      <c r="K129" s="2" t="n">
        <v>2</v>
      </c>
      <c r="L129" s="2" t="inlineStr">
        <is>
          <t>BRK070</t>
        </is>
      </c>
      <c r="M129" s="2" t="inlineStr">
        <is>
          <t>AIR2</t>
        </is>
      </c>
      <c r="N129" s="2" t="n">
        <v>0</v>
      </c>
      <c r="O129" s="2" t="n">
        <v>0</v>
      </c>
      <c r="P129" s="2" t="n">
        <v>0</v>
      </c>
      <c r="Q129" s="2" t="n">
        <v>0</v>
      </c>
      <c r="R129" s="30">
        <f>IF(AND($C$5&lt;&gt;"",$A129=$C$5),1,"")</f>
        <v/>
      </c>
      <c r="S129" s="21">
        <f>IF(AND($C$5&lt;&gt;"",$A129=$C$5),SUMIFS($G$8:$G$715,$A$8:$A$715,$C$5,$B$8:$B$715,"&lt;="&amp;$B129),"")</f>
        <v/>
      </c>
      <c r="T129" s="24" t="n"/>
      <c r="U129" s="24" t="n"/>
    </row>
    <row r="130">
      <c r="A130" s="2" t="inlineStr">
        <is>
          <t>CHN-61</t>
        </is>
      </c>
      <c r="B130" s="2" t="n">
        <v>21</v>
      </c>
      <c r="C130" s="2" t="inlineStr">
        <is>
          <t>IMP00410</t>
        </is>
      </c>
      <c r="D130" s="2" t="inlineStr">
        <is>
          <t>Crown Supply Holdings Ltd</t>
        </is>
      </c>
      <c r="E130" s="2" t="n">
        <v>1</v>
      </c>
      <c r="F130" s="27" t="n">
        <v>1863319.99</v>
      </c>
      <c r="G130" s="28" t="n">
        <v>0.0019</v>
      </c>
      <c r="H130" s="19" t="n">
        <v>1.023</v>
      </c>
      <c r="I130" s="29" t="n">
        <v>0</v>
      </c>
      <c r="J130" s="2" t="inlineStr">
        <is>
          <t>EXP0082</t>
        </is>
      </c>
      <c r="K130" s="2" t="n">
        <v>2</v>
      </c>
      <c r="L130" s="2" t="inlineStr">
        <is>
          <t>BRK080</t>
        </is>
      </c>
      <c r="M130" s="2" t="inlineStr">
        <is>
          <t>LAND4</t>
        </is>
      </c>
      <c r="N130" s="2" t="n">
        <v>0</v>
      </c>
      <c r="O130" s="2" t="n">
        <v>0</v>
      </c>
      <c r="P130" s="2" t="n">
        <v>0</v>
      </c>
      <c r="Q130" s="2" t="n">
        <v>0</v>
      </c>
      <c r="R130" s="30">
        <f>IF(AND($C$5&lt;&gt;"",$A130=$C$5),1,"")</f>
        <v/>
      </c>
      <c r="S130" s="21">
        <f>IF(AND($C$5&lt;&gt;"",$A130=$C$5),SUMIFS($G$8:$G$715,$A$8:$A$715,$C$5,$B$8:$B$715,"&lt;="&amp;$B130),"")</f>
        <v/>
      </c>
      <c r="T130" s="24" t="n"/>
      <c r="U130" s="24" t="n"/>
    </row>
    <row r="131">
      <c r="A131" s="2" t="inlineStr">
        <is>
          <t>CHN-61</t>
        </is>
      </c>
      <c r="B131" s="2" t="n">
        <v>22</v>
      </c>
      <c r="C131" s="2" t="inlineStr">
        <is>
          <t>IMP01323</t>
        </is>
      </c>
      <c r="D131" s="2" t="inlineStr">
        <is>
          <t>Harmony Medical Holdings Ltd</t>
        </is>
      </c>
      <c r="E131" s="2" t="n">
        <v>4</v>
      </c>
      <c r="F131" s="27" t="n">
        <v>1852554.86</v>
      </c>
      <c r="G131" s="28" t="n">
        <v>0.0019</v>
      </c>
      <c r="H131" s="19" t="n">
        <v>0.945</v>
      </c>
      <c r="I131" s="29" t="n">
        <v>0</v>
      </c>
      <c r="J131" s="2" t="inlineStr">
        <is>
          <t>EXP0238</t>
        </is>
      </c>
      <c r="K131" s="2" t="n">
        <v>2</v>
      </c>
      <c r="L131" s="2" t="inlineStr">
        <is>
          <t>BRK062</t>
        </is>
      </c>
      <c r="M131" s="2" t="inlineStr">
        <is>
          <t>PORT1</t>
        </is>
      </c>
      <c r="N131" s="2" t="n">
        <v>0</v>
      </c>
      <c r="O131" s="2" t="n">
        <v>0</v>
      </c>
      <c r="P131" s="2" t="n">
        <v>0</v>
      </c>
      <c r="Q131" s="2" t="n">
        <v>0</v>
      </c>
      <c r="R131" s="30">
        <f>IF(AND($C$5&lt;&gt;"",$A131=$C$5),1,"")</f>
        <v/>
      </c>
      <c r="S131" s="21">
        <f>IF(AND($C$5&lt;&gt;"",$A131=$C$5),SUMIFS($G$8:$G$715,$A$8:$A$715,$C$5,$B$8:$B$715,"&lt;="&amp;$B131),"")</f>
        <v/>
      </c>
      <c r="T131" s="24" t="n"/>
      <c r="U131" s="24" t="n"/>
    </row>
    <row r="132">
      <c r="A132" s="2" t="inlineStr">
        <is>
          <t>CHN-61</t>
        </is>
      </c>
      <c r="B132" s="2" t="n">
        <v>23</v>
      </c>
      <c r="C132" s="2" t="inlineStr">
        <is>
          <t>IMP00557</t>
        </is>
      </c>
      <c r="D132" s="2" t="inlineStr">
        <is>
          <t>Northern Electronics Co., Ltd</t>
        </is>
      </c>
      <c r="E132" s="2" t="n">
        <v>3</v>
      </c>
      <c r="F132" s="27" t="n">
        <v>1621101.12</v>
      </c>
      <c r="G132" s="28" t="n">
        <v>0.0017</v>
      </c>
      <c r="H132" s="19" t="n">
        <v>1.103</v>
      </c>
      <c r="I132" s="29" t="n">
        <v>0</v>
      </c>
      <c r="J132" s="2" t="inlineStr">
        <is>
          <t>EXP0549</t>
        </is>
      </c>
      <c r="K132" s="2" t="n">
        <v>6</v>
      </c>
      <c r="L132" s="2" t="inlineStr">
        <is>
          <t>BRK049</t>
        </is>
      </c>
      <c r="M132" s="2" t="inlineStr">
        <is>
          <t>PORT2</t>
        </is>
      </c>
      <c r="N132" s="2" t="n">
        <v>0</v>
      </c>
      <c r="O132" s="2" t="n">
        <v>0</v>
      </c>
      <c r="P132" s="2" t="n">
        <v>0</v>
      </c>
      <c r="Q132" s="2" t="n">
        <v>0</v>
      </c>
      <c r="R132" s="30">
        <f>IF(AND($C$5&lt;&gt;"",$A132=$C$5),1,"")</f>
        <v/>
      </c>
      <c r="S132" s="21">
        <f>IF(AND($C$5&lt;&gt;"",$A132=$C$5),SUMIFS($G$8:$G$715,$A$8:$A$715,$C$5,$B$8:$B$715,"&lt;="&amp;$B132),"")</f>
        <v/>
      </c>
      <c r="T132" s="24" t="n"/>
      <c r="U132" s="24" t="n"/>
    </row>
    <row r="133">
      <c r="A133" s="2" t="inlineStr">
        <is>
          <t>CHN-61</t>
        </is>
      </c>
      <c r="B133" s="2" t="n">
        <v>24</v>
      </c>
      <c r="C133" s="2" t="inlineStr">
        <is>
          <t>IMP00563</t>
        </is>
      </c>
      <c r="D133" s="2" t="inlineStr">
        <is>
          <t>Jade Agro Co.</t>
        </is>
      </c>
      <c r="E133" s="2" t="n">
        <v>1</v>
      </c>
      <c r="F133" s="27" t="n">
        <v>1133450.17</v>
      </c>
      <c r="G133" s="28" t="n">
        <v>0.0012</v>
      </c>
      <c r="H133" s="19" t="n">
        <v>1.093</v>
      </c>
      <c r="I133" s="29" t="n">
        <v>0</v>
      </c>
      <c r="J133" s="2" t="inlineStr">
        <is>
          <t>EXP0421</t>
        </is>
      </c>
      <c r="K133" s="2" t="n">
        <v>3</v>
      </c>
      <c r="L133" s="2" t="inlineStr">
        <is>
          <t>BRK079</t>
        </is>
      </c>
      <c r="M133" s="2" t="inlineStr">
        <is>
          <t>AIR1</t>
        </is>
      </c>
      <c r="N133" s="2" t="n">
        <v>0</v>
      </c>
      <c r="O133" s="2" t="n">
        <v>0</v>
      </c>
      <c r="P133" s="2" t="n">
        <v>0</v>
      </c>
      <c r="Q133" s="2" t="n">
        <v>0</v>
      </c>
      <c r="R133" s="30">
        <f>IF(AND($C$5&lt;&gt;"",$A133=$C$5),1,"")</f>
        <v/>
      </c>
      <c r="S133" s="21">
        <f>IF(AND($C$5&lt;&gt;"",$A133=$C$5),SUMIFS($G$8:$G$715,$A$8:$A$715,$C$5,$B$8:$B$715,"&lt;="&amp;$B133),"")</f>
        <v/>
      </c>
      <c r="T133" s="24" t="n"/>
      <c r="U133" s="24" t="n"/>
    </row>
    <row r="134">
      <c r="A134" s="2" t="inlineStr">
        <is>
          <t>CHN-61</t>
        </is>
      </c>
      <c r="B134" s="2" t="n">
        <v>25</v>
      </c>
      <c r="C134" s="2" t="inlineStr">
        <is>
          <t>IMP01304</t>
        </is>
      </c>
      <c r="D134" s="2" t="inlineStr">
        <is>
          <t>Lotus Pack Co., Ltd</t>
        </is>
      </c>
      <c r="E134" s="2" t="n">
        <v>2</v>
      </c>
      <c r="F134" s="27" t="n">
        <v>989815.22</v>
      </c>
      <c r="G134" s="28" t="n">
        <v>0.001</v>
      </c>
      <c r="H134" s="19" t="n">
        <v>1.0935</v>
      </c>
      <c r="I134" s="29" t="n">
        <v>0</v>
      </c>
      <c r="J134" s="2" t="inlineStr">
        <is>
          <t>EXP0015</t>
        </is>
      </c>
      <c r="K134" s="2" t="n">
        <v>4</v>
      </c>
      <c r="L134" s="2" t="inlineStr">
        <is>
          <t>BRK003</t>
        </is>
      </c>
      <c r="M134" s="2" t="inlineStr">
        <is>
          <t>LAND5</t>
        </is>
      </c>
      <c r="N134" s="2" t="n">
        <v>0</v>
      </c>
      <c r="O134" s="2" t="n">
        <v>0</v>
      </c>
      <c r="P134" s="2" t="n">
        <v>0</v>
      </c>
      <c r="Q134" s="2" t="n">
        <v>0</v>
      </c>
      <c r="R134" s="30">
        <f>IF(AND($C$5&lt;&gt;"",$A134=$C$5),1,"")</f>
        <v/>
      </c>
      <c r="S134" s="21">
        <f>IF(AND($C$5&lt;&gt;"",$A134=$C$5),SUMIFS($G$8:$G$715,$A$8:$A$715,$C$5,$B$8:$B$715,"&lt;="&amp;$B134),"")</f>
        <v/>
      </c>
      <c r="T134" s="24" t="n"/>
      <c r="U134" s="24" t="n"/>
    </row>
    <row r="135">
      <c r="A135" s="2" t="inlineStr">
        <is>
          <t>CHN-61</t>
        </is>
      </c>
      <c r="B135" s="2" t="n">
        <v>26</v>
      </c>
      <c r="C135" s="2" t="inlineStr">
        <is>
          <t>IMP00425</t>
        </is>
      </c>
      <c r="D135" s="2" t="inlineStr">
        <is>
          <t>Blue Ocean Textiles Ltd</t>
        </is>
      </c>
      <c r="E135" s="2" t="n">
        <v>2</v>
      </c>
      <c r="F135" s="27" t="n">
        <v>919725.33</v>
      </c>
      <c r="G135" s="28" t="n">
        <v>0.001</v>
      </c>
      <c r="H135" s="19" t="n">
        <v>1.2105</v>
      </c>
      <c r="I135" s="29" t="n">
        <v>0</v>
      </c>
      <c r="J135" s="2" t="inlineStr">
        <is>
          <t>EXP0549</t>
        </is>
      </c>
      <c r="K135" s="2" t="n">
        <v>6</v>
      </c>
      <c r="L135" s="2" t="inlineStr">
        <is>
          <t>BRK067</t>
        </is>
      </c>
      <c r="M135" s="2" t="inlineStr">
        <is>
          <t>PORT3</t>
        </is>
      </c>
      <c r="N135" s="2" t="n">
        <v>0</v>
      </c>
      <c r="O135" s="2" t="n">
        <v>0</v>
      </c>
      <c r="P135" s="2" t="n">
        <v>0</v>
      </c>
      <c r="Q135" s="2" t="n">
        <v>0</v>
      </c>
      <c r="R135" s="30">
        <f>IF(AND($C$5&lt;&gt;"",$A135=$C$5),1,"")</f>
        <v/>
      </c>
      <c r="S135" s="21">
        <f>IF(AND($C$5&lt;&gt;"",$A135=$C$5),SUMIFS($G$8:$G$715,$A$8:$A$715,$C$5,$B$8:$B$715,"&lt;="&amp;$B135),"")</f>
        <v/>
      </c>
      <c r="T135" s="24" t="n"/>
      <c r="U135" s="24" t="n"/>
    </row>
    <row r="136">
      <c r="A136" s="2" t="inlineStr">
        <is>
          <t>CHN-61</t>
        </is>
      </c>
      <c r="B136" s="2" t="n">
        <v>27</v>
      </c>
      <c r="C136" s="2" t="inlineStr">
        <is>
          <t>IMP00076</t>
        </is>
      </c>
      <c r="D136" s="2" t="inlineStr">
        <is>
          <t>United Imports Enterprises</t>
        </is>
      </c>
      <c r="E136" s="2" t="n">
        <v>1</v>
      </c>
      <c r="F136" s="27" t="n">
        <v>681479.6</v>
      </c>
      <c r="G136" s="28" t="n">
        <v>0.0007</v>
      </c>
      <c r="H136" s="19" t="n">
        <v>0.96</v>
      </c>
      <c r="I136" s="29" t="n">
        <v>0</v>
      </c>
      <c r="J136" s="2" t="inlineStr">
        <is>
          <t>EXP0024</t>
        </is>
      </c>
      <c r="K136" s="2" t="n">
        <v>4</v>
      </c>
      <c r="L136" s="2" t="inlineStr">
        <is>
          <t>BRK021</t>
        </is>
      </c>
      <c r="M136" s="2" t="inlineStr">
        <is>
          <t>LAND5</t>
        </is>
      </c>
      <c r="N136" s="2" t="n">
        <v>0</v>
      </c>
      <c r="O136" s="2" t="n">
        <v>0</v>
      </c>
      <c r="P136" s="2" t="n">
        <v>0</v>
      </c>
      <c r="Q136" s="2" t="n">
        <v>0</v>
      </c>
      <c r="R136" s="30">
        <f>IF(AND($C$5&lt;&gt;"",$A136=$C$5),1,"")</f>
        <v/>
      </c>
      <c r="S136" s="21">
        <f>IF(AND($C$5&lt;&gt;"",$A136=$C$5),SUMIFS($G$8:$G$715,$A$8:$A$715,$C$5,$B$8:$B$715,"&lt;="&amp;$B136),"")</f>
        <v/>
      </c>
      <c r="T136" s="24" t="n"/>
      <c r="U136" s="24" t="n"/>
    </row>
    <row r="137">
      <c r="A137" s="2" t="inlineStr">
        <is>
          <t>CHN-61</t>
        </is>
      </c>
      <c r="B137" s="2" t="n">
        <v>28</v>
      </c>
      <c r="C137" s="2" t="inlineStr">
        <is>
          <t>IMP00757</t>
        </is>
      </c>
      <c r="D137" s="2" t="inlineStr">
        <is>
          <t>Global Enterprises Co.</t>
        </is>
      </c>
      <c r="E137" s="2" t="n">
        <v>1</v>
      </c>
      <c r="F137" s="27" t="n">
        <v>538564.01</v>
      </c>
      <c r="G137" s="28" t="n">
        <v>0.0005999999999999999</v>
      </c>
      <c r="H137" s="19" t="n">
        <v>1.039</v>
      </c>
      <c r="I137" s="29" t="n">
        <v>0</v>
      </c>
      <c r="J137" s="2" t="inlineStr">
        <is>
          <t>EXP0117</t>
        </is>
      </c>
      <c r="K137" s="2" t="n">
        <v>3</v>
      </c>
      <c r="L137" s="2" t="inlineStr">
        <is>
          <t>BRK043</t>
        </is>
      </c>
      <c r="M137" s="2" t="inlineStr">
        <is>
          <t>AIR1</t>
        </is>
      </c>
      <c r="N137" s="2" t="n">
        <v>1</v>
      </c>
      <c r="O137" s="2" t="n">
        <v>0</v>
      </c>
      <c r="P137" s="2" t="n">
        <v>0</v>
      </c>
      <c r="Q137" s="2" t="n">
        <v>0</v>
      </c>
      <c r="R137" s="30">
        <f>IF(AND($C$5&lt;&gt;"",$A137=$C$5),1,"")</f>
        <v/>
      </c>
      <c r="S137" s="21">
        <f>IF(AND($C$5&lt;&gt;"",$A137=$C$5),SUMIFS($G$8:$G$715,$A$8:$A$715,$C$5,$B$8:$B$715,"&lt;="&amp;$B137),"")</f>
        <v/>
      </c>
      <c r="T137" s="24" t="n"/>
      <c r="U137" s="24" t="n"/>
    </row>
    <row r="138">
      <c r="A138" s="2" t="inlineStr">
        <is>
          <t>CHN-61</t>
        </is>
      </c>
      <c r="B138" s="2" t="n">
        <v>29</v>
      </c>
      <c r="C138" s="2" t="inlineStr">
        <is>
          <t>IMP00814</t>
        </is>
      </c>
      <c r="D138" s="2" t="inlineStr">
        <is>
          <t>Carrick Supply &amp; Sons</t>
        </is>
      </c>
      <c r="E138" s="2" t="n">
        <v>1</v>
      </c>
      <c r="F138" s="27" t="n">
        <v>442865.65</v>
      </c>
      <c r="G138" s="28" t="n">
        <v>0.0005</v>
      </c>
      <c r="H138" s="19" t="n">
        <v>1.021</v>
      </c>
      <c r="I138" s="29" t="n">
        <v>0</v>
      </c>
      <c r="J138" s="2" t="inlineStr">
        <is>
          <t>EXP0162</t>
        </is>
      </c>
      <c r="K138" s="2" t="n">
        <v>3</v>
      </c>
      <c r="L138" s="2" t="inlineStr">
        <is>
          <t>BRK002</t>
        </is>
      </c>
      <c r="M138" s="2" t="inlineStr">
        <is>
          <t>AIR1</t>
        </is>
      </c>
      <c r="N138" s="2" t="n">
        <v>0</v>
      </c>
      <c r="O138" s="2" t="n">
        <v>0</v>
      </c>
      <c r="P138" s="2" t="n">
        <v>0</v>
      </c>
      <c r="Q138" s="2" t="n">
        <v>0</v>
      </c>
      <c r="R138" s="30">
        <f>IF(AND($C$5&lt;&gt;"",$A138=$C$5),1,"")</f>
        <v/>
      </c>
      <c r="S138" s="21">
        <f>IF(AND($C$5&lt;&gt;"",$A138=$C$5),SUMIFS($G$8:$G$715,$A$8:$A$715,$C$5,$B$8:$B$715,"&lt;="&amp;$B138),"")</f>
        <v/>
      </c>
      <c r="T138" s="24" t="n"/>
      <c r="U138" s="24" t="n"/>
    </row>
    <row r="139">
      <c r="A139" s="2" t="inlineStr">
        <is>
          <t>CHN-72</t>
        </is>
      </c>
      <c r="B139" s="2" t="n">
        <v>1</v>
      </c>
      <c r="C139" s="2" t="inlineStr">
        <is>
          <t>IMP00663</t>
        </is>
      </c>
      <c r="D139" s="2" t="inlineStr">
        <is>
          <t>Northern Foods &amp; Sons</t>
        </is>
      </c>
      <c r="E139" s="2" t="n">
        <v>145</v>
      </c>
      <c r="F139" s="27" t="n">
        <v>965789525.2</v>
      </c>
      <c r="G139" s="28" t="n">
        <v>0.3651</v>
      </c>
      <c r="H139" s="19" t="n">
        <v>0.985</v>
      </c>
      <c r="I139" s="29" t="n">
        <v>0.0138</v>
      </c>
      <c r="J139" s="2" t="inlineStr">
        <is>
          <t>EXP0585</t>
        </is>
      </c>
      <c r="K139" s="2" t="n">
        <v>2</v>
      </c>
      <c r="L139" s="2" t="inlineStr">
        <is>
          <t>BRK018</t>
        </is>
      </c>
      <c r="M139" s="2" t="inlineStr">
        <is>
          <t>PORT2</t>
        </is>
      </c>
      <c r="N139" s="2" t="n">
        <v>0</v>
      </c>
      <c r="O139" s="2" t="n">
        <v>0</v>
      </c>
      <c r="P139" s="2" t="n">
        <v>0</v>
      </c>
      <c r="Q139" s="2" t="n">
        <v>0</v>
      </c>
      <c r="R139" s="30">
        <f>IF(AND($C$5&lt;&gt;"",$A139=$C$5),1,"")</f>
        <v/>
      </c>
      <c r="S139" s="21">
        <f>IF(AND($C$5&lt;&gt;"",$A139=$C$5),SUMIFS($G$8:$G$715,$A$8:$A$715,$C$5,$B$8:$B$715,"&lt;="&amp;$B139),"")</f>
        <v/>
      </c>
      <c r="T139" s="24" t="n"/>
      <c r="U139" s="24" t="n"/>
    </row>
    <row r="140">
      <c r="A140" s="2" t="inlineStr">
        <is>
          <t>CHN-72</t>
        </is>
      </c>
      <c r="B140" s="2" t="n">
        <v>2</v>
      </c>
      <c r="C140" s="2" t="inlineStr">
        <is>
          <t>IMP01161</t>
        </is>
      </c>
      <c r="D140" s="2" t="inlineStr">
        <is>
          <t>Arden Industries Co.</t>
        </is>
      </c>
      <c r="E140" s="2" t="n">
        <v>80</v>
      </c>
      <c r="F140" s="27" t="n">
        <v>334744566.58</v>
      </c>
      <c r="G140" s="28" t="n">
        <v>0.1265</v>
      </c>
      <c r="H140" s="19" t="n">
        <v>0.912</v>
      </c>
      <c r="I140" s="29" t="n">
        <v>0.0375</v>
      </c>
      <c r="J140" s="2" t="inlineStr">
        <is>
          <t>EXP0418</t>
        </is>
      </c>
      <c r="K140" s="2" t="n">
        <v>3</v>
      </c>
      <c r="L140" s="2" t="inlineStr">
        <is>
          <t>BRK074</t>
        </is>
      </c>
      <c r="M140" s="2" t="inlineStr">
        <is>
          <t>PORT1</t>
        </is>
      </c>
      <c r="N140" s="2" t="n">
        <v>0</v>
      </c>
      <c r="O140" s="2" t="n">
        <v>0</v>
      </c>
      <c r="P140" s="2" t="n">
        <v>0</v>
      </c>
      <c r="Q140" s="2" t="n">
        <v>0</v>
      </c>
      <c r="R140" s="30">
        <f>IF(AND($C$5&lt;&gt;"",$A140=$C$5),1,"")</f>
        <v/>
      </c>
      <c r="S140" s="21">
        <f>IF(AND($C$5&lt;&gt;"",$A140=$C$5),SUMIFS($G$8:$G$715,$A$8:$A$715,$C$5,$B$8:$B$715,"&lt;="&amp;$B140),"")</f>
        <v/>
      </c>
      <c r="T140" s="24" t="n"/>
      <c r="U140" s="24" t="n"/>
    </row>
    <row r="141">
      <c r="A141" s="2" t="inlineStr">
        <is>
          <t>CHN-72</t>
        </is>
      </c>
      <c r="B141" s="2" t="n">
        <v>3</v>
      </c>
      <c r="C141" s="2" t="inlineStr">
        <is>
          <t>IMP01234</t>
        </is>
      </c>
      <c r="D141" s="2" t="inlineStr">
        <is>
          <t>Summit Glow Co., Ltd</t>
        </is>
      </c>
      <c r="E141" s="2" t="n">
        <v>70</v>
      </c>
      <c r="F141" s="27" t="n">
        <v>274392994.62</v>
      </c>
      <c r="G141" s="28" t="n">
        <v>0.1037</v>
      </c>
      <c r="H141" s="19" t="n">
        <v>0.864</v>
      </c>
      <c r="I141" s="29" t="n">
        <v>0.1286</v>
      </c>
      <c r="J141" s="2" t="inlineStr">
        <is>
          <t>EXP0596</t>
        </is>
      </c>
      <c r="K141" s="2" t="n">
        <v>2</v>
      </c>
      <c r="L141" s="2" t="inlineStr">
        <is>
          <t>BRK019</t>
        </is>
      </c>
      <c r="M141" s="2" t="inlineStr">
        <is>
          <t>PORT3</t>
        </is>
      </c>
      <c r="N141" s="2" t="n">
        <v>0</v>
      </c>
      <c r="O141" s="2" t="n">
        <v>1</v>
      </c>
      <c r="P141" s="2" t="n">
        <v>0</v>
      </c>
      <c r="Q141" s="2" t="n">
        <v>0</v>
      </c>
      <c r="R141" s="30">
        <f>IF(AND($C$5&lt;&gt;"",$A141=$C$5),1,"")</f>
        <v/>
      </c>
      <c r="S141" s="21">
        <f>IF(AND($C$5&lt;&gt;"",$A141=$C$5),SUMIFS($G$8:$G$715,$A$8:$A$715,$C$5,$B$8:$B$715,"&lt;="&amp;$B141),"")</f>
        <v/>
      </c>
      <c r="T141" s="24" t="n"/>
      <c r="U141" s="24" t="n"/>
    </row>
    <row r="142">
      <c r="A142" s="2" t="inlineStr">
        <is>
          <t>CHN-72</t>
        </is>
      </c>
      <c r="B142" s="2" t="n">
        <v>4</v>
      </c>
      <c r="C142" s="2" t="inlineStr">
        <is>
          <t>IMP00536</t>
        </is>
      </c>
      <c r="D142" s="2" t="inlineStr">
        <is>
          <t>Sunrise Glow &amp; Sons</t>
        </is>
      </c>
      <c r="E142" s="2" t="n">
        <v>48</v>
      </c>
      <c r="F142" s="27" t="n">
        <v>159358028.28</v>
      </c>
      <c r="G142" s="28" t="n">
        <v>0.0602</v>
      </c>
      <c r="H142" s="19" t="n">
        <v>0.9295</v>
      </c>
      <c r="I142" s="29" t="n">
        <v>0.0625</v>
      </c>
      <c r="J142" s="2" t="inlineStr">
        <is>
          <t>EXP0085</t>
        </is>
      </c>
      <c r="K142" s="2" t="n">
        <v>2</v>
      </c>
      <c r="L142" s="2" t="inlineStr">
        <is>
          <t>BRK018</t>
        </is>
      </c>
      <c r="M142" s="2" t="inlineStr">
        <is>
          <t>PORT1</t>
        </is>
      </c>
      <c r="N142" s="2" t="n">
        <v>0</v>
      </c>
      <c r="O142" s="2" t="n">
        <v>0</v>
      </c>
      <c r="P142" s="2" t="n">
        <v>0</v>
      </c>
      <c r="Q142" s="2" t="n">
        <v>0</v>
      </c>
      <c r="R142" s="30">
        <f>IF(AND($C$5&lt;&gt;"",$A142=$C$5),1,"")</f>
        <v/>
      </c>
      <c r="S142" s="21">
        <f>IF(AND($C$5&lt;&gt;"",$A142=$C$5),SUMIFS($G$8:$G$715,$A$8:$A$715,$C$5,$B$8:$B$715,"&lt;="&amp;$B142),"")</f>
        <v/>
      </c>
      <c r="T142" s="24" t="n"/>
      <c r="U142" s="24" t="n"/>
    </row>
    <row r="143">
      <c r="A143" s="2" t="inlineStr">
        <is>
          <t>CHN-72</t>
        </is>
      </c>
      <c r="B143" s="2" t="n">
        <v>5</v>
      </c>
      <c r="C143" s="2" t="inlineStr">
        <is>
          <t>IMP01248</t>
        </is>
      </c>
      <c r="D143" s="2" t="inlineStr">
        <is>
          <t>Metro Enterprises Enterprises</t>
        </is>
      </c>
      <c r="E143" s="2" t="n">
        <v>45</v>
      </c>
      <c r="F143" s="27" t="n">
        <v>155988049.47</v>
      </c>
      <c r="G143" s="28" t="n">
        <v>0.059</v>
      </c>
      <c r="H143" s="19" t="n">
        <v>0.945</v>
      </c>
      <c r="I143" s="29" t="n">
        <v>0</v>
      </c>
      <c r="J143" s="2" t="inlineStr">
        <is>
          <t>EXP0426</t>
        </is>
      </c>
      <c r="K143" s="2" t="n">
        <v>2</v>
      </c>
      <c r="L143" s="2" t="inlineStr">
        <is>
          <t>BRK010</t>
        </is>
      </c>
      <c r="M143" s="2" t="inlineStr">
        <is>
          <t>PORT1</t>
        </is>
      </c>
      <c r="N143" s="2" t="n">
        <v>0</v>
      </c>
      <c r="O143" s="2" t="n">
        <v>0</v>
      </c>
      <c r="P143" s="2" t="n">
        <v>0</v>
      </c>
      <c r="Q143" s="2" t="n">
        <v>0</v>
      </c>
      <c r="R143" s="30">
        <f>IF(AND($C$5&lt;&gt;"",$A143=$C$5),1,"")</f>
        <v/>
      </c>
      <c r="S143" s="21">
        <f>IF(AND($C$5&lt;&gt;"",$A143=$C$5),SUMIFS($G$8:$G$715,$A$8:$A$715,$C$5,$B$8:$B$715,"&lt;="&amp;$B143),"")</f>
        <v/>
      </c>
      <c r="T143" s="24" t="n"/>
      <c r="U143" s="24" t="n"/>
    </row>
    <row r="144">
      <c r="A144" s="2" t="inlineStr">
        <is>
          <t>CHN-72</t>
        </is>
      </c>
      <c r="B144" s="2" t="n">
        <v>6</v>
      </c>
      <c r="C144" s="2" t="inlineStr">
        <is>
          <t>IMP00987</t>
        </is>
      </c>
      <c r="D144" s="2" t="inlineStr">
        <is>
          <t>Ocean Pack Co.</t>
        </is>
      </c>
      <c r="E144" s="2" t="n">
        <v>32</v>
      </c>
      <c r="F144" s="27" t="n">
        <v>154630376.58</v>
      </c>
      <c r="G144" s="28" t="n">
        <v>0.0585</v>
      </c>
      <c r="H144" s="19" t="n">
        <v>0.893</v>
      </c>
      <c r="I144" s="29" t="n">
        <v>0</v>
      </c>
      <c r="J144" s="2" t="inlineStr">
        <is>
          <t>EXP0038</t>
        </is>
      </c>
      <c r="K144" s="2" t="n">
        <v>1</v>
      </c>
      <c r="L144" s="2" t="inlineStr">
        <is>
          <t>BRK008</t>
        </is>
      </c>
      <c r="M144" s="2" t="inlineStr">
        <is>
          <t>PORT1</t>
        </is>
      </c>
      <c r="N144" s="2" t="n">
        <v>0</v>
      </c>
      <c r="O144" s="2" t="n">
        <v>0</v>
      </c>
      <c r="P144" s="2" t="n">
        <v>0</v>
      </c>
      <c r="Q144" s="2" t="n">
        <v>1</v>
      </c>
      <c r="R144" s="30">
        <f>IF(AND($C$5&lt;&gt;"",$A144=$C$5),1,"")</f>
        <v/>
      </c>
      <c r="S144" s="21">
        <f>IF(AND($C$5&lt;&gt;"",$A144=$C$5),SUMIFS($G$8:$G$715,$A$8:$A$715,$C$5,$B$8:$B$715,"&lt;="&amp;$B144),"")</f>
        <v/>
      </c>
      <c r="T144" s="24" t="n"/>
      <c r="U144" s="24" t="n"/>
    </row>
    <row r="145">
      <c r="A145" s="2" t="inlineStr">
        <is>
          <t>CHN-72</t>
        </is>
      </c>
      <c r="B145" s="2" t="n">
        <v>7</v>
      </c>
      <c r="C145" s="2" t="inlineStr">
        <is>
          <t>IMP00222</t>
        </is>
      </c>
      <c r="D145" s="2" t="inlineStr">
        <is>
          <t>Inverness Fruits Partners Ltd</t>
        </is>
      </c>
      <c r="E145" s="2" t="n">
        <v>18</v>
      </c>
      <c r="F145" s="27" t="n">
        <v>84466732.84</v>
      </c>
      <c r="G145" s="28" t="n">
        <v>0.0319</v>
      </c>
      <c r="H145" s="19" t="n">
        <v>1.0095</v>
      </c>
      <c r="I145" s="29" t="n">
        <v>0</v>
      </c>
      <c r="J145" s="2" t="inlineStr">
        <is>
          <t>EXP0585</t>
        </is>
      </c>
      <c r="K145" s="2" t="n">
        <v>2</v>
      </c>
      <c r="L145" s="2" t="inlineStr">
        <is>
          <t>BRK004</t>
        </is>
      </c>
      <c r="M145" s="2" t="inlineStr">
        <is>
          <t>LAND5</t>
        </is>
      </c>
      <c r="N145" s="2" t="n">
        <v>0</v>
      </c>
      <c r="O145" s="2" t="n">
        <v>0</v>
      </c>
      <c r="P145" s="2" t="n">
        <v>0</v>
      </c>
      <c r="Q145" s="2" t="n">
        <v>0</v>
      </c>
      <c r="R145" s="30">
        <f>IF(AND($C$5&lt;&gt;"",$A145=$C$5),1,"")</f>
        <v/>
      </c>
      <c r="S145" s="21">
        <f>IF(AND($C$5&lt;&gt;"",$A145=$C$5),SUMIFS($G$8:$G$715,$A$8:$A$715,$C$5,$B$8:$B$715,"&lt;="&amp;$B145),"")</f>
        <v/>
      </c>
      <c r="T145" s="24" t="n"/>
      <c r="U145" s="24" t="n"/>
    </row>
    <row r="146">
      <c r="A146" s="2" t="inlineStr">
        <is>
          <t>CHN-72</t>
        </is>
      </c>
      <c r="B146" s="2" t="n">
        <v>8</v>
      </c>
      <c r="C146" s="2" t="inlineStr">
        <is>
          <t>IMP01446</t>
        </is>
      </c>
      <c r="D146" s="2" t="inlineStr">
        <is>
          <t>Prime Commercial Enterprises</t>
        </is>
      </c>
      <c r="E146" s="2" t="n">
        <v>19</v>
      </c>
      <c r="F146" s="27" t="n">
        <v>63341878.62</v>
      </c>
      <c r="G146" s="28" t="n">
        <v>0.0239</v>
      </c>
      <c r="H146" s="19" t="n">
        <v>0.9429999999999999</v>
      </c>
      <c r="I146" s="29" t="n">
        <v>0</v>
      </c>
      <c r="J146" s="2" t="inlineStr">
        <is>
          <t>EXP0483</t>
        </is>
      </c>
      <c r="K146" s="2" t="n">
        <v>3</v>
      </c>
      <c r="L146" s="2" t="inlineStr">
        <is>
          <t>BRK026</t>
        </is>
      </c>
      <c r="M146" s="2" t="inlineStr">
        <is>
          <t>AIR1</t>
        </is>
      </c>
      <c r="N146" s="2" t="n">
        <v>0</v>
      </c>
      <c r="O146" s="2" t="n">
        <v>0</v>
      </c>
      <c r="P146" s="2" t="n">
        <v>0</v>
      </c>
      <c r="Q146" s="2" t="n">
        <v>0</v>
      </c>
      <c r="R146" s="30">
        <f>IF(AND($C$5&lt;&gt;"",$A146=$C$5),1,"")</f>
        <v/>
      </c>
      <c r="S146" s="21">
        <f>IF(AND($C$5&lt;&gt;"",$A146=$C$5),SUMIFS($G$8:$G$715,$A$8:$A$715,$C$5,$B$8:$B$715,"&lt;="&amp;$B146),"")</f>
        <v/>
      </c>
      <c r="T146" s="24" t="n"/>
      <c r="U146" s="24" t="n"/>
    </row>
    <row r="147">
      <c r="A147" s="2" t="inlineStr">
        <is>
          <t>CHN-72</t>
        </is>
      </c>
      <c r="B147" s="2" t="n">
        <v>9</v>
      </c>
      <c r="C147" s="2" t="inlineStr">
        <is>
          <t>IMP00800</t>
        </is>
      </c>
      <c r="D147" s="2" t="inlineStr">
        <is>
          <t>Sunrise Electronics Co., Ltd</t>
        </is>
      </c>
      <c r="E147" s="2" t="n">
        <v>12</v>
      </c>
      <c r="F147" s="27" t="n">
        <v>52509888.96</v>
      </c>
      <c r="G147" s="28" t="n">
        <v>0.0198</v>
      </c>
      <c r="H147" s="19" t="n">
        <v>0.9409999999999999</v>
      </c>
      <c r="I147" s="29" t="n">
        <v>0</v>
      </c>
      <c r="J147" s="2" t="inlineStr">
        <is>
          <t>EXP0333</t>
        </is>
      </c>
      <c r="K147" s="2" t="n">
        <v>1</v>
      </c>
      <c r="L147" s="2" t="inlineStr">
        <is>
          <t>BRK027</t>
        </is>
      </c>
      <c r="M147" s="2" t="inlineStr">
        <is>
          <t>AIR1</t>
        </is>
      </c>
      <c r="N147" s="2" t="n">
        <v>0</v>
      </c>
      <c r="O147" s="2" t="n">
        <v>0</v>
      </c>
      <c r="P147" s="2" t="n">
        <v>0</v>
      </c>
      <c r="Q147" s="2" t="n">
        <v>1</v>
      </c>
      <c r="R147" s="30">
        <f>IF(AND($C$5&lt;&gt;"",$A147=$C$5),1,"")</f>
        <v/>
      </c>
      <c r="S147" s="21">
        <f>IF(AND($C$5&lt;&gt;"",$A147=$C$5),SUMIFS($G$8:$G$715,$A$8:$A$715,$C$5,$B$8:$B$715,"&lt;="&amp;$B147),"")</f>
        <v/>
      </c>
      <c r="T147" s="24" t="n"/>
      <c r="U147" s="24" t="n"/>
    </row>
    <row r="148">
      <c r="A148" s="2" t="inlineStr">
        <is>
          <t>CHN-72</t>
        </is>
      </c>
      <c r="B148" s="2" t="n">
        <v>10</v>
      </c>
      <c r="C148" s="2" t="inlineStr">
        <is>
          <t>IMP00685</t>
        </is>
      </c>
      <c r="D148" s="2" t="inlineStr">
        <is>
          <t>Royal Electronics Holdings Ltd</t>
        </is>
      </c>
      <c r="E148" s="2" t="n">
        <v>8</v>
      </c>
      <c r="F148" s="27" t="n">
        <v>50471595.3</v>
      </c>
      <c r="G148" s="28" t="n">
        <v>0.0191</v>
      </c>
      <c r="H148" s="19" t="n">
        <v>0.91</v>
      </c>
      <c r="I148" s="29" t="n">
        <v>0</v>
      </c>
      <c r="J148" s="2" t="inlineStr">
        <is>
          <t>EXP0361</t>
        </is>
      </c>
      <c r="K148" s="2" t="n">
        <v>1</v>
      </c>
      <c r="L148" s="2" t="inlineStr">
        <is>
          <t>BRK066</t>
        </is>
      </c>
      <c r="M148" s="2" t="inlineStr">
        <is>
          <t>LAND5</t>
        </is>
      </c>
      <c r="N148" s="2" t="n">
        <v>0</v>
      </c>
      <c r="O148" s="2" t="n">
        <v>0</v>
      </c>
      <c r="P148" s="2" t="n">
        <v>0</v>
      </c>
      <c r="Q148" s="2" t="n">
        <v>1</v>
      </c>
      <c r="R148" s="30">
        <f>IF(AND($C$5&lt;&gt;"",$A148=$C$5),1,"")</f>
        <v/>
      </c>
      <c r="S148" s="21">
        <f>IF(AND($C$5&lt;&gt;"",$A148=$C$5),SUMIFS($G$8:$G$715,$A$8:$A$715,$C$5,$B$8:$B$715,"&lt;="&amp;$B148),"")</f>
        <v/>
      </c>
      <c r="T148" s="24" t="n"/>
      <c r="U148" s="24" t="n"/>
    </row>
    <row r="149">
      <c r="A149" s="2" t="inlineStr">
        <is>
          <t>CHN-72</t>
        </is>
      </c>
      <c r="B149" s="2" t="n">
        <v>11</v>
      </c>
      <c r="C149" s="2" t="inlineStr">
        <is>
          <t>IMP01333</t>
        </is>
      </c>
      <c r="D149" s="2" t="inlineStr">
        <is>
          <t>Eastern Pack Co.</t>
        </is>
      </c>
      <c r="E149" s="2" t="n">
        <v>11</v>
      </c>
      <c r="F149" s="27" t="n">
        <v>36056512.09</v>
      </c>
      <c r="G149" s="28" t="n">
        <v>0.0136</v>
      </c>
      <c r="H149" s="19" t="n">
        <v>0.78</v>
      </c>
      <c r="I149" s="29" t="n">
        <v>0.1818</v>
      </c>
      <c r="J149" s="2" t="inlineStr">
        <is>
          <t>EXP0235</t>
        </is>
      </c>
      <c r="K149" s="2" t="n">
        <v>4</v>
      </c>
      <c r="L149" s="2" t="inlineStr">
        <is>
          <t>BRK006</t>
        </is>
      </c>
      <c r="M149" s="2" t="inlineStr">
        <is>
          <t>LAND3</t>
        </is>
      </c>
      <c r="N149" s="2" t="n">
        <v>1</v>
      </c>
      <c r="O149" s="2" t="n">
        <v>0</v>
      </c>
      <c r="P149" s="2" t="n">
        <v>0</v>
      </c>
      <c r="Q149" s="2" t="n">
        <v>0</v>
      </c>
      <c r="R149" s="30">
        <f>IF(AND($C$5&lt;&gt;"",$A149=$C$5),1,"")</f>
        <v/>
      </c>
      <c r="S149" s="21">
        <f>IF(AND($C$5&lt;&gt;"",$A149=$C$5),SUMIFS($G$8:$G$715,$A$8:$A$715,$C$5,$B$8:$B$715,"&lt;="&amp;$B149),"")</f>
        <v/>
      </c>
      <c r="T149" s="24" t="n"/>
      <c r="U149" s="24" t="n"/>
    </row>
    <row r="150">
      <c r="A150" s="2" t="inlineStr">
        <is>
          <t>CHN-72</t>
        </is>
      </c>
      <c r="B150" s="2" t="n">
        <v>12</v>
      </c>
      <c r="C150" s="2" t="inlineStr">
        <is>
          <t>IMP00903</t>
        </is>
      </c>
      <c r="D150" s="2" t="inlineStr">
        <is>
          <t>Delta Imports Group Ltd</t>
        </is>
      </c>
      <c r="E150" s="2" t="n">
        <v>4</v>
      </c>
      <c r="F150" s="27" t="n">
        <v>32499889.98</v>
      </c>
      <c r="G150" s="28" t="n">
        <v>0.0123</v>
      </c>
      <c r="H150" s="19" t="n">
        <v>0.882</v>
      </c>
      <c r="I150" s="29" t="n">
        <v>0</v>
      </c>
      <c r="J150" s="2" t="inlineStr">
        <is>
          <t>EXP0421</t>
        </is>
      </c>
      <c r="K150" s="2" t="n">
        <v>3</v>
      </c>
      <c r="L150" s="2" t="inlineStr">
        <is>
          <t>BRK063</t>
        </is>
      </c>
      <c r="M150" s="2" t="inlineStr">
        <is>
          <t>LAND1</t>
        </is>
      </c>
      <c r="N150" s="2" t="n">
        <v>0</v>
      </c>
      <c r="O150" s="2" t="n">
        <v>0</v>
      </c>
      <c r="P150" s="2" t="n">
        <v>0</v>
      </c>
      <c r="Q150" s="2" t="n">
        <v>0</v>
      </c>
      <c r="R150" s="30">
        <f>IF(AND($C$5&lt;&gt;"",$A150=$C$5),1,"")</f>
        <v/>
      </c>
      <c r="S150" s="21">
        <f>IF(AND($C$5&lt;&gt;"",$A150=$C$5),SUMIFS($G$8:$G$715,$A$8:$A$715,$C$5,$B$8:$B$715,"&lt;="&amp;$B150),"")</f>
        <v/>
      </c>
      <c r="T150" s="24" t="n"/>
      <c r="U150" s="24" t="n"/>
    </row>
    <row r="151">
      <c r="A151" s="2" t="inlineStr">
        <is>
          <t>CHN-72</t>
        </is>
      </c>
      <c r="B151" s="2" t="n">
        <v>13</v>
      </c>
      <c r="C151" s="2" t="inlineStr">
        <is>
          <t>IMP01082</t>
        </is>
      </c>
      <c r="D151" s="2" t="inlineStr">
        <is>
          <t>Central Imports Co.</t>
        </is>
      </c>
      <c r="E151" s="2" t="n">
        <v>6</v>
      </c>
      <c r="F151" s="27" t="n">
        <v>28808992.27</v>
      </c>
      <c r="G151" s="28" t="n">
        <v>0.0109</v>
      </c>
      <c r="H151" s="19" t="n">
        <v>0.853</v>
      </c>
      <c r="I151" s="29" t="n">
        <v>0</v>
      </c>
      <c r="J151" s="2" t="inlineStr">
        <is>
          <t>EXP0035</t>
        </is>
      </c>
      <c r="K151" s="2" t="n">
        <v>3</v>
      </c>
      <c r="L151" s="2" t="inlineStr">
        <is>
          <t>BRK016</t>
        </is>
      </c>
      <c r="M151" s="2" t="inlineStr">
        <is>
          <t>PORT1</t>
        </is>
      </c>
      <c r="N151" s="2" t="n">
        <v>0</v>
      </c>
      <c r="O151" s="2" t="n">
        <v>0</v>
      </c>
      <c r="P151" s="2" t="n">
        <v>0</v>
      </c>
      <c r="Q151" s="2" t="n">
        <v>0</v>
      </c>
      <c r="R151" s="30">
        <f>IF(AND($C$5&lt;&gt;"",$A151=$C$5),1,"")</f>
        <v/>
      </c>
      <c r="S151" s="21">
        <f>IF(AND($C$5&lt;&gt;"",$A151=$C$5),SUMIFS($G$8:$G$715,$A$8:$A$715,$C$5,$B$8:$B$715,"&lt;="&amp;$B151),"")</f>
        <v/>
      </c>
      <c r="T151" s="24" t="n"/>
      <c r="U151" s="24" t="n"/>
    </row>
    <row r="152">
      <c r="A152" s="2" t="inlineStr">
        <is>
          <t>CHN-72</t>
        </is>
      </c>
      <c r="B152" s="2" t="n">
        <v>14</v>
      </c>
      <c r="C152" s="2" t="inlineStr">
        <is>
          <t>IMP01449</t>
        </is>
      </c>
      <c r="D152" s="2" t="inlineStr">
        <is>
          <t>Orchid Living Co.</t>
        </is>
      </c>
      <c r="E152" s="2" t="n">
        <v>8</v>
      </c>
      <c r="F152" s="27" t="n">
        <v>26668165.79</v>
      </c>
      <c r="G152" s="28" t="n">
        <v>0.0101</v>
      </c>
      <c r="H152" s="19" t="n">
        <v>0.8845</v>
      </c>
      <c r="I152" s="29" t="n">
        <v>0</v>
      </c>
      <c r="J152" s="2" t="inlineStr">
        <is>
          <t>EXP0418</t>
        </is>
      </c>
      <c r="K152" s="2" t="n">
        <v>3</v>
      </c>
      <c r="L152" s="2" t="inlineStr">
        <is>
          <t>BRK010</t>
        </is>
      </c>
      <c r="M152" s="2" t="inlineStr">
        <is>
          <t>PORT2</t>
        </is>
      </c>
      <c r="N152" s="2" t="n">
        <v>0</v>
      </c>
      <c r="O152" s="2" t="n">
        <v>0</v>
      </c>
      <c r="P152" s="2" t="n">
        <v>0</v>
      </c>
      <c r="Q152" s="2" t="n">
        <v>0</v>
      </c>
      <c r="R152" s="30">
        <f>IF(AND($C$5&lt;&gt;"",$A152=$C$5),1,"")</f>
        <v/>
      </c>
      <c r="S152" s="21">
        <f>IF(AND($C$5&lt;&gt;"",$A152=$C$5),SUMIFS($G$8:$G$715,$A$8:$A$715,$C$5,$B$8:$B$715,"&lt;="&amp;$B152),"")</f>
        <v/>
      </c>
      <c r="T152" s="24" t="n"/>
      <c r="U152" s="24" t="n"/>
    </row>
    <row r="153">
      <c r="A153" s="2" t="inlineStr">
        <is>
          <t>CHN-72</t>
        </is>
      </c>
      <c r="B153" s="2" t="n">
        <v>15</v>
      </c>
      <c r="C153" s="2" t="inlineStr">
        <is>
          <t>IMP00915</t>
        </is>
      </c>
      <c r="D153" s="2" t="inlineStr">
        <is>
          <t>Aldergate Distribution Holdings Ltd</t>
        </is>
      </c>
      <c r="E153" s="2" t="n">
        <v>4</v>
      </c>
      <c r="F153" s="27" t="n">
        <v>24950793.84</v>
      </c>
      <c r="G153" s="28" t="n">
        <v>0.0094</v>
      </c>
      <c r="H153" s="19" t="n">
        <v>1.041</v>
      </c>
      <c r="I153" s="29" t="n">
        <v>0</v>
      </c>
      <c r="J153" s="2" t="inlineStr">
        <is>
          <t>EXP0294</t>
        </is>
      </c>
      <c r="K153" s="2" t="n">
        <v>3</v>
      </c>
      <c r="L153" s="2" t="inlineStr">
        <is>
          <t>BRK037</t>
        </is>
      </c>
      <c r="M153" s="2" t="inlineStr">
        <is>
          <t>LAND4</t>
        </is>
      </c>
      <c r="N153" s="2" t="n">
        <v>0</v>
      </c>
      <c r="O153" s="2" t="n">
        <v>0</v>
      </c>
      <c r="P153" s="2" t="n">
        <v>0</v>
      </c>
      <c r="Q153" s="2" t="n">
        <v>0</v>
      </c>
      <c r="R153" s="30">
        <f>IF(AND($C$5&lt;&gt;"",$A153=$C$5),1,"")</f>
        <v/>
      </c>
      <c r="S153" s="21">
        <f>IF(AND($C$5&lt;&gt;"",$A153=$C$5),SUMIFS($G$8:$G$715,$A$8:$A$715,$C$5,$B$8:$B$715,"&lt;="&amp;$B153),"")</f>
        <v/>
      </c>
      <c r="T153" s="24" t="n"/>
      <c r="U153" s="24" t="n"/>
    </row>
    <row r="154">
      <c r="A154" s="2" t="inlineStr">
        <is>
          <t>CHN-72</t>
        </is>
      </c>
      <c r="B154" s="2" t="n">
        <v>16</v>
      </c>
      <c r="C154" s="2" t="inlineStr">
        <is>
          <t>IMP00645</t>
        </is>
      </c>
      <c r="D154" s="2" t="inlineStr">
        <is>
          <t>Golden Mobile Ltd</t>
        </is>
      </c>
      <c r="E154" s="2" t="n">
        <v>2</v>
      </c>
      <c r="F154" s="27" t="n">
        <v>24451664.13</v>
      </c>
      <c r="G154" s="28" t="n">
        <v>0.0092</v>
      </c>
      <c r="H154" s="19" t="n">
        <v>1.059</v>
      </c>
      <c r="I154" s="29" t="n">
        <v>0</v>
      </c>
      <c r="J154" s="2" t="inlineStr">
        <is>
          <t>EXP0015</t>
        </is>
      </c>
      <c r="K154" s="2" t="n">
        <v>3</v>
      </c>
      <c r="L154" s="2" t="inlineStr">
        <is>
          <t>BRK014</t>
        </is>
      </c>
      <c r="M154" s="2" t="inlineStr">
        <is>
          <t>PORT2</t>
        </is>
      </c>
      <c r="N154" s="2" t="n">
        <v>0</v>
      </c>
      <c r="O154" s="2" t="n">
        <v>0</v>
      </c>
      <c r="P154" s="2" t="n">
        <v>0</v>
      </c>
      <c r="Q154" s="2" t="n">
        <v>0</v>
      </c>
      <c r="R154" s="30">
        <f>IF(AND($C$5&lt;&gt;"",$A154=$C$5),1,"")</f>
        <v/>
      </c>
      <c r="S154" s="21">
        <f>IF(AND($C$5&lt;&gt;"",$A154=$C$5),SUMIFS($G$8:$G$715,$A$8:$A$715,$C$5,$B$8:$B$715,"&lt;="&amp;$B154),"")</f>
        <v/>
      </c>
      <c r="T154" s="24" t="n"/>
      <c r="U154" s="24" t="n"/>
    </row>
    <row r="155">
      <c r="A155" s="2" t="inlineStr">
        <is>
          <t>CHN-72</t>
        </is>
      </c>
      <c r="B155" s="2" t="n">
        <v>17</v>
      </c>
      <c r="C155" s="2" t="inlineStr">
        <is>
          <t>IMP00260</t>
        </is>
      </c>
      <c r="D155" s="2" t="inlineStr">
        <is>
          <t>Global Electronics Partners Ltd</t>
        </is>
      </c>
      <c r="E155" s="2" t="n">
        <v>9</v>
      </c>
      <c r="F155" s="27" t="n">
        <v>22009551.86</v>
      </c>
      <c r="G155" s="28" t="n">
        <v>0.0083</v>
      </c>
      <c r="H155" s="19" t="n">
        <v>0.953</v>
      </c>
      <c r="I155" s="29" t="n">
        <v>0.2222</v>
      </c>
      <c r="J155" s="2" t="inlineStr">
        <is>
          <t>EXP0421</t>
        </is>
      </c>
      <c r="K155" s="2" t="n">
        <v>3</v>
      </c>
      <c r="L155" s="2" t="inlineStr">
        <is>
          <t>BRK021</t>
        </is>
      </c>
      <c r="M155" s="2" t="inlineStr">
        <is>
          <t>AIR1</t>
        </is>
      </c>
      <c r="N155" s="2" t="n">
        <v>0</v>
      </c>
      <c r="O155" s="2" t="n">
        <v>0</v>
      </c>
      <c r="P155" s="2" t="n">
        <v>0</v>
      </c>
      <c r="Q155" s="2" t="n">
        <v>0</v>
      </c>
      <c r="R155" s="30">
        <f>IF(AND($C$5&lt;&gt;"",$A155=$C$5),1,"")</f>
        <v/>
      </c>
      <c r="S155" s="21">
        <f>IF(AND($C$5&lt;&gt;"",$A155=$C$5),SUMIFS($G$8:$G$715,$A$8:$A$715,$C$5,$B$8:$B$715,"&lt;="&amp;$B155),"")</f>
        <v/>
      </c>
      <c r="T155" s="24" t="n"/>
      <c r="U155" s="24" t="n"/>
    </row>
    <row r="156">
      <c r="A156" s="2" t="inlineStr">
        <is>
          <t>CHN-72</t>
        </is>
      </c>
      <c r="B156" s="2" t="n">
        <v>18</v>
      </c>
      <c r="C156" s="2" t="inlineStr">
        <is>
          <t>IMP00636</t>
        </is>
      </c>
      <c r="D156" s="2" t="inlineStr">
        <is>
          <t>Phoenix Distribution &amp; Sons</t>
        </is>
      </c>
      <c r="E156" s="2" t="n">
        <v>4</v>
      </c>
      <c r="F156" s="27" t="n">
        <v>21552790.68</v>
      </c>
      <c r="G156" s="28" t="n">
        <v>0.0081</v>
      </c>
      <c r="H156" s="19" t="n">
        <v>0.9305</v>
      </c>
      <c r="I156" s="29" t="n">
        <v>0</v>
      </c>
      <c r="J156" s="2" t="inlineStr">
        <is>
          <t>EXP0453</t>
        </is>
      </c>
      <c r="K156" s="2" t="n">
        <v>1</v>
      </c>
      <c r="L156" s="2" t="inlineStr">
        <is>
          <t>BRK014</t>
        </is>
      </c>
      <c r="M156" s="2" t="inlineStr">
        <is>
          <t>LAND3</t>
        </is>
      </c>
      <c r="N156" s="2" t="n">
        <v>0</v>
      </c>
      <c r="O156" s="2" t="n">
        <v>0</v>
      </c>
      <c r="P156" s="2" t="n">
        <v>0</v>
      </c>
      <c r="Q156" s="2" t="n">
        <v>0</v>
      </c>
      <c r="R156" s="30">
        <f>IF(AND($C$5&lt;&gt;"",$A156=$C$5),1,"")</f>
        <v/>
      </c>
      <c r="S156" s="21">
        <f>IF(AND($C$5&lt;&gt;"",$A156=$C$5),SUMIFS($G$8:$G$715,$A$8:$A$715,$C$5,$B$8:$B$715,"&lt;="&amp;$B156),"")</f>
        <v/>
      </c>
      <c r="T156" s="24" t="n"/>
      <c r="U156" s="24" t="n"/>
    </row>
    <row r="157">
      <c r="A157" s="2" t="inlineStr">
        <is>
          <t>CHN-72</t>
        </is>
      </c>
      <c r="B157" s="2" t="n">
        <v>19</v>
      </c>
      <c r="C157" s="2" t="inlineStr">
        <is>
          <t>IMP00587</t>
        </is>
      </c>
      <c r="D157" s="2" t="inlineStr">
        <is>
          <t>Global Fruits Co., Ltd</t>
        </is>
      </c>
      <c r="E157" s="2" t="n">
        <v>8</v>
      </c>
      <c r="F157" s="27" t="n">
        <v>20606514.42</v>
      </c>
      <c r="G157" s="28" t="n">
        <v>0.0078</v>
      </c>
      <c r="H157" s="19" t="n">
        <v>0.8935</v>
      </c>
      <c r="I157" s="29" t="n">
        <v>0.125</v>
      </c>
      <c r="J157" s="2" t="inlineStr">
        <is>
          <t>EXP0287</t>
        </is>
      </c>
      <c r="K157" s="2" t="n">
        <v>1</v>
      </c>
      <c r="L157" s="2" t="inlineStr">
        <is>
          <t>BRK073</t>
        </is>
      </c>
      <c r="M157" s="2" t="inlineStr">
        <is>
          <t>AIR1</t>
        </is>
      </c>
      <c r="N157" s="2" t="n">
        <v>0</v>
      </c>
      <c r="O157" s="2" t="n">
        <v>0</v>
      </c>
      <c r="P157" s="2" t="n">
        <v>0</v>
      </c>
      <c r="Q157" s="2" t="n">
        <v>0</v>
      </c>
      <c r="R157" s="30">
        <f>IF(AND($C$5&lt;&gt;"",$A157=$C$5),1,"")</f>
        <v/>
      </c>
      <c r="S157" s="21">
        <f>IF(AND($C$5&lt;&gt;"",$A157=$C$5),SUMIFS($G$8:$G$715,$A$8:$A$715,$C$5,$B$8:$B$715,"&lt;="&amp;$B157),"")</f>
        <v/>
      </c>
      <c r="T157" s="24" t="n"/>
      <c r="U157" s="24" t="n"/>
    </row>
    <row r="158">
      <c r="A158" s="2" t="inlineStr">
        <is>
          <t>CHN-72</t>
        </is>
      </c>
      <c r="B158" s="2" t="n">
        <v>20</v>
      </c>
      <c r="C158" s="2" t="inlineStr">
        <is>
          <t>IMP01481</t>
        </is>
      </c>
      <c r="D158" s="2" t="inlineStr">
        <is>
          <t>Ocean Industries Holdings Ltd</t>
        </is>
      </c>
      <c r="E158" s="2" t="n">
        <v>2</v>
      </c>
      <c r="F158" s="27" t="n">
        <v>17753754.08</v>
      </c>
      <c r="G158" s="28" t="n">
        <v>0.0067</v>
      </c>
      <c r="H158" s="19" t="n">
        <v>0.948</v>
      </c>
      <c r="I158" s="29" t="n">
        <v>0</v>
      </c>
      <c r="J158" s="2" t="inlineStr">
        <is>
          <t>EXP0426</t>
        </is>
      </c>
      <c r="K158" s="2" t="n">
        <v>2</v>
      </c>
      <c r="L158" s="2" t="inlineStr">
        <is>
          <t>BRK036</t>
        </is>
      </c>
      <c r="M158" s="2" t="inlineStr">
        <is>
          <t>LAND5</t>
        </is>
      </c>
      <c r="N158" s="2" t="n">
        <v>0</v>
      </c>
      <c r="O158" s="2" t="n">
        <v>0</v>
      </c>
      <c r="P158" s="2" t="n">
        <v>0</v>
      </c>
      <c r="Q158" s="2" t="n">
        <v>0</v>
      </c>
      <c r="R158" s="30">
        <f>IF(AND($C$5&lt;&gt;"",$A158=$C$5),1,"")</f>
        <v/>
      </c>
      <c r="S158" s="21">
        <f>IF(AND($C$5&lt;&gt;"",$A158=$C$5),SUMIFS($G$8:$G$715,$A$8:$A$715,$C$5,$B$8:$B$715,"&lt;="&amp;$B158),"")</f>
        <v/>
      </c>
      <c r="T158" s="24" t="n"/>
      <c r="U158" s="24" t="n"/>
    </row>
    <row r="159">
      <c r="A159" s="2" t="inlineStr">
        <is>
          <t>CHN-72</t>
        </is>
      </c>
      <c r="B159" s="2" t="n">
        <v>21</v>
      </c>
      <c r="C159" s="2" t="inlineStr">
        <is>
          <t>IMP00426</t>
        </is>
      </c>
      <c r="D159" s="2" t="inlineStr">
        <is>
          <t>Star Logistics Enterprises</t>
        </is>
      </c>
      <c r="E159" s="2" t="n">
        <v>2</v>
      </c>
      <c r="F159" s="27" t="n">
        <v>14458275.36</v>
      </c>
      <c r="G159" s="28" t="n">
        <v>0.0055</v>
      </c>
      <c r="H159" s="19" t="n">
        <v>0.981</v>
      </c>
      <c r="I159" s="29" t="n">
        <v>0</v>
      </c>
      <c r="J159" s="2" t="inlineStr">
        <is>
          <t>EXP0085</t>
        </is>
      </c>
      <c r="K159" s="2" t="n">
        <v>2</v>
      </c>
      <c r="L159" s="2" t="inlineStr">
        <is>
          <t>BRK031</t>
        </is>
      </c>
      <c r="M159" s="2" t="inlineStr">
        <is>
          <t>PORT3</t>
        </is>
      </c>
      <c r="N159" s="2" t="n">
        <v>0</v>
      </c>
      <c r="O159" s="2" t="n">
        <v>0</v>
      </c>
      <c r="P159" s="2" t="n">
        <v>0</v>
      </c>
      <c r="Q159" s="2" t="n">
        <v>0</v>
      </c>
      <c r="R159" s="30">
        <f>IF(AND($C$5&lt;&gt;"",$A159=$C$5),1,"")</f>
        <v/>
      </c>
      <c r="S159" s="21">
        <f>IF(AND($C$5&lt;&gt;"",$A159=$C$5),SUMIFS($G$8:$G$715,$A$8:$A$715,$C$5,$B$8:$B$715,"&lt;="&amp;$B159),"")</f>
        <v/>
      </c>
      <c r="T159" s="24" t="n"/>
      <c r="U159" s="24" t="n"/>
    </row>
    <row r="160">
      <c r="A160" s="2" t="inlineStr">
        <is>
          <t>CHN-72</t>
        </is>
      </c>
      <c r="B160" s="2" t="n">
        <v>22</v>
      </c>
      <c r="C160" s="2" t="inlineStr">
        <is>
          <t>IMP01453</t>
        </is>
      </c>
      <c r="D160" s="2" t="inlineStr">
        <is>
          <t>Silver Enterprises Holdings Ltd</t>
        </is>
      </c>
      <c r="E160" s="2" t="n">
        <v>5</v>
      </c>
      <c r="F160" s="27" t="n">
        <v>12997667.24</v>
      </c>
      <c r="G160" s="28" t="n">
        <v>0.0049</v>
      </c>
      <c r="H160" s="19" t="n">
        <v>0.806</v>
      </c>
      <c r="I160" s="29" t="n">
        <v>0.4</v>
      </c>
      <c r="J160" s="2" t="inlineStr">
        <is>
          <t>EXP0479</t>
        </is>
      </c>
      <c r="K160" s="2" t="n">
        <v>2</v>
      </c>
      <c r="L160" s="2" t="inlineStr">
        <is>
          <t>BRK027</t>
        </is>
      </c>
      <c r="M160" s="2" t="inlineStr">
        <is>
          <t>LAND2</t>
        </is>
      </c>
      <c r="N160" s="2" t="n">
        <v>0</v>
      </c>
      <c r="O160" s="2" t="n">
        <v>0</v>
      </c>
      <c r="P160" s="2" t="n">
        <v>0</v>
      </c>
      <c r="Q160" s="2" t="n">
        <v>0</v>
      </c>
      <c r="R160" s="30">
        <f>IF(AND($C$5&lt;&gt;"",$A160=$C$5),1,"")</f>
        <v/>
      </c>
      <c r="S160" s="21">
        <f>IF(AND($C$5&lt;&gt;"",$A160=$C$5),SUMIFS($G$8:$G$715,$A$8:$A$715,$C$5,$B$8:$B$715,"&lt;="&amp;$B160),"")</f>
        <v/>
      </c>
      <c r="T160" s="24" t="n"/>
      <c r="U160" s="24" t="n"/>
    </row>
    <row r="161">
      <c r="A161" s="2" t="inlineStr">
        <is>
          <t>CHN-72</t>
        </is>
      </c>
      <c r="B161" s="2" t="n">
        <v>23</v>
      </c>
      <c r="C161" s="2" t="inlineStr">
        <is>
          <t>IMP00291</t>
        </is>
      </c>
      <c r="D161" s="2" t="inlineStr">
        <is>
          <t>Pacific Living Ltd</t>
        </is>
      </c>
      <c r="E161" s="2" t="n">
        <v>4</v>
      </c>
      <c r="F161" s="27" t="n">
        <v>12033523.16</v>
      </c>
      <c r="G161" s="28" t="n">
        <v>0.0045</v>
      </c>
      <c r="H161" s="19" t="n">
        <v>0.852</v>
      </c>
      <c r="I161" s="29" t="n">
        <v>0</v>
      </c>
      <c r="J161" s="2" t="inlineStr">
        <is>
          <t>EXP0233</t>
        </is>
      </c>
      <c r="K161" s="2" t="n">
        <v>5</v>
      </c>
      <c r="L161" s="2" t="inlineStr">
        <is>
          <t>BRK075</t>
        </is>
      </c>
      <c r="M161" s="2" t="inlineStr">
        <is>
          <t>LAND4</t>
        </is>
      </c>
      <c r="N161" s="2" t="n">
        <v>0</v>
      </c>
      <c r="O161" s="2" t="n">
        <v>0</v>
      </c>
      <c r="P161" s="2" t="n">
        <v>0</v>
      </c>
      <c r="Q161" s="2" t="n">
        <v>0</v>
      </c>
      <c r="R161" s="30">
        <f>IF(AND($C$5&lt;&gt;"",$A161=$C$5),1,"")</f>
        <v/>
      </c>
      <c r="S161" s="21">
        <f>IF(AND($C$5&lt;&gt;"",$A161=$C$5),SUMIFS($G$8:$G$715,$A$8:$A$715,$C$5,$B$8:$B$715,"&lt;="&amp;$B161),"")</f>
        <v/>
      </c>
      <c r="T161" s="24" t="n"/>
      <c r="U161" s="24" t="n"/>
    </row>
    <row r="162">
      <c r="A162" s="2" t="inlineStr">
        <is>
          <t>CHN-72</t>
        </is>
      </c>
      <c r="B162" s="2" t="n">
        <v>24</v>
      </c>
      <c r="C162" s="2" t="inlineStr">
        <is>
          <t>IMP01184</t>
        </is>
      </c>
      <c r="D162" s="2" t="inlineStr">
        <is>
          <t>Silver Textiles Co.</t>
        </is>
      </c>
      <c r="E162" s="2" t="n">
        <v>4</v>
      </c>
      <c r="F162" s="27" t="n">
        <v>11888138.88</v>
      </c>
      <c r="G162" s="28" t="n">
        <v>0.0045</v>
      </c>
      <c r="H162" s="19" t="n">
        <v>0.8</v>
      </c>
      <c r="I162" s="29" t="n">
        <v>0</v>
      </c>
      <c r="J162" s="2" t="inlineStr">
        <is>
          <t>EXP0549</t>
        </is>
      </c>
      <c r="K162" s="2" t="n">
        <v>3</v>
      </c>
      <c r="L162" s="2" t="inlineStr">
        <is>
          <t>BRK025</t>
        </is>
      </c>
      <c r="M162" s="2" t="inlineStr">
        <is>
          <t>AIR1</t>
        </is>
      </c>
      <c r="N162" s="2" t="n">
        <v>0</v>
      </c>
      <c r="O162" s="2" t="n">
        <v>0</v>
      </c>
      <c r="P162" s="2" t="n">
        <v>0</v>
      </c>
      <c r="Q162" s="2" t="n">
        <v>0</v>
      </c>
      <c r="R162" s="30">
        <f>IF(AND($C$5&lt;&gt;"",$A162=$C$5),1,"")</f>
        <v/>
      </c>
      <c r="S162" s="21">
        <f>IF(AND($C$5&lt;&gt;"",$A162=$C$5),SUMIFS($G$8:$G$715,$A$8:$A$715,$C$5,$B$8:$B$715,"&lt;="&amp;$B162),"")</f>
        <v/>
      </c>
      <c r="T162" s="24" t="n"/>
      <c r="U162" s="24" t="n"/>
    </row>
    <row r="163">
      <c r="A163" s="2" t="inlineStr">
        <is>
          <t>CHN-72</t>
        </is>
      </c>
      <c r="B163" s="2" t="n">
        <v>25</v>
      </c>
      <c r="C163" s="2" t="inlineStr">
        <is>
          <t>IMP01007</t>
        </is>
      </c>
      <c r="D163" s="2" t="inlineStr">
        <is>
          <t>Arden Industries Ltd</t>
        </is>
      </c>
      <c r="E163" s="2" t="n">
        <v>1</v>
      </c>
      <c r="F163" s="27" t="n">
        <v>11456414.52</v>
      </c>
      <c r="G163" s="28" t="n">
        <v>0.0043</v>
      </c>
      <c r="H163" s="19" t="n">
        <v>0.8139999999999999</v>
      </c>
      <c r="I163" s="29" t="n">
        <v>0</v>
      </c>
      <c r="J163" s="2" t="inlineStr">
        <is>
          <t>EXP0517</t>
        </is>
      </c>
      <c r="K163" s="2" t="n">
        <v>2</v>
      </c>
      <c r="L163" s="2" t="inlineStr">
        <is>
          <t>BRK012</t>
        </is>
      </c>
      <c r="M163" s="2" t="inlineStr">
        <is>
          <t>PORT3</t>
        </is>
      </c>
      <c r="N163" s="2" t="n">
        <v>0</v>
      </c>
      <c r="O163" s="2" t="n">
        <v>0</v>
      </c>
      <c r="P163" s="2" t="n">
        <v>0</v>
      </c>
      <c r="Q163" s="2" t="n">
        <v>0</v>
      </c>
      <c r="R163" s="30">
        <f>IF(AND($C$5&lt;&gt;"",$A163=$C$5),1,"")</f>
        <v/>
      </c>
      <c r="S163" s="21">
        <f>IF(AND($C$5&lt;&gt;"",$A163=$C$5),SUMIFS($G$8:$G$715,$A$8:$A$715,$C$5,$B$8:$B$715,"&lt;="&amp;$B163),"")</f>
        <v/>
      </c>
      <c r="T163" s="24" t="n"/>
      <c r="U163" s="24" t="n"/>
    </row>
    <row r="164">
      <c r="A164" s="2" t="inlineStr">
        <is>
          <t>CHN-72</t>
        </is>
      </c>
      <c r="B164" s="2" t="n">
        <v>26</v>
      </c>
      <c r="C164" s="2" t="inlineStr">
        <is>
          <t>IMP00993</t>
        </is>
      </c>
      <c r="D164" s="2" t="inlineStr">
        <is>
          <t>Dunmore Industries Co., Ltd</t>
        </is>
      </c>
      <c r="E164" s="2" t="n">
        <v>1</v>
      </c>
      <c r="F164" s="27" t="n">
        <v>8154146.07</v>
      </c>
      <c r="G164" s="28" t="n">
        <v>0.0031</v>
      </c>
      <c r="H164" s="19" t="n">
        <v>0.979</v>
      </c>
      <c r="I164" s="29" t="n">
        <v>0</v>
      </c>
      <c r="J164" s="2" t="inlineStr">
        <is>
          <t>EXP0015</t>
        </is>
      </c>
      <c r="K164" s="2" t="n">
        <v>3</v>
      </c>
      <c r="L164" s="2" t="inlineStr">
        <is>
          <t>BRK057</t>
        </is>
      </c>
      <c r="M164" s="2" t="inlineStr">
        <is>
          <t>PORT2</t>
        </is>
      </c>
      <c r="N164" s="2" t="n">
        <v>0</v>
      </c>
      <c r="O164" s="2" t="n">
        <v>0</v>
      </c>
      <c r="P164" s="2" t="n">
        <v>0</v>
      </c>
      <c r="Q164" s="2" t="n">
        <v>0</v>
      </c>
      <c r="R164" s="30">
        <f>IF(AND($C$5&lt;&gt;"",$A164=$C$5),1,"")</f>
        <v/>
      </c>
      <c r="S164" s="21">
        <f>IF(AND($C$5&lt;&gt;"",$A164=$C$5),SUMIFS($G$8:$G$715,$A$8:$A$715,$C$5,$B$8:$B$715,"&lt;="&amp;$B164),"")</f>
        <v/>
      </c>
      <c r="T164" s="24" t="n"/>
      <c r="U164" s="24" t="n"/>
    </row>
    <row r="165">
      <c r="A165" s="2" t="inlineStr">
        <is>
          <t>CHN-72</t>
        </is>
      </c>
      <c r="B165" s="2" t="n">
        <v>27</v>
      </c>
      <c r="C165" s="2" t="inlineStr">
        <is>
          <t>IMP01086</t>
        </is>
      </c>
      <c r="D165" s="2" t="inlineStr">
        <is>
          <t>Global Electronics Co., Ltd</t>
        </is>
      </c>
      <c r="E165" s="2" t="n">
        <v>2</v>
      </c>
      <c r="F165" s="27" t="n">
        <v>7231722.58</v>
      </c>
      <c r="G165" s="28" t="n">
        <v>0.0027</v>
      </c>
      <c r="H165" s="19" t="n">
        <v>0.945</v>
      </c>
      <c r="I165" s="29" t="n">
        <v>0</v>
      </c>
      <c r="J165" s="2" t="inlineStr">
        <is>
          <t>EXP0169</t>
        </is>
      </c>
      <c r="K165" s="2" t="n">
        <v>1</v>
      </c>
      <c r="L165" s="2" t="inlineStr">
        <is>
          <t>BRK024</t>
        </is>
      </c>
      <c r="M165" s="2" t="inlineStr">
        <is>
          <t>AIR1</t>
        </is>
      </c>
      <c r="N165" s="2" t="n">
        <v>0</v>
      </c>
      <c r="O165" s="2" t="n">
        <v>0</v>
      </c>
      <c r="P165" s="2" t="n">
        <v>0</v>
      </c>
      <c r="Q165" s="2" t="n">
        <v>0</v>
      </c>
      <c r="R165" s="30">
        <f>IF(AND($C$5&lt;&gt;"",$A165=$C$5),1,"")</f>
        <v/>
      </c>
      <c r="S165" s="21">
        <f>IF(AND($C$5&lt;&gt;"",$A165=$C$5),SUMIFS($G$8:$G$715,$A$8:$A$715,$C$5,$B$8:$B$715,"&lt;="&amp;$B165),"")</f>
        <v/>
      </c>
      <c r="T165" s="24" t="n"/>
      <c r="U165" s="24" t="n"/>
    </row>
    <row r="166">
      <c r="A166" s="2" t="inlineStr">
        <is>
          <t>CHN-72</t>
        </is>
      </c>
      <c r="B166" s="2" t="n">
        <v>28</v>
      </c>
      <c r="C166" s="2" t="inlineStr">
        <is>
          <t>IMP00451</t>
        </is>
      </c>
      <c r="D166" s="2" t="inlineStr">
        <is>
          <t>Global Fruits International Ltd</t>
        </is>
      </c>
      <c r="E166" s="2" t="n">
        <v>1</v>
      </c>
      <c r="F166" s="27" t="n">
        <v>6186688.12</v>
      </c>
      <c r="G166" s="28" t="n">
        <v>0.0023</v>
      </c>
      <c r="H166" s="19" t="n">
        <v>0.894</v>
      </c>
      <c r="I166" s="29" t="n">
        <v>0</v>
      </c>
      <c r="J166" s="2" t="inlineStr">
        <is>
          <t>EXP0525</t>
        </is>
      </c>
      <c r="K166" s="2" t="n">
        <v>3</v>
      </c>
      <c r="L166" s="2" t="inlineStr">
        <is>
          <t>BRK049</t>
        </is>
      </c>
      <c r="M166" s="2" t="inlineStr">
        <is>
          <t>LAND1</t>
        </is>
      </c>
      <c r="N166" s="2" t="n">
        <v>0</v>
      </c>
      <c r="O166" s="2" t="n">
        <v>0</v>
      </c>
      <c r="P166" s="2" t="n">
        <v>0</v>
      </c>
      <c r="Q166" s="2" t="n">
        <v>0</v>
      </c>
      <c r="R166" s="30">
        <f>IF(AND($C$5&lt;&gt;"",$A166=$C$5),1,"")</f>
        <v/>
      </c>
      <c r="S166" s="21">
        <f>IF(AND($C$5&lt;&gt;"",$A166=$C$5),SUMIFS($G$8:$G$715,$A$8:$A$715,$C$5,$B$8:$B$715,"&lt;="&amp;$B166),"")</f>
        <v/>
      </c>
      <c r="T166" s="24" t="n"/>
      <c r="U166" s="24" t="n"/>
    </row>
    <row r="167">
      <c r="A167" s="2" t="inlineStr">
        <is>
          <t>CHN-72</t>
        </is>
      </c>
      <c r="B167" s="2" t="n">
        <v>29</v>
      </c>
      <c r="C167" s="2" t="inlineStr">
        <is>
          <t>IMP01179</t>
        </is>
      </c>
      <c r="D167" s="2" t="inlineStr">
        <is>
          <t>Phoenix Fruits Enterprises</t>
        </is>
      </c>
      <c r="E167" s="2" t="n">
        <v>1</v>
      </c>
      <c r="F167" s="27" t="n">
        <v>3491436.98</v>
      </c>
      <c r="G167" s="28" t="n">
        <v>0.0013</v>
      </c>
      <c r="H167" s="19" t="n">
        <v>0.946</v>
      </c>
      <c r="I167" s="29" t="n">
        <v>0</v>
      </c>
      <c r="J167" s="2" t="inlineStr">
        <is>
          <t>EXP0567</t>
        </is>
      </c>
      <c r="K167" s="2" t="n">
        <v>1</v>
      </c>
      <c r="L167" s="2" t="inlineStr">
        <is>
          <t>BRK029</t>
        </is>
      </c>
      <c r="M167" s="2" t="inlineStr">
        <is>
          <t>LAND7</t>
        </is>
      </c>
      <c r="N167" s="2" t="n">
        <v>0</v>
      </c>
      <c r="O167" s="2" t="n">
        <v>1</v>
      </c>
      <c r="P167" s="2" t="n">
        <v>0</v>
      </c>
      <c r="Q167" s="2" t="n">
        <v>0</v>
      </c>
      <c r="R167" s="30">
        <f>IF(AND($C$5&lt;&gt;"",$A167=$C$5),1,"")</f>
        <v/>
      </c>
      <c r="S167" s="21">
        <f>IF(AND($C$5&lt;&gt;"",$A167=$C$5),SUMIFS($G$8:$G$715,$A$8:$A$715,$C$5,$B$8:$B$715,"&lt;="&amp;$B167),"")</f>
        <v/>
      </c>
      <c r="T167" s="24" t="n"/>
      <c r="U167" s="24" t="n"/>
    </row>
    <row r="168">
      <c r="A168" s="2" t="inlineStr">
        <is>
          <t>CHN-72</t>
        </is>
      </c>
      <c r="B168" s="2" t="n">
        <v>30</v>
      </c>
      <c r="C168" s="2" t="inlineStr">
        <is>
          <t>IMP00005</t>
        </is>
      </c>
      <c r="D168" s="2" t="inlineStr">
        <is>
          <t>Central Foods Limited</t>
        </is>
      </c>
      <c r="E168" s="2" t="n">
        <v>1</v>
      </c>
      <c r="F168" s="27" t="n">
        <v>3042112.39</v>
      </c>
      <c r="G168" s="28" t="n">
        <v>0.0011</v>
      </c>
      <c r="H168" s="19" t="n">
        <v>1.048</v>
      </c>
      <c r="I168" s="29" t="n">
        <v>0</v>
      </c>
      <c r="J168" s="2" t="inlineStr">
        <is>
          <t>EXP0413</t>
        </is>
      </c>
      <c r="K168" s="2" t="n">
        <v>2</v>
      </c>
      <c r="L168" s="2" t="inlineStr">
        <is>
          <t>BRK033</t>
        </is>
      </c>
      <c r="M168" s="2" t="inlineStr">
        <is>
          <t>AIR2</t>
        </is>
      </c>
      <c r="N168" s="2" t="n">
        <v>0</v>
      </c>
      <c r="O168" s="2" t="n">
        <v>1</v>
      </c>
      <c r="P168" s="2" t="n">
        <v>0</v>
      </c>
      <c r="Q168" s="2" t="n">
        <v>0</v>
      </c>
      <c r="R168" s="30">
        <f>IF(AND($C$5&lt;&gt;"",$A168=$C$5),1,"")</f>
        <v/>
      </c>
      <c r="S168" s="21">
        <f>IF(AND($C$5&lt;&gt;"",$A168=$C$5),SUMIFS($G$8:$G$715,$A$8:$A$715,$C$5,$B$8:$B$715,"&lt;="&amp;$B168),"")</f>
        <v/>
      </c>
      <c r="T168" s="24" t="n"/>
      <c r="U168" s="24" t="n"/>
    </row>
    <row r="169">
      <c r="A169" s="2" t="inlineStr">
        <is>
          <t>CHN-72</t>
        </is>
      </c>
      <c r="B169" s="2" t="n">
        <v>31</v>
      </c>
      <c r="C169" s="2" t="inlineStr">
        <is>
          <t>IMP01408</t>
        </is>
      </c>
      <c r="D169" s="2" t="inlineStr">
        <is>
          <t>Orchid Electronics Partners Ltd</t>
        </is>
      </c>
      <c r="E169" s="2" t="n">
        <v>1</v>
      </c>
      <c r="F169" s="27" t="n">
        <v>1706872.78</v>
      </c>
      <c r="G169" s="28" t="n">
        <v>0.0005999999999999999</v>
      </c>
      <c r="H169" s="19" t="n">
        <v>0.736</v>
      </c>
      <c r="I169" s="29" t="n">
        <v>1</v>
      </c>
      <c r="J169" s="2" t="inlineStr">
        <is>
          <t>EXP0117</t>
        </is>
      </c>
      <c r="K169" s="2" t="n">
        <v>2</v>
      </c>
      <c r="L169" s="2" t="inlineStr">
        <is>
          <t>BRK066</t>
        </is>
      </c>
      <c r="M169" s="2" t="inlineStr">
        <is>
          <t>LAND7</t>
        </is>
      </c>
      <c r="N169" s="2" t="n">
        <v>0</v>
      </c>
      <c r="O169" s="2" t="n">
        <v>0</v>
      </c>
      <c r="P169" s="2" t="n">
        <v>0</v>
      </c>
      <c r="Q169" s="2" t="n">
        <v>0</v>
      </c>
      <c r="R169" s="30">
        <f>IF(AND($C$5&lt;&gt;"",$A169=$C$5),1,"")</f>
        <v/>
      </c>
      <c r="S169" s="21">
        <f>IF(AND($C$5&lt;&gt;"",$A169=$C$5),SUMIFS($G$8:$G$715,$A$8:$A$715,$C$5,$B$8:$B$715,"&lt;="&amp;$B169),"")</f>
        <v/>
      </c>
      <c r="T169" s="24" t="n"/>
      <c r="U169" s="24" t="n"/>
    </row>
    <row r="170">
      <c r="A170" s="2" t="inlineStr">
        <is>
          <t>CHN-72</t>
        </is>
      </c>
      <c r="B170" s="2" t="n">
        <v>32</v>
      </c>
      <c r="C170" s="2" t="inlineStr">
        <is>
          <t>IMP00900</t>
        </is>
      </c>
      <c r="D170" s="2" t="inlineStr">
        <is>
          <t>Golden Glow Partners Ltd</t>
        </is>
      </c>
      <c r="E170" s="2" t="n">
        <v>1</v>
      </c>
      <c r="F170" s="27" t="n">
        <v>1689724.15</v>
      </c>
      <c r="G170" s="28" t="n">
        <v>0.0005999999999999999</v>
      </c>
      <c r="H170" s="19" t="n">
        <v>0.766</v>
      </c>
      <c r="I170" s="29" t="n">
        <v>0</v>
      </c>
      <c r="J170" s="2" t="inlineStr">
        <is>
          <t>EXP0581</t>
        </is>
      </c>
      <c r="K170" s="2" t="n">
        <v>1</v>
      </c>
      <c r="L170" s="2" t="inlineStr">
        <is>
          <t>BRK016</t>
        </is>
      </c>
      <c r="M170" s="2" t="inlineStr">
        <is>
          <t>PORT3</t>
        </is>
      </c>
      <c r="N170" s="2" t="n">
        <v>0</v>
      </c>
      <c r="O170" s="2" t="n">
        <v>0</v>
      </c>
      <c r="P170" s="2" t="n">
        <v>0</v>
      </c>
      <c r="Q170" s="2" t="n">
        <v>0</v>
      </c>
      <c r="R170" s="30">
        <f>IF(AND($C$5&lt;&gt;"",$A170=$C$5),1,"")</f>
        <v/>
      </c>
      <c r="S170" s="21">
        <f>IF(AND($C$5&lt;&gt;"",$A170=$C$5),SUMIFS($G$8:$G$715,$A$8:$A$715,$C$5,$B$8:$B$715,"&lt;="&amp;$B170),"")</f>
        <v/>
      </c>
      <c r="T170" s="24" t="n"/>
      <c r="U170" s="24" t="n"/>
    </row>
    <row r="171">
      <c r="A171" s="2" t="inlineStr">
        <is>
          <t>CHN-85</t>
        </is>
      </c>
      <c r="B171" s="2" t="n">
        <v>1</v>
      </c>
      <c r="C171" s="2" t="inlineStr">
        <is>
          <t>IMP00815</t>
        </is>
      </c>
      <c r="D171" s="2" t="inlineStr">
        <is>
          <t>Pacific Logistics Group Ltd</t>
        </is>
      </c>
      <c r="E171" s="2" t="n">
        <v>349</v>
      </c>
      <c r="F171" s="27" t="n">
        <v>1124567041.24</v>
      </c>
      <c r="G171" s="28" t="n">
        <v>0.223</v>
      </c>
      <c r="H171" s="19" t="n">
        <v>1.012</v>
      </c>
      <c r="I171" s="29" t="n">
        <v>0.1089</v>
      </c>
      <c r="J171" s="2" t="inlineStr">
        <is>
          <t>EXP0398</t>
        </is>
      </c>
      <c r="K171" s="2" t="n">
        <v>4</v>
      </c>
      <c r="L171" s="2" t="inlineStr">
        <is>
          <t>BRK031</t>
        </is>
      </c>
      <c r="M171" s="2" t="inlineStr">
        <is>
          <t>AIR1</t>
        </is>
      </c>
      <c r="N171" s="2" t="n">
        <v>0</v>
      </c>
      <c r="O171" s="2" t="n">
        <v>0</v>
      </c>
      <c r="P171" s="2" t="n">
        <v>0</v>
      </c>
      <c r="Q171" s="2" t="n">
        <v>0</v>
      </c>
      <c r="R171" s="30">
        <f>IF(AND($C$5&lt;&gt;"",$A171=$C$5),1,"")</f>
        <v/>
      </c>
      <c r="S171" s="21">
        <f>IF(AND($C$5&lt;&gt;"",$A171=$C$5),SUMIFS($G$8:$G$715,$A$8:$A$715,$C$5,$B$8:$B$715,"&lt;="&amp;$B171),"")</f>
        <v/>
      </c>
      <c r="T171" s="24" t="n"/>
      <c r="U171" s="24" t="n"/>
    </row>
    <row r="172">
      <c r="A172" s="2" t="inlineStr">
        <is>
          <t>CHN-85</t>
        </is>
      </c>
      <c r="B172" s="2" t="n">
        <v>2</v>
      </c>
      <c r="C172" s="2" t="inlineStr">
        <is>
          <t>IMP01007</t>
        </is>
      </c>
      <c r="D172" s="2" t="inlineStr">
        <is>
          <t>Arden Industries Ltd</t>
        </is>
      </c>
      <c r="E172" s="2" t="n">
        <v>299</v>
      </c>
      <c r="F172" s="27" t="n">
        <v>626182555.39</v>
      </c>
      <c r="G172" s="28" t="n">
        <v>0.1242</v>
      </c>
      <c r="H172" s="19" t="n">
        <v>0.967</v>
      </c>
      <c r="I172" s="29" t="n">
        <v>0.0134</v>
      </c>
      <c r="J172" s="2" t="inlineStr">
        <is>
          <t>EXP0517</t>
        </is>
      </c>
      <c r="K172" s="2" t="n">
        <v>8</v>
      </c>
      <c r="L172" s="2" t="inlineStr">
        <is>
          <t>BRK012</t>
        </is>
      </c>
      <c r="M172" s="2" t="inlineStr">
        <is>
          <t>PORT3</t>
        </is>
      </c>
      <c r="N172" s="2" t="n">
        <v>0</v>
      </c>
      <c r="O172" s="2" t="n">
        <v>0</v>
      </c>
      <c r="P172" s="2" t="n">
        <v>0</v>
      </c>
      <c r="Q172" s="2" t="n">
        <v>0</v>
      </c>
      <c r="R172" s="30">
        <f>IF(AND($C$5&lt;&gt;"",$A172=$C$5),1,"")</f>
        <v/>
      </c>
      <c r="S172" s="21">
        <f>IF(AND($C$5&lt;&gt;"",$A172=$C$5),SUMIFS($G$8:$G$715,$A$8:$A$715,$C$5,$B$8:$B$715,"&lt;="&amp;$B172),"")</f>
        <v/>
      </c>
      <c r="T172" s="24" t="n"/>
      <c r="U172" s="24" t="n"/>
    </row>
    <row r="173">
      <c r="A173" s="2" t="inlineStr">
        <is>
          <t>CHN-85</t>
        </is>
      </c>
      <c r="B173" s="2" t="n">
        <v>3</v>
      </c>
      <c r="C173" s="2" t="inlineStr">
        <is>
          <t>IMP00528</t>
        </is>
      </c>
      <c r="D173" s="2" t="inlineStr">
        <is>
          <t>Great Vellmoor Electronics International Ltd</t>
        </is>
      </c>
      <c r="E173" s="2" t="n">
        <v>164</v>
      </c>
      <c r="F173" s="27" t="n">
        <v>538128206.02</v>
      </c>
      <c r="G173" s="28" t="n">
        <v>0.1067</v>
      </c>
      <c r="H173" s="19" t="n">
        <v>0.8965</v>
      </c>
      <c r="I173" s="29" t="n">
        <v>0.1707</v>
      </c>
      <c r="J173" s="2" t="inlineStr">
        <is>
          <t>EXP0593</t>
        </is>
      </c>
      <c r="K173" s="2" t="n">
        <v>4</v>
      </c>
      <c r="L173" s="2" t="inlineStr">
        <is>
          <t>BRK007</t>
        </is>
      </c>
      <c r="M173" s="2" t="inlineStr">
        <is>
          <t>LAND7</t>
        </is>
      </c>
      <c r="N173" s="2" t="n">
        <v>0</v>
      </c>
      <c r="O173" s="2" t="n">
        <v>0</v>
      </c>
      <c r="P173" s="2" t="n">
        <v>0</v>
      </c>
      <c r="Q173" s="2" t="n">
        <v>0</v>
      </c>
      <c r="R173" s="30">
        <f>IF(AND($C$5&lt;&gt;"",$A173=$C$5),1,"")</f>
        <v/>
      </c>
      <c r="S173" s="21">
        <f>IF(AND($C$5&lt;&gt;"",$A173=$C$5),SUMIFS($G$8:$G$715,$A$8:$A$715,$C$5,$B$8:$B$715,"&lt;="&amp;$B173),"")</f>
        <v/>
      </c>
      <c r="T173" s="24" t="n"/>
      <c r="U173" s="24" t="n"/>
    </row>
    <row r="174">
      <c r="A174" s="2" t="inlineStr">
        <is>
          <t>CHN-85</t>
        </is>
      </c>
      <c r="B174" s="2" t="n">
        <v>4</v>
      </c>
      <c r="C174" s="2" t="inlineStr">
        <is>
          <t>IMP00235</t>
        </is>
      </c>
      <c r="D174" s="2" t="inlineStr">
        <is>
          <t>Phoenix Foods Ltd</t>
        </is>
      </c>
      <c r="E174" s="2" t="n">
        <v>105</v>
      </c>
      <c r="F174" s="27" t="n">
        <v>468364548.13</v>
      </c>
      <c r="G174" s="28" t="n">
        <v>0.0929</v>
      </c>
      <c r="H174" s="19" t="n">
        <v>1.021</v>
      </c>
      <c r="I174" s="29" t="n">
        <v>0.0857</v>
      </c>
      <c r="J174" s="2" t="inlineStr">
        <is>
          <t>EXP0235</t>
        </is>
      </c>
      <c r="K174" s="2" t="n">
        <v>5</v>
      </c>
      <c r="L174" s="2" t="inlineStr">
        <is>
          <t>BRK033</t>
        </is>
      </c>
      <c r="M174" s="2" t="inlineStr">
        <is>
          <t>AIR1</t>
        </is>
      </c>
      <c r="N174" s="2" t="n">
        <v>0</v>
      </c>
      <c r="O174" s="2" t="n">
        <v>0</v>
      </c>
      <c r="P174" s="2" t="n">
        <v>0</v>
      </c>
      <c r="Q174" s="2" t="n">
        <v>0</v>
      </c>
      <c r="R174" s="30">
        <f>IF(AND($C$5&lt;&gt;"",$A174=$C$5),1,"")</f>
        <v/>
      </c>
      <c r="S174" s="21">
        <f>IF(AND($C$5&lt;&gt;"",$A174=$C$5),SUMIFS($G$8:$G$715,$A$8:$A$715,$C$5,$B$8:$B$715,"&lt;="&amp;$B174),"")</f>
        <v/>
      </c>
      <c r="T174" s="24" t="n"/>
      <c r="U174" s="24" t="n"/>
    </row>
    <row r="175">
      <c r="A175" s="2" t="inlineStr">
        <is>
          <t>CHN-85</t>
        </is>
      </c>
      <c r="B175" s="2" t="n">
        <v>5</v>
      </c>
      <c r="C175" s="2" t="inlineStr">
        <is>
          <t>IMP00591</t>
        </is>
      </c>
      <c r="D175" s="2" t="inlineStr">
        <is>
          <t>Twin Rivers Medical Ltd</t>
        </is>
      </c>
      <c r="E175" s="2" t="n">
        <v>139</v>
      </c>
      <c r="F175" s="27" t="n">
        <v>465557716.76</v>
      </c>
      <c r="G175" s="28" t="n">
        <v>0.09229999999999999</v>
      </c>
      <c r="H175" s="19" t="n">
        <v>0.985</v>
      </c>
      <c r="I175" s="29" t="n">
        <v>0.1007</v>
      </c>
      <c r="J175" s="2" t="inlineStr">
        <is>
          <t>EXP0378</t>
        </is>
      </c>
      <c r="K175" s="2" t="n">
        <v>5</v>
      </c>
      <c r="L175" s="2" t="inlineStr">
        <is>
          <t>BRK044</t>
        </is>
      </c>
      <c r="M175" s="2" t="inlineStr">
        <is>
          <t>LAND1</t>
        </is>
      </c>
      <c r="N175" s="2" t="n">
        <v>0</v>
      </c>
      <c r="O175" s="2" t="n">
        <v>0</v>
      </c>
      <c r="P175" s="2" t="n">
        <v>0</v>
      </c>
      <c r="Q175" s="2" t="n">
        <v>0</v>
      </c>
      <c r="R175" s="30">
        <f>IF(AND($C$5&lt;&gt;"",$A175=$C$5),1,"")</f>
        <v/>
      </c>
      <c r="S175" s="21">
        <f>IF(AND($C$5&lt;&gt;"",$A175=$C$5),SUMIFS($G$8:$G$715,$A$8:$A$715,$C$5,$B$8:$B$715,"&lt;="&amp;$B175),"")</f>
        <v/>
      </c>
      <c r="T175" s="24" t="n"/>
      <c r="U175" s="24" t="n"/>
    </row>
    <row r="176">
      <c r="A176" s="2" t="inlineStr">
        <is>
          <t>CHN-85</t>
        </is>
      </c>
      <c r="B176" s="2" t="n">
        <v>6</v>
      </c>
      <c r="C176" s="2" t="inlineStr">
        <is>
          <t>IMP00106</t>
        </is>
      </c>
      <c r="D176" s="2" t="inlineStr">
        <is>
          <t>Sunrise Textiles Co., Ltd</t>
        </is>
      </c>
      <c r="E176" s="2" t="n">
        <v>100</v>
      </c>
      <c r="F176" s="27" t="n">
        <v>228915937.18</v>
      </c>
      <c r="G176" s="28" t="n">
        <v>0.0454</v>
      </c>
      <c r="H176" s="19" t="n">
        <v>0.96</v>
      </c>
      <c r="I176" s="29" t="n">
        <v>0.02</v>
      </c>
      <c r="J176" s="2" t="inlineStr">
        <is>
          <t>EXP0483</t>
        </is>
      </c>
      <c r="K176" s="2" t="n">
        <v>5</v>
      </c>
      <c r="L176" s="2" t="inlineStr">
        <is>
          <t>BRK007</t>
        </is>
      </c>
      <c r="M176" s="2" t="inlineStr">
        <is>
          <t>LAND1</t>
        </is>
      </c>
      <c r="N176" s="2" t="n">
        <v>0</v>
      </c>
      <c r="O176" s="2" t="n">
        <v>1</v>
      </c>
      <c r="P176" s="2" t="n">
        <v>0</v>
      </c>
      <c r="Q176" s="2" t="n">
        <v>0</v>
      </c>
      <c r="R176" s="30">
        <f>IF(AND($C$5&lt;&gt;"",$A176=$C$5),1,"")</f>
        <v/>
      </c>
      <c r="S176" s="21">
        <f>IF(AND($C$5&lt;&gt;"",$A176=$C$5),SUMIFS($G$8:$G$715,$A$8:$A$715,$C$5,$B$8:$B$715,"&lt;="&amp;$B176),"")</f>
        <v/>
      </c>
      <c r="T176" s="24" t="n"/>
      <c r="U176" s="24" t="n"/>
    </row>
    <row r="177">
      <c r="A177" s="2" t="inlineStr">
        <is>
          <t>CHN-85</t>
        </is>
      </c>
      <c r="B177" s="2" t="n">
        <v>7</v>
      </c>
      <c r="C177" s="2" t="inlineStr">
        <is>
          <t>IMP00681</t>
        </is>
      </c>
      <c r="D177" s="2" t="inlineStr">
        <is>
          <t>Northern Logistics Limited</t>
        </is>
      </c>
      <c r="E177" s="2" t="n">
        <v>61</v>
      </c>
      <c r="F177" s="27" t="n">
        <v>136343187.57</v>
      </c>
      <c r="G177" s="28" t="n">
        <v>0.027</v>
      </c>
      <c r="H177" s="19" t="n">
        <v>0.949</v>
      </c>
      <c r="I177" s="29" t="n">
        <v>0.1803</v>
      </c>
      <c r="J177" s="2" t="inlineStr">
        <is>
          <t>EXP0085</t>
        </is>
      </c>
      <c r="K177" s="2" t="n">
        <v>3</v>
      </c>
      <c r="L177" s="2" t="inlineStr">
        <is>
          <t>BRK013</t>
        </is>
      </c>
      <c r="M177" s="2" t="inlineStr">
        <is>
          <t>PORT2</t>
        </is>
      </c>
      <c r="N177" s="2" t="n">
        <v>0</v>
      </c>
      <c r="O177" s="2" t="n">
        <v>0</v>
      </c>
      <c r="P177" s="2" t="n">
        <v>0</v>
      </c>
      <c r="Q177" s="2" t="n">
        <v>0</v>
      </c>
      <c r="R177" s="30">
        <f>IF(AND($C$5&lt;&gt;"",$A177=$C$5),1,"")</f>
        <v/>
      </c>
      <c r="S177" s="21">
        <f>IF(AND($C$5&lt;&gt;"",$A177=$C$5),SUMIFS($G$8:$G$715,$A$8:$A$715,$C$5,$B$8:$B$715,"&lt;="&amp;$B177),"")</f>
        <v/>
      </c>
      <c r="T177" s="24" t="n"/>
      <c r="U177" s="24" t="n"/>
    </row>
    <row r="178">
      <c r="A178" s="2" t="inlineStr">
        <is>
          <t>CHN-85</t>
        </is>
      </c>
      <c r="B178" s="2" t="n">
        <v>8</v>
      </c>
      <c r="C178" s="2" t="inlineStr">
        <is>
          <t>IMP00176</t>
        </is>
      </c>
      <c r="D178" s="2" t="inlineStr">
        <is>
          <t>Metro Supply Enterprises</t>
        </is>
      </c>
      <c r="E178" s="2" t="n">
        <v>48</v>
      </c>
      <c r="F178" s="27" t="n">
        <v>136175516.6</v>
      </c>
      <c r="G178" s="28" t="n">
        <v>0.027</v>
      </c>
      <c r="H178" s="19" t="n">
        <v>0.9775</v>
      </c>
      <c r="I178" s="29" t="n">
        <v>0.2292</v>
      </c>
      <c r="J178" s="2" t="inlineStr">
        <is>
          <t>EXP0378</t>
        </is>
      </c>
      <c r="K178" s="2" t="n">
        <v>5</v>
      </c>
      <c r="L178" s="2" t="inlineStr">
        <is>
          <t>BRK019</t>
        </is>
      </c>
      <c r="M178" s="2" t="inlineStr">
        <is>
          <t>PORT1</t>
        </is>
      </c>
      <c r="N178" s="2" t="n">
        <v>0</v>
      </c>
      <c r="O178" s="2" t="n">
        <v>1</v>
      </c>
      <c r="P178" s="2" t="n">
        <v>0</v>
      </c>
      <c r="Q178" s="2" t="n">
        <v>0</v>
      </c>
      <c r="R178" s="30">
        <f>IF(AND($C$5&lt;&gt;"",$A178=$C$5),1,"")</f>
        <v/>
      </c>
      <c r="S178" s="21">
        <f>IF(AND($C$5&lt;&gt;"",$A178=$C$5),SUMIFS($G$8:$G$715,$A$8:$A$715,$C$5,$B$8:$B$715,"&lt;="&amp;$B178),"")</f>
        <v/>
      </c>
      <c r="T178" s="24" t="n"/>
      <c r="U178" s="24" t="n"/>
    </row>
    <row r="179">
      <c r="A179" s="2" t="inlineStr">
        <is>
          <t>CHN-85</t>
        </is>
      </c>
      <c r="B179" s="2" t="n">
        <v>9</v>
      </c>
      <c r="C179" s="2" t="inlineStr">
        <is>
          <t>IMP01224</t>
        </is>
      </c>
      <c r="D179" s="2" t="inlineStr">
        <is>
          <t>Lotus Pack Partners Ltd</t>
        </is>
      </c>
      <c r="E179" s="2" t="n">
        <v>68</v>
      </c>
      <c r="F179" s="27" t="n">
        <v>122168291.13</v>
      </c>
      <c r="G179" s="28" t="n">
        <v>0.0242</v>
      </c>
      <c r="H179" s="19" t="n">
        <v>1.0195</v>
      </c>
      <c r="I179" s="29" t="n">
        <v>0.0735</v>
      </c>
      <c r="J179" s="2" t="inlineStr">
        <is>
          <t>EXP0398</t>
        </is>
      </c>
      <c r="K179" s="2" t="n">
        <v>4</v>
      </c>
      <c r="L179" s="2" t="inlineStr">
        <is>
          <t>BRK010</t>
        </is>
      </c>
      <c r="M179" s="2" t="inlineStr">
        <is>
          <t>LAND5</t>
        </is>
      </c>
      <c r="N179" s="2" t="n">
        <v>0</v>
      </c>
      <c r="O179" s="2" t="n">
        <v>0</v>
      </c>
      <c r="P179" s="2" t="n">
        <v>0</v>
      </c>
      <c r="Q179" s="2" t="n">
        <v>0</v>
      </c>
      <c r="R179" s="30">
        <f>IF(AND($C$5&lt;&gt;"",$A179=$C$5),1,"")</f>
        <v/>
      </c>
      <c r="S179" s="21">
        <f>IF(AND($C$5&lt;&gt;"",$A179=$C$5),SUMIFS($G$8:$G$715,$A$8:$A$715,$C$5,$B$8:$B$715,"&lt;="&amp;$B179),"")</f>
        <v/>
      </c>
      <c r="T179" s="24" t="n"/>
      <c r="U179" s="24" t="n"/>
    </row>
    <row r="180">
      <c r="A180" s="2" t="inlineStr">
        <is>
          <t>CHN-85</t>
        </is>
      </c>
      <c r="B180" s="2" t="n">
        <v>10</v>
      </c>
      <c r="C180" s="2" t="inlineStr">
        <is>
          <t>IMP00451</t>
        </is>
      </c>
      <c r="D180" s="2" t="inlineStr">
        <is>
          <t>Global Fruits International Ltd</t>
        </is>
      </c>
      <c r="E180" s="2" t="n">
        <v>31</v>
      </c>
      <c r="F180" s="27" t="n">
        <v>100471319.63</v>
      </c>
      <c r="G180" s="28" t="n">
        <v>0.0199</v>
      </c>
      <c r="H180" s="19" t="n">
        <v>1.04</v>
      </c>
      <c r="I180" s="29" t="n">
        <v>0.0968</v>
      </c>
      <c r="J180" s="2" t="inlineStr">
        <is>
          <t>EXP0585</t>
        </is>
      </c>
      <c r="K180" s="2" t="n">
        <v>5</v>
      </c>
      <c r="L180" s="2" t="inlineStr">
        <is>
          <t>BRK068</t>
        </is>
      </c>
      <c r="M180" s="2" t="inlineStr">
        <is>
          <t>AIR1</t>
        </is>
      </c>
      <c r="N180" s="2" t="n">
        <v>0</v>
      </c>
      <c r="O180" s="2" t="n">
        <v>0</v>
      </c>
      <c r="P180" s="2" t="n">
        <v>0</v>
      </c>
      <c r="Q180" s="2" t="n">
        <v>0</v>
      </c>
      <c r="R180" s="30">
        <f>IF(AND($C$5&lt;&gt;"",$A180=$C$5),1,"")</f>
        <v/>
      </c>
      <c r="S180" s="21">
        <f>IF(AND($C$5&lt;&gt;"",$A180=$C$5),SUMIFS($G$8:$G$715,$A$8:$A$715,$C$5,$B$8:$B$715,"&lt;="&amp;$B180),"")</f>
        <v/>
      </c>
      <c r="T180" s="24" t="n"/>
      <c r="U180" s="24" t="n"/>
    </row>
    <row r="181">
      <c r="A181" s="2" t="inlineStr">
        <is>
          <t>CHN-85</t>
        </is>
      </c>
      <c r="B181" s="2" t="n">
        <v>11</v>
      </c>
      <c r="C181" s="2" t="inlineStr">
        <is>
          <t>IMP00557</t>
        </is>
      </c>
      <c r="D181" s="2" t="inlineStr">
        <is>
          <t>Northern Electronics Co., Ltd</t>
        </is>
      </c>
      <c r="E181" s="2" t="n">
        <v>66</v>
      </c>
      <c r="F181" s="27" t="n">
        <v>96267105.59</v>
      </c>
      <c r="G181" s="28" t="n">
        <v>0.0191</v>
      </c>
      <c r="H181" s="19" t="n">
        <v>0.954</v>
      </c>
      <c r="I181" s="29" t="n">
        <v>0.2273</v>
      </c>
      <c r="J181" s="2" t="inlineStr">
        <is>
          <t>EXP0549</t>
        </is>
      </c>
      <c r="K181" s="2" t="n">
        <v>4</v>
      </c>
      <c r="L181" s="2" t="inlineStr">
        <is>
          <t>BRK049</t>
        </is>
      </c>
      <c r="M181" s="2" t="inlineStr">
        <is>
          <t>PORT2</t>
        </is>
      </c>
      <c r="N181" s="2" t="n">
        <v>0</v>
      </c>
      <c r="O181" s="2" t="n">
        <v>0</v>
      </c>
      <c r="P181" s="2" t="n">
        <v>0</v>
      </c>
      <c r="Q181" s="2" t="n">
        <v>0</v>
      </c>
      <c r="R181" s="30">
        <f>IF(AND($C$5&lt;&gt;"",$A181=$C$5),1,"")</f>
        <v/>
      </c>
      <c r="S181" s="21">
        <f>IF(AND($C$5&lt;&gt;"",$A181=$C$5),SUMIFS($G$8:$G$715,$A$8:$A$715,$C$5,$B$8:$B$715,"&lt;="&amp;$B181),"")</f>
        <v/>
      </c>
      <c r="T181" s="24" t="n"/>
      <c r="U181" s="24" t="n"/>
    </row>
    <row r="182">
      <c r="A182" s="2" t="inlineStr">
        <is>
          <t>CHN-85</t>
        </is>
      </c>
      <c r="B182" s="2" t="n">
        <v>12</v>
      </c>
      <c r="C182" s="2" t="inlineStr">
        <is>
          <t>IMP00645</t>
        </is>
      </c>
      <c r="D182" s="2" t="inlineStr">
        <is>
          <t>Golden Mobile Ltd</t>
        </is>
      </c>
      <c r="E182" s="2" t="n">
        <v>36</v>
      </c>
      <c r="F182" s="27" t="n">
        <v>95659806.09999999</v>
      </c>
      <c r="G182" s="28" t="n">
        <v>0.019</v>
      </c>
      <c r="H182" s="19" t="n">
        <v>1.0695</v>
      </c>
      <c r="I182" s="29" t="n">
        <v>0</v>
      </c>
      <c r="J182" s="2" t="inlineStr">
        <is>
          <t>EXP0015</t>
        </is>
      </c>
      <c r="K182" s="2" t="n">
        <v>3</v>
      </c>
      <c r="L182" s="2" t="inlineStr">
        <is>
          <t>BRK062</t>
        </is>
      </c>
      <c r="M182" s="2" t="inlineStr">
        <is>
          <t>PORT2</t>
        </is>
      </c>
      <c r="N182" s="2" t="n">
        <v>0</v>
      </c>
      <c r="O182" s="2" t="n">
        <v>0</v>
      </c>
      <c r="P182" s="2" t="n">
        <v>0</v>
      </c>
      <c r="Q182" s="2" t="n">
        <v>0</v>
      </c>
      <c r="R182" s="30">
        <f>IF(AND($C$5&lt;&gt;"",$A182=$C$5),1,"")</f>
        <v/>
      </c>
      <c r="S182" s="21">
        <f>IF(AND($C$5&lt;&gt;"",$A182=$C$5),SUMIFS($G$8:$G$715,$A$8:$A$715,$C$5,$B$8:$B$715,"&lt;="&amp;$B182),"")</f>
        <v/>
      </c>
      <c r="T182" s="24" t="n"/>
      <c r="U182" s="24" t="n"/>
    </row>
    <row r="183">
      <c r="A183" s="2" t="inlineStr">
        <is>
          <t>CHN-85</t>
        </is>
      </c>
      <c r="B183" s="2" t="n">
        <v>13</v>
      </c>
      <c r="C183" s="2" t="inlineStr">
        <is>
          <t>IMP00109</t>
        </is>
      </c>
      <c r="D183" s="2" t="inlineStr">
        <is>
          <t>Jade Logistics Co., Ltd</t>
        </is>
      </c>
      <c r="E183" s="2" t="n">
        <v>35</v>
      </c>
      <c r="F183" s="27" t="n">
        <v>86280599.28</v>
      </c>
      <c r="G183" s="28" t="n">
        <v>0.0171</v>
      </c>
      <c r="H183" s="19" t="n">
        <v>0.9370000000000001</v>
      </c>
      <c r="I183" s="29" t="n">
        <v>0.1429</v>
      </c>
      <c r="J183" s="2" t="inlineStr">
        <is>
          <t>EXP0418</t>
        </is>
      </c>
      <c r="K183" s="2" t="n">
        <v>5</v>
      </c>
      <c r="L183" s="2" t="inlineStr">
        <is>
          <t>BRK030</t>
        </is>
      </c>
      <c r="M183" s="2" t="inlineStr">
        <is>
          <t>PORT1</t>
        </is>
      </c>
      <c r="N183" s="2" t="n">
        <v>0</v>
      </c>
      <c r="O183" s="2" t="n">
        <v>0</v>
      </c>
      <c r="P183" s="2" t="n">
        <v>0</v>
      </c>
      <c r="Q183" s="2" t="n">
        <v>0</v>
      </c>
      <c r="R183" s="30">
        <f>IF(AND($C$5&lt;&gt;"",$A183=$C$5),1,"")</f>
        <v/>
      </c>
      <c r="S183" s="21">
        <f>IF(AND($C$5&lt;&gt;"",$A183=$C$5),SUMIFS($G$8:$G$715,$A$8:$A$715,$C$5,$B$8:$B$715,"&lt;="&amp;$B183),"")</f>
        <v/>
      </c>
      <c r="T183" s="24" t="n"/>
      <c r="U183" s="24" t="n"/>
    </row>
    <row r="184">
      <c r="A184" s="2" t="inlineStr">
        <is>
          <t>CHN-85</t>
        </is>
      </c>
      <c r="B184" s="2" t="n">
        <v>14</v>
      </c>
      <c r="C184" s="2" t="inlineStr">
        <is>
          <t>IMP00410</t>
        </is>
      </c>
      <c r="D184" s="2" t="inlineStr">
        <is>
          <t>Crown Supply Holdings Ltd</t>
        </is>
      </c>
      <c r="E184" s="2" t="n">
        <v>37</v>
      </c>
      <c r="F184" s="27" t="n">
        <v>85378911.02</v>
      </c>
      <c r="G184" s="28" t="n">
        <v>0.0169</v>
      </c>
      <c r="H184" s="19" t="n">
        <v>0.976</v>
      </c>
      <c r="I184" s="29" t="n">
        <v>0.1351</v>
      </c>
      <c r="J184" s="2" t="inlineStr">
        <is>
          <t>EXP0082</t>
        </is>
      </c>
      <c r="K184" s="2" t="n">
        <v>5</v>
      </c>
      <c r="L184" s="2" t="inlineStr">
        <is>
          <t>BRK080</t>
        </is>
      </c>
      <c r="M184" s="2" t="inlineStr">
        <is>
          <t>LAND4</t>
        </is>
      </c>
      <c r="N184" s="2" t="n">
        <v>0</v>
      </c>
      <c r="O184" s="2" t="n">
        <v>0</v>
      </c>
      <c r="P184" s="2" t="n">
        <v>0</v>
      </c>
      <c r="Q184" s="2" t="n">
        <v>0</v>
      </c>
      <c r="R184" s="30">
        <f>IF(AND($C$5&lt;&gt;"",$A184=$C$5),1,"")</f>
        <v/>
      </c>
      <c r="S184" s="21">
        <f>IF(AND($C$5&lt;&gt;"",$A184=$C$5),SUMIFS($G$8:$G$715,$A$8:$A$715,$C$5,$B$8:$B$715,"&lt;="&amp;$B184),"")</f>
        <v/>
      </c>
      <c r="T184" s="24" t="n"/>
      <c r="U184" s="24" t="n"/>
    </row>
    <row r="185">
      <c r="A185" s="2" t="inlineStr">
        <is>
          <t>CHN-85</t>
        </is>
      </c>
      <c r="B185" s="2" t="n">
        <v>15</v>
      </c>
      <c r="C185" s="2" t="inlineStr">
        <is>
          <t>IMP01172</t>
        </is>
      </c>
      <c r="D185" s="2" t="inlineStr">
        <is>
          <t>Orchid Enterprises International Ltd</t>
        </is>
      </c>
      <c r="E185" s="2" t="n">
        <v>36</v>
      </c>
      <c r="F185" s="27" t="n">
        <v>84472808</v>
      </c>
      <c r="G185" s="28" t="n">
        <v>0.0168</v>
      </c>
      <c r="H185" s="19" t="n">
        <v>0.9340000000000001</v>
      </c>
      <c r="I185" s="29" t="n">
        <v>0</v>
      </c>
      <c r="J185" s="2" t="inlineStr">
        <is>
          <t>EXP0213</t>
        </is>
      </c>
      <c r="K185" s="2" t="n">
        <v>4</v>
      </c>
      <c r="L185" s="2" t="inlineStr">
        <is>
          <t>BRK060</t>
        </is>
      </c>
      <c r="M185" s="2" t="inlineStr">
        <is>
          <t>PORT2</t>
        </is>
      </c>
      <c r="N185" s="2" t="n">
        <v>0</v>
      </c>
      <c r="O185" s="2" t="n">
        <v>0</v>
      </c>
      <c r="P185" s="2" t="n">
        <v>0</v>
      </c>
      <c r="Q185" s="2" t="n">
        <v>0</v>
      </c>
      <c r="R185" s="30">
        <f>IF(AND($C$5&lt;&gt;"",$A185=$C$5),1,"")</f>
        <v/>
      </c>
      <c r="S185" s="21">
        <f>IF(AND($C$5&lt;&gt;"",$A185=$C$5),SUMIFS($G$8:$G$715,$A$8:$A$715,$C$5,$B$8:$B$715,"&lt;="&amp;$B185),"")</f>
        <v/>
      </c>
      <c r="T185" s="24" t="n"/>
      <c r="U185" s="24" t="n"/>
    </row>
    <row r="186">
      <c r="A186" s="2" t="inlineStr">
        <is>
          <t>CHN-85</t>
        </is>
      </c>
      <c r="B186" s="2" t="n">
        <v>16</v>
      </c>
      <c r="C186" s="2" t="inlineStr">
        <is>
          <t>IMP00311</t>
        </is>
      </c>
      <c r="D186" s="2" t="inlineStr">
        <is>
          <t>Horizon Commercial Co., Ltd</t>
        </is>
      </c>
      <c r="E186" s="2" t="n">
        <v>37</v>
      </c>
      <c r="F186" s="27" t="n">
        <v>73074902.19</v>
      </c>
      <c r="G186" s="28" t="n">
        <v>0.0145</v>
      </c>
      <c r="H186" s="19" t="n">
        <v>0.96</v>
      </c>
      <c r="I186" s="29" t="n">
        <v>0</v>
      </c>
      <c r="J186" s="2" t="inlineStr">
        <is>
          <t>EXP0418</t>
        </is>
      </c>
      <c r="K186" s="2" t="n">
        <v>5</v>
      </c>
      <c r="L186" s="2" t="inlineStr">
        <is>
          <t>BRK053</t>
        </is>
      </c>
      <c r="M186" s="2" t="inlineStr">
        <is>
          <t>PORT1</t>
        </is>
      </c>
      <c r="N186" s="2" t="n">
        <v>0</v>
      </c>
      <c r="O186" s="2" t="n">
        <v>0</v>
      </c>
      <c r="P186" s="2" t="n">
        <v>0</v>
      </c>
      <c r="Q186" s="2" t="n">
        <v>0</v>
      </c>
      <c r="R186" s="30">
        <f>IF(AND($C$5&lt;&gt;"",$A186=$C$5),1,"")</f>
        <v/>
      </c>
      <c r="S186" s="21">
        <f>IF(AND($C$5&lt;&gt;"",$A186=$C$5),SUMIFS($G$8:$G$715,$A$8:$A$715,$C$5,$B$8:$B$715,"&lt;="&amp;$B186),"")</f>
        <v/>
      </c>
      <c r="T186" s="24" t="n"/>
      <c r="U186" s="24" t="n"/>
    </row>
    <row r="187">
      <c r="A187" s="2" t="inlineStr">
        <is>
          <t>CHN-85</t>
        </is>
      </c>
      <c r="B187" s="2" t="n">
        <v>17</v>
      </c>
      <c r="C187" s="2" t="inlineStr">
        <is>
          <t>IMP00964</t>
        </is>
      </c>
      <c r="D187" s="2" t="inlineStr">
        <is>
          <t>Prescott Distribution Co.</t>
        </is>
      </c>
      <c r="E187" s="2" t="n">
        <v>22</v>
      </c>
      <c r="F187" s="27" t="n">
        <v>55788863.29</v>
      </c>
      <c r="G187" s="28" t="n">
        <v>0.0111</v>
      </c>
      <c r="H187" s="19" t="n">
        <v>0.952</v>
      </c>
      <c r="I187" s="29" t="n">
        <v>0.09089999999999999</v>
      </c>
      <c r="J187" s="2" t="inlineStr">
        <is>
          <t>EXP0069</t>
        </is>
      </c>
      <c r="K187" s="2" t="n">
        <v>6</v>
      </c>
      <c r="L187" s="2" t="inlineStr">
        <is>
          <t>BRK048</t>
        </is>
      </c>
      <c r="M187" s="2" t="inlineStr">
        <is>
          <t>PORT1</t>
        </is>
      </c>
      <c r="N187" s="2" t="n">
        <v>0</v>
      </c>
      <c r="O187" s="2" t="n">
        <v>0</v>
      </c>
      <c r="P187" s="2" t="n">
        <v>0</v>
      </c>
      <c r="Q187" s="2" t="n">
        <v>0</v>
      </c>
      <c r="R187" s="30">
        <f>IF(AND($C$5&lt;&gt;"",$A187=$C$5),1,"")</f>
        <v/>
      </c>
      <c r="S187" s="21">
        <f>IF(AND($C$5&lt;&gt;"",$A187=$C$5),SUMIFS($G$8:$G$715,$A$8:$A$715,$C$5,$B$8:$B$715,"&lt;="&amp;$B187),"")</f>
        <v/>
      </c>
      <c r="T187" s="24" t="n"/>
      <c r="U187" s="24" t="n"/>
    </row>
    <row r="188">
      <c r="A188" s="2" t="inlineStr">
        <is>
          <t>CHN-85</t>
        </is>
      </c>
      <c r="B188" s="2" t="n">
        <v>18</v>
      </c>
      <c r="C188" s="2" t="inlineStr">
        <is>
          <t>IMP00636</t>
        </is>
      </c>
      <c r="D188" s="2" t="inlineStr">
        <is>
          <t>Phoenix Distribution &amp; Sons</t>
        </is>
      </c>
      <c r="E188" s="2" t="n">
        <v>15</v>
      </c>
      <c r="F188" s="27" t="n">
        <v>44641975.08</v>
      </c>
      <c r="G188" s="28" t="n">
        <v>0.0089</v>
      </c>
      <c r="H188" s="19" t="n">
        <v>0.958</v>
      </c>
      <c r="I188" s="29" t="n">
        <v>0</v>
      </c>
      <c r="J188" s="2" t="inlineStr">
        <is>
          <t>EXP0453</t>
        </is>
      </c>
      <c r="K188" s="2" t="n">
        <v>7</v>
      </c>
      <c r="L188" s="2" t="inlineStr">
        <is>
          <t>BRK014</t>
        </is>
      </c>
      <c r="M188" s="2" t="inlineStr">
        <is>
          <t>LAND3</t>
        </is>
      </c>
      <c r="N188" s="2" t="n">
        <v>0</v>
      </c>
      <c r="O188" s="2" t="n">
        <v>0</v>
      </c>
      <c r="P188" s="2" t="n">
        <v>0</v>
      </c>
      <c r="Q188" s="2" t="n">
        <v>1</v>
      </c>
      <c r="R188" s="30">
        <f>IF(AND($C$5&lt;&gt;"",$A188=$C$5),1,"")</f>
        <v/>
      </c>
      <c r="S188" s="21">
        <f>IF(AND($C$5&lt;&gt;"",$A188=$C$5),SUMIFS($G$8:$G$715,$A$8:$A$715,$C$5,$B$8:$B$715,"&lt;="&amp;$B188),"")</f>
        <v/>
      </c>
      <c r="T188" s="24" t="n"/>
      <c r="U188" s="24" t="n"/>
    </row>
    <row r="189">
      <c r="A189" s="2" t="inlineStr">
        <is>
          <t>CHN-85</t>
        </is>
      </c>
      <c r="B189" s="2" t="n">
        <v>19</v>
      </c>
      <c r="C189" s="2" t="inlineStr">
        <is>
          <t>IMP00168</t>
        </is>
      </c>
      <c r="D189" s="2" t="inlineStr">
        <is>
          <t>Delta Electronics International Ltd</t>
        </is>
      </c>
      <c r="E189" s="2" t="n">
        <v>29</v>
      </c>
      <c r="F189" s="27" t="n">
        <v>43930839.76</v>
      </c>
      <c r="G189" s="28" t="n">
        <v>0.008699999999999999</v>
      </c>
      <c r="H189" s="19" t="n">
        <v>0.8955</v>
      </c>
      <c r="I189" s="29" t="n">
        <v>0.1379</v>
      </c>
      <c r="J189" s="2" t="inlineStr">
        <is>
          <t>EXP0035</t>
        </is>
      </c>
      <c r="K189" s="2" t="n">
        <v>3</v>
      </c>
      <c r="L189" s="2" t="inlineStr">
        <is>
          <t>BRK059</t>
        </is>
      </c>
      <c r="M189" s="2" t="inlineStr">
        <is>
          <t>LAND4</t>
        </is>
      </c>
      <c r="N189" s="2" t="n">
        <v>0</v>
      </c>
      <c r="O189" s="2" t="n">
        <v>0</v>
      </c>
      <c r="P189" s="2" t="n">
        <v>0</v>
      </c>
      <c r="Q189" s="2" t="n">
        <v>0</v>
      </c>
      <c r="R189" s="30">
        <f>IF(AND($C$5&lt;&gt;"",$A189=$C$5),1,"")</f>
        <v/>
      </c>
      <c r="S189" s="21">
        <f>IF(AND($C$5&lt;&gt;"",$A189=$C$5),SUMIFS($G$8:$G$715,$A$8:$A$715,$C$5,$B$8:$B$715,"&lt;="&amp;$B189),"")</f>
        <v/>
      </c>
      <c r="T189" s="24" t="n"/>
      <c r="U189" s="24" t="n"/>
    </row>
    <row r="190">
      <c r="A190" s="2" t="inlineStr">
        <is>
          <t>CHN-85</t>
        </is>
      </c>
      <c r="B190" s="2" t="n">
        <v>20</v>
      </c>
      <c r="C190" s="2" t="inlineStr">
        <is>
          <t>IMP01326</t>
        </is>
      </c>
      <c r="D190" s="2" t="inlineStr">
        <is>
          <t>Prescott Textiles Holdings Ltd</t>
        </is>
      </c>
      <c r="E190" s="2" t="n">
        <v>12</v>
      </c>
      <c r="F190" s="27" t="n">
        <v>38561952.48</v>
      </c>
      <c r="G190" s="28" t="n">
        <v>0.0076</v>
      </c>
      <c r="H190" s="19" t="n">
        <v>0.9415</v>
      </c>
      <c r="I190" s="29" t="n">
        <v>0.0833</v>
      </c>
      <c r="J190" s="2" t="inlineStr">
        <is>
          <t>EXP0453</t>
        </is>
      </c>
      <c r="K190" s="2" t="n">
        <v>7</v>
      </c>
      <c r="L190" s="2" t="inlineStr">
        <is>
          <t>BRK075</t>
        </is>
      </c>
      <c r="M190" s="2" t="inlineStr">
        <is>
          <t>PORT2</t>
        </is>
      </c>
      <c r="N190" s="2" t="n">
        <v>0</v>
      </c>
      <c r="O190" s="2" t="n">
        <v>0</v>
      </c>
      <c r="P190" s="2" t="n">
        <v>0</v>
      </c>
      <c r="Q190" s="2" t="n">
        <v>0</v>
      </c>
      <c r="R190" s="30">
        <f>IF(AND($C$5&lt;&gt;"",$A190=$C$5),1,"")</f>
        <v/>
      </c>
      <c r="S190" s="21">
        <f>IF(AND($C$5&lt;&gt;"",$A190=$C$5),SUMIFS($G$8:$G$715,$A$8:$A$715,$C$5,$B$8:$B$715,"&lt;="&amp;$B190),"")</f>
        <v/>
      </c>
      <c r="T190" s="24" t="n"/>
      <c r="U190" s="24" t="n"/>
    </row>
    <row r="191">
      <c r="A191" s="2" t="inlineStr">
        <is>
          <t>CHN-85</t>
        </is>
      </c>
      <c r="B191" s="2" t="n">
        <v>21</v>
      </c>
      <c r="C191" s="2" t="inlineStr">
        <is>
          <t>IMP00904</t>
        </is>
      </c>
      <c r="D191" s="2" t="inlineStr">
        <is>
          <t>Twin Rivers Mobile Limited</t>
        </is>
      </c>
      <c r="E191" s="2" t="n">
        <v>9</v>
      </c>
      <c r="F191" s="27" t="n">
        <v>34865043.76</v>
      </c>
      <c r="G191" s="28" t="n">
        <v>0.0069</v>
      </c>
      <c r="H191" s="19" t="n">
        <v>0.793</v>
      </c>
      <c r="I191" s="29" t="n">
        <v>0.3333</v>
      </c>
      <c r="J191" s="2" t="inlineStr">
        <is>
          <t>EXP0287</t>
        </is>
      </c>
      <c r="K191" s="2" t="n">
        <v>2</v>
      </c>
      <c r="L191" s="2" t="inlineStr">
        <is>
          <t>BRK056</t>
        </is>
      </c>
      <c r="M191" s="2" t="inlineStr">
        <is>
          <t>AIR1</t>
        </is>
      </c>
      <c r="N191" s="2" t="n">
        <v>0</v>
      </c>
      <c r="O191" s="2" t="n">
        <v>0</v>
      </c>
      <c r="P191" s="2" t="n">
        <v>0</v>
      </c>
      <c r="Q191" s="2" t="n">
        <v>1</v>
      </c>
      <c r="R191" s="30">
        <f>IF(AND($C$5&lt;&gt;"",$A191=$C$5),1,"")</f>
        <v/>
      </c>
      <c r="S191" s="21">
        <f>IF(AND($C$5&lt;&gt;"",$A191=$C$5),SUMIFS($G$8:$G$715,$A$8:$A$715,$C$5,$B$8:$B$715,"&lt;="&amp;$B191),"")</f>
        <v/>
      </c>
      <c r="T191" s="24" t="n"/>
      <c r="U191" s="24" t="n"/>
    </row>
    <row r="192">
      <c r="A192" s="2" t="inlineStr">
        <is>
          <t>CHN-85</t>
        </is>
      </c>
      <c r="B192" s="2" t="n">
        <v>22</v>
      </c>
      <c r="C192" s="2" t="inlineStr">
        <is>
          <t>IMP00805</t>
        </is>
      </c>
      <c r="D192" s="2" t="inlineStr">
        <is>
          <t>Pacific Glow &amp; Sons</t>
        </is>
      </c>
      <c r="E192" s="2" t="n">
        <v>8</v>
      </c>
      <c r="F192" s="27" t="n">
        <v>30833587.69</v>
      </c>
      <c r="G192" s="28" t="n">
        <v>0.0061</v>
      </c>
      <c r="H192" s="19" t="n">
        <v>0.9745</v>
      </c>
      <c r="I192" s="29" t="n">
        <v>0</v>
      </c>
      <c r="J192" s="2" t="inlineStr">
        <is>
          <t>EXP0517</t>
        </is>
      </c>
      <c r="K192" s="2" t="n">
        <v>8</v>
      </c>
      <c r="L192" s="2" t="inlineStr">
        <is>
          <t>BRK055</t>
        </is>
      </c>
      <c r="M192" s="2" t="inlineStr">
        <is>
          <t>PORT2</t>
        </is>
      </c>
      <c r="N192" s="2" t="n">
        <v>1</v>
      </c>
      <c r="O192" s="2" t="n">
        <v>0</v>
      </c>
      <c r="P192" s="2" t="n">
        <v>0</v>
      </c>
      <c r="Q192" s="2" t="n">
        <v>0</v>
      </c>
      <c r="R192" s="30">
        <f>IF(AND($C$5&lt;&gt;"",$A192=$C$5),1,"")</f>
        <v/>
      </c>
      <c r="S192" s="21">
        <f>IF(AND($C$5&lt;&gt;"",$A192=$C$5),SUMIFS($G$8:$G$715,$A$8:$A$715,$C$5,$B$8:$B$715,"&lt;="&amp;$B192),"")</f>
        <v/>
      </c>
      <c r="T192" s="24" t="n"/>
      <c r="U192" s="24" t="n"/>
    </row>
    <row r="193">
      <c r="A193" s="2" t="inlineStr">
        <is>
          <t>CHN-85</t>
        </is>
      </c>
      <c r="B193" s="2" t="n">
        <v>23</v>
      </c>
      <c r="C193" s="2" t="inlineStr">
        <is>
          <t>IMP01485</t>
        </is>
      </c>
      <c r="D193" s="2" t="inlineStr">
        <is>
          <t>Central Living Enterprises</t>
        </is>
      </c>
      <c r="E193" s="2" t="n">
        <v>14</v>
      </c>
      <c r="F193" s="27" t="n">
        <v>30415519.27</v>
      </c>
      <c r="G193" s="28" t="n">
        <v>0.006</v>
      </c>
      <c r="H193" s="19" t="n">
        <v>1.053</v>
      </c>
      <c r="I193" s="29" t="n">
        <v>0</v>
      </c>
      <c r="J193" s="2" t="inlineStr">
        <is>
          <t>EXP0128</t>
        </is>
      </c>
      <c r="K193" s="2" t="n">
        <v>3</v>
      </c>
      <c r="L193" s="2" t="inlineStr">
        <is>
          <t>BRK032</t>
        </is>
      </c>
      <c r="M193" s="2" t="inlineStr">
        <is>
          <t>AIR1</t>
        </is>
      </c>
      <c r="N193" s="2" t="n">
        <v>1</v>
      </c>
      <c r="O193" s="2" t="n">
        <v>0</v>
      </c>
      <c r="P193" s="2" t="n">
        <v>0</v>
      </c>
      <c r="Q193" s="2" t="n">
        <v>0</v>
      </c>
      <c r="R193" s="30">
        <f>IF(AND($C$5&lt;&gt;"",$A193=$C$5),1,"")</f>
        <v/>
      </c>
      <c r="S193" s="21">
        <f>IF(AND($C$5&lt;&gt;"",$A193=$C$5),SUMIFS($G$8:$G$715,$A$8:$A$715,$C$5,$B$8:$B$715,"&lt;="&amp;$B193),"")</f>
        <v/>
      </c>
      <c r="T193" s="24" t="n"/>
      <c r="U193" s="24" t="n"/>
    </row>
    <row r="194">
      <c r="A194" s="2" t="inlineStr">
        <is>
          <t>CHN-85</t>
        </is>
      </c>
      <c r="B194" s="2" t="n">
        <v>24</v>
      </c>
      <c r="C194" s="2" t="inlineStr">
        <is>
          <t>IMP01086</t>
        </is>
      </c>
      <c r="D194" s="2" t="inlineStr">
        <is>
          <t>Global Electronics Co., Ltd</t>
        </is>
      </c>
      <c r="E194" s="2" t="n">
        <v>10</v>
      </c>
      <c r="F194" s="27" t="n">
        <v>29609078.69</v>
      </c>
      <c r="G194" s="28" t="n">
        <v>0.0059</v>
      </c>
      <c r="H194" s="19" t="n">
        <v>0.99</v>
      </c>
      <c r="I194" s="29" t="n">
        <v>0</v>
      </c>
      <c r="J194" s="2" t="inlineStr">
        <is>
          <t>EXP0169</t>
        </is>
      </c>
      <c r="K194" s="2" t="n">
        <v>9</v>
      </c>
      <c r="L194" s="2" t="inlineStr">
        <is>
          <t>BRK024</t>
        </is>
      </c>
      <c r="M194" s="2" t="inlineStr">
        <is>
          <t>AIR1</t>
        </is>
      </c>
      <c r="N194" s="2" t="n">
        <v>0</v>
      </c>
      <c r="O194" s="2" t="n">
        <v>0</v>
      </c>
      <c r="P194" s="2" t="n">
        <v>0</v>
      </c>
      <c r="Q194" s="2" t="n">
        <v>0</v>
      </c>
      <c r="R194" s="30">
        <f>IF(AND($C$5&lt;&gt;"",$A194=$C$5),1,"")</f>
        <v/>
      </c>
      <c r="S194" s="21">
        <f>IF(AND($C$5&lt;&gt;"",$A194=$C$5),SUMIFS($G$8:$G$715,$A$8:$A$715,$C$5,$B$8:$B$715,"&lt;="&amp;$B194),"")</f>
        <v/>
      </c>
      <c r="T194" s="24" t="n"/>
      <c r="U194" s="24" t="n"/>
    </row>
    <row r="195">
      <c r="A195" s="2" t="inlineStr">
        <is>
          <t>CHN-85</t>
        </is>
      </c>
      <c r="B195" s="2" t="n">
        <v>25</v>
      </c>
      <c r="C195" s="2" t="inlineStr">
        <is>
          <t>IMP01366</t>
        </is>
      </c>
      <c r="D195" s="2" t="inlineStr">
        <is>
          <t>Orchid Glow Co.</t>
        </is>
      </c>
      <c r="E195" s="2" t="n">
        <v>10</v>
      </c>
      <c r="F195" s="27" t="n">
        <v>29204211.63</v>
      </c>
      <c r="G195" s="28" t="n">
        <v>0.0058</v>
      </c>
      <c r="H195" s="19" t="n">
        <v>0.911</v>
      </c>
      <c r="I195" s="29" t="n">
        <v>0.2</v>
      </c>
      <c r="J195" s="2" t="inlineStr">
        <is>
          <t>EXP0485</t>
        </is>
      </c>
      <c r="K195" s="2" t="n">
        <v>4</v>
      </c>
      <c r="L195" s="2" t="inlineStr">
        <is>
          <t>BRK063</t>
        </is>
      </c>
      <c r="M195" s="2" t="inlineStr">
        <is>
          <t>PORT1</t>
        </is>
      </c>
      <c r="N195" s="2" t="n">
        <v>0</v>
      </c>
      <c r="O195" s="2" t="n">
        <v>0</v>
      </c>
      <c r="P195" s="2" t="n">
        <v>0</v>
      </c>
      <c r="Q195" s="2" t="n">
        <v>0</v>
      </c>
      <c r="R195" s="30">
        <f>IF(AND($C$5&lt;&gt;"",$A195=$C$5),1,"")</f>
        <v/>
      </c>
      <c r="S195" s="21">
        <f>IF(AND($C$5&lt;&gt;"",$A195=$C$5),SUMIFS($G$8:$G$715,$A$8:$A$715,$C$5,$B$8:$B$715,"&lt;="&amp;$B195),"")</f>
        <v/>
      </c>
      <c r="T195" s="24" t="n"/>
      <c r="U195" s="24" t="n"/>
    </row>
    <row r="196">
      <c r="A196" s="2" t="inlineStr">
        <is>
          <t>CHN-85</t>
        </is>
      </c>
      <c r="B196" s="2" t="n">
        <v>26</v>
      </c>
      <c r="C196" s="2" t="inlineStr">
        <is>
          <t>IMP00024</t>
        </is>
      </c>
      <c r="D196" s="2" t="inlineStr">
        <is>
          <t>Pacific Glow Co.</t>
        </is>
      </c>
      <c r="E196" s="2" t="n">
        <v>12</v>
      </c>
      <c r="F196" s="27" t="n">
        <v>27175456.63</v>
      </c>
      <c r="G196" s="28" t="n">
        <v>0.0054</v>
      </c>
      <c r="H196" s="19" t="n">
        <v>0.9495</v>
      </c>
      <c r="I196" s="29" t="n">
        <v>0</v>
      </c>
      <c r="J196" s="2" t="inlineStr">
        <is>
          <t>EXP0333</t>
        </is>
      </c>
      <c r="K196" s="2" t="n">
        <v>6</v>
      </c>
      <c r="L196" s="2" t="inlineStr">
        <is>
          <t>BRK016</t>
        </is>
      </c>
      <c r="M196" s="2" t="inlineStr">
        <is>
          <t>LAND4</t>
        </is>
      </c>
      <c r="N196" s="2" t="n">
        <v>0</v>
      </c>
      <c r="O196" s="2" t="n">
        <v>0</v>
      </c>
      <c r="P196" s="2" t="n">
        <v>0</v>
      </c>
      <c r="Q196" s="2" t="n">
        <v>0</v>
      </c>
      <c r="R196" s="30">
        <f>IF(AND($C$5&lt;&gt;"",$A196=$C$5),1,"")</f>
        <v/>
      </c>
      <c r="S196" s="21">
        <f>IF(AND($C$5&lt;&gt;"",$A196=$C$5),SUMIFS($G$8:$G$715,$A$8:$A$715,$C$5,$B$8:$B$715,"&lt;="&amp;$B196),"")</f>
        <v/>
      </c>
      <c r="T196" s="24" t="n"/>
      <c r="U196" s="24" t="n"/>
    </row>
    <row r="197">
      <c r="A197" s="2" t="inlineStr">
        <is>
          <t>CHN-85</t>
        </is>
      </c>
      <c r="B197" s="2" t="n">
        <v>27</v>
      </c>
      <c r="C197" s="2" t="inlineStr">
        <is>
          <t>IMP00363</t>
        </is>
      </c>
      <c r="D197" s="2" t="inlineStr">
        <is>
          <t>Aldergate Imports Group Ltd</t>
        </is>
      </c>
      <c r="E197" s="2" t="n">
        <v>18</v>
      </c>
      <c r="F197" s="27" t="n">
        <v>26669460.59</v>
      </c>
      <c r="G197" s="28" t="n">
        <v>0.0053</v>
      </c>
      <c r="H197" s="19" t="n">
        <v>0.9665</v>
      </c>
      <c r="I197" s="29" t="n">
        <v>0.0556</v>
      </c>
      <c r="J197" s="2" t="inlineStr">
        <is>
          <t>EXP0235</t>
        </is>
      </c>
      <c r="K197" s="2" t="n">
        <v>5</v>
      </c>
      <c r="L197" s="2" t="inlineStr">
        <is>
          <t>BRK051</t>
        </is>
      </c>
      <c r="M197" s="2" t="inlineStr">
        <is>
          <t>AIR2</t>
        </is>
      </c>
      <c r="N197" s="2" t="n">
        <v>0</v>
      </c>
      <c r="O197" s="2" t="n">
        <v>0</v>
      </c>
      <c r="P197" s="2" t="n">
        <v>0</v>
      </c>
      <c r="Q197" s="2" t="n">
        <v>0</v>
      </c>
      <c r="R197" s="30">
        <f>IF(AND($C$5&lt;&gt;"",$A197=$C$5),1,"")</f>
        <v/>
      </c>
      <c r="S197" s="21">
        <f>IF(AND($C$5&lt;&gt;"",$A197=$C$5),SUMIFS($G$8:$G$715,$A$8:$A$715,$C$5,$B$8:$B$715,"&lt;="&amp;$B197),"")</f>
        <v/>
      </c>
      <c r="T197" s="24" t="n"/>
      <c r="U197" s="24" t="n"/>
    </row>
    <row r="198">
      <c r="A198" s="2" t="inlineStr">
        <is>
          <t>CHN-85</t>
        </is>
      </c>
      <c r="B198" s="2" t="n">
        <v>28</v>
      </c>
      <c r="C198" s="2" t="inlineStr">
        <is>
          <t>IMP01418</t>
        </is>
      </c>
      <c r="D198" s="2" t="inlineStr">
        <is>
          <t>Evergreen Supply Co., Ltd</t>
        </is>
      </c>
      <c r="E198" s="2" t="n">
        <v>7</v>
      </c>
      <c r="F198" s="27" t="n">
        <v>24546408.17</v>
      </c>
      <c r="G198" s="28" t="n">
        <v>0.0049</v>
      </c>
      <c r="H198" s="19" t="n">
        <v>0.97</v>
      </c>
      <c r="I198" s="29" t="n">
        <v>0.1429</v>
      </c>
      <c r="J198" s="2" t="inlineStr">
        <is>
          <t>EXP0044</t>
        </is>
      </c>
      <c r="K198" s="2" t="n">
        <v>5</v>
      </c>
      <c r="L198" s="2" t="inlineStr">
        <is>
          <t>BRK066</t>
        </is>
      </c>
      <c r="M198" s="2" t="inlineStr">
        <is>
          <t>PORT1</t>
        </is>
      </c>
      <c r="N198" s="2" t="n">
        <v>0</v>
      </c>
      <c r="O198" s="2" t="n">
        <v>0</v>
      </c>
      <c r="P198" s="2" t="n">
        <v>0</v>
      </c>
      <c r="Q198" s="2" t="n">
        <v>0</v>
      </c>
      <c r="R198" s="30">
        <f>IF(AND($C$5&lt;&gt;"",$A198=$C$5),1,"")</f>
        <v/>
      </c>
      <c r="S198" s="21">
        <f>IF(AND($C$5&lt;&gt;"",$A198=$C$5),SUMIFS($G$8:$G$715,$A$8:$A$715,$C$5,$B$8:$B$715,"&lt;="&amp;$B198),"")</f>
        <v/>
      </c>
      <c r="T198" s="24" t="n"/>
      <c r="U198" s="24" t="n"/>
    </row>
    <row r="199">
      <c r="A199" s="2" t="inlineStr">
        <is>
          <t>CHN-85</t>
        </is>
      </c>
      <c r="B199" s="2" t="n">
        <v>29</v>
      </c>
      <c r="C199" s="2" t="inlineStr">
        <is>
          <t>IMP01001</t>
        </is>
      </c>
      <c r="D199" s="2" t="inlineStr">
        <is>
          <t>Star Pack Enterprises</t>
        </is>
      </c>
      <c r="E199" s="2" t="n">
        <v>13</v>
      </c>
      <c r="F199" s="27" t="n">
        <v>19935474.92</v>
      </c>
      <c r="G199" s="28" t="n">
        <v>0.004</v>
      </c>
      <c r="H199" s="19" t="n">
        <v>0.6879999999999999</v>
      </c>
      <c r="I199" s="29" t="n">
        <v>0.8462</v>
      </c>
      <c r="J199" s="2" t="inlineStr">
        <is>
          <t>EXP0048</t>
        </is>
      </c>
      <c r="K199" s="2" t="n">
        <v>4</v>
      </c>
      <c r="L199" s="2" t="inlineStr">
        <is>
          <t>BRK059</t>
        </is>
      </c>
      <c r="M199" s="2" t="inlineStr">
        <is>
          <t>PORT1</t>
        </is>
      </c>
      <c r="N199" s="2" t="n">
        <v>0</v>
      </c>
      <c r="O199" s="2" t="n">
        <v>0</v>
      </c>
      <c r="P199" s="2" t="n">
        <v>1</v>
      </c>
      <c r="Q199" s="2" t="n">
        <v>0</v>
      </c>
      <c r="R199" s="30">
        <f>IF(AND($C$5&lt;&gt;"",$A199=$C$5),1,"")</f>
        <v/>
      </c>
      <c r="S199" s="21">
        <f>IF(AND($C$5&lt;&gt;"",$A199=$C$5),SUMIFS($G$8:$G$715,$A$8:$A$715,$C$5,$B$8:$B$715,"&lt;="&amp;$B199),"")</f>
        <v/>
      </c>
      <c r="T199" s="24" t="n"/>
      <c r="U199" s="24" t="n"/>
    </row>
    <row r="200">
      <c r="A200" s="2" t="inlineStr">
        <is>
          <t>CHN-85</t>
        </is>
      </c>
      <c r="B200" s="2" t="n">
        <v>30</v>
      </c>
      <c r="C200" s="2" t="inlineStr">
        <is>
          <t>IMP01394</t>
        </is>
      </c>
      <c r="D200" s="2" t="inlineStr">
        <is>
          <t>Phoenix Mobile Ltd</t>
        </is>
      </c>
      <c r="E200" s="2" t="n">
        <v>8</v>
      </c>
      <c r="F200" s="27" t="n">
        <v>18169888.41</v>
      </c>
      <c r="G200" s="28" t="n">
        <v>0.0036</v>
      </c>
      <c r="H200" s="19" t="n">
        <v>1.0475</v>
      </c>
      <c r="I200" s="29" t="n">
        <v>0</v>
      </c>
      <c r="J200" s="2" t="inlineStr">
        <is>
          <t>EXP0177</t>
        </is>
      </c>
      <c r="K200" s="2" t="n">
        <v>6</v>
      </c>
      <c r="L200" s="2" t="inlineStr">
        <is>
          <t>BRK069</t>
        </is>
      </c>
      <c r="M200" s="2" t="inlineStr">
        <is>
          <t>PORT1</t>
        </is>
      </c>
      <c r="N200" s="2" t="n">
        <v>0</v>
      </c>
      <c r="O200" s="2" t="n">
        <v>0</v>
      </c>
      <c r="P200" s="2" t="n">
        <v>0</v>
      </c>
      <c r="Q200" s="2" t="n">
        <v>1</v>
      </c>
      <c r="R200" s="30">
        <f>IF(AND($C$5&lt;&gt;"",$A200=$C$5),1,"")</f>
        <v/>
      </c>
      <c r="S200" s="21">
        <f>IF(AND($C$5&lt;&gt;"",$A200=$C$5),SUMIFS($G$8:$G$715,$A$8:$A$715,$C$5,$B$8:$B$715,"&lt;="&amp;$B200),"")</f>
        <v/>
      </c>
      <c r="T200" s="24" t="n"/>
      <c r="U200" s="24" t="n"/>
    </row>
    <row r="201">
      <c r="A201" s="2" t="inlineStr">
        <is>
          <t>CHN-85</t>
        </is>
      </c>
      <c r="B201" s="2" t="n">
        <v>31</v>
      </c>
      <c r="C201" s="2" t="inlineStr">
        <is>
          <t>IMP00909</t>
        </is>
      </c>
      <c r="D201" s="2" t="inlineStr">
        <is>
          <t>Carrick Living Partners Ltd</t>
        </is>
      </c>
      <c r="E201" s="2" t="n">
        <v>5</v>
      </c>
      <c r="F201" s="27" t="n">
        <v>17583058.2</v>
      </c>
      <c r="G201" s="28" t="n">
        <v>0.0035</v>
      </c>
      <c r="H201" s="19" t="n">
        <v>1.114</v>
      </c>
      <c r="I201" s="29" t="n">
        <v>0</v>
      </c>
      <c r="J201" s="2" t="inlineStr">
        <is>
          <t>EXP0128</t>
        </is>
      </c>
      <c r="K201" s="2" t="n">
        <v>3</v>
      </c>
      <c r="L201" s="2" t="inlineStr">
        <is>
          <t>BRK014</t>
        </is>
      </c>
      <c r="M201" s="2" t="inlineStr">
        <is>
          <t>LAND6</t>
        </is>
      </c>
      <c r="N201" s="2" t="n">
        <v>0</v>
      </c>
      <c r="O201" s="2" t="n">
        <v>0</v>
      </c>
      <c r="P201" s="2" t="n">
        <v>0</v>
      </c>
      <c r="Q201" s="2" t="n">
        <v>0</v>
      </c>
      <c r="R201" s="30">
        <f>IF(AND($C$5&lt;&gt;"",$A201=$C$5),1,"")</f>
        <v/>
      </c>
      <c r="S201" s="21">
        <f>IF(AND($C$5&lt;&gt;"",$A201=$C$5),SUMIFS($G$8:$G$715,$A$8:$A$715,$C$5,$B$8:$B$715,"&lt;="&amp;$B201),"")</f>
        <v/>
      </c>
      <c r="T201" s="24" t="n"/>
      <c r="U201" s="24" t="n"/>
    </row>
    <row r="202">
      <c r="A202" s="2" t="inlineStr">
        <is>
          <t>CHN-85</t>
        </is>
      </c>
      <c r="B202" s="2" t="n">
        <v>32</v>
      </c>
      <c r="C202" s="2" t="inlineStr">
        <is>
          <t>IMP01124</t>
        </is>
      </c>
      <c r="D202" s="2" t="inlineStr">
        <is>
          <t>Royal Trading &amp; Sons</t>
        </is>
      </c>
      <c r="E202" s="2" t="n">
        <v>9</v>
      </c>
      <c r="F202" s="27" t="n">
        <v>12822676.16</v>
      </c>
      <c r="G202" s="28" t="n">
        <v>0.0025</v>
      </c>
      <c r="H202" s="19" t="n">
        <v>0.798</v>
      </c>
      <c r="I202" s="29" t="n">
        <v>0</v>
      </c>
      <c r="J202" s="2" t="inlineStr">
        <is>
          <t>EXP0178</t>
        </is>
      </c>
      <c r="K202" s="2" t="n">
        <v>4</v>
      </c>
      <c r="L202" s="2" t="inlineStr">
        <is>
          <t>BRK078</t>
        </is>
      </c>
      <c r="M202" s="2" t="inlineStr">
        <is>
          <t>PORT1</t>
        </is>
      </c>
      <c r="N202" s="2" t="n">
        <v>1</v>
      </c>
      <c r="O202" s="2" t="n">
        <v>1</v>
      </c>
      <c r="P202" s="2" t="n">
        <v>0</v>
      </c>
      <c r="Q202" s="2" t="n">
        <v>0</v>
      </c>
      <c r="R202" s="30">
        <f>IF(AND($C$5&lt;&gt;"",$A202=$C$5),1,"")</f>
        <v/>
      </c>
      <c r="S202" s="21">
        <f>IF(AND($C$5&lt;&gt;"",$A202=$C$5),SUMIFS($G$8:$G$715,$A$8:$A$715,$C$5,$B$8:$B$715,"&lt;="&amp;$B202),"")</f>
        <v/>
      </c>
      <c r="T202" s="24" t="n"/>
      <c r="U202" s="24" t="n"/>
    </row>
    <row r="203">
      <c r="A203" s="2" t="inlineStr">
        <is>
          <t>CHN-85</t>
        </is>
      </c>
      <c r="B203" s="2" t="n">
        <v>33</v>
      </c>
      <c r="C203" s="2" t="inlineStr">
        <is>
          <t>IMP00723</t>
        </is>
      </c>
      <c r="D203" s="2" t="inlineStr">
        <is>
          <t>Twin Rivers Living Ltd</t>
        </is>
      </c>
      <c r="E203" s="2" t="n">
        <v>6</v>
      </c>
      <c r="F203" s="27" t="n">
        <v>12328464.4</v>
      </c>
      <c r="G203" s="28" t="n">
        <v>0.0024</v>
      </c>
      <c r="H203" s="19" t="n">
        <v>0.773</v>
      </c>
      <c r="I203" s="29" t="n">
        <v>0.5</v>
      </c>
      <c r="J203" s="2" t="inlineStr">
        <is>
          <t>EXP0453</t>
        </is>
      </c>
      <c r="K203" s="2" t="n">
        <v>7</v>
      </c>
      <c r="L203" s="2" t="inlineStr">
        <is>
          <t>BRK044</t>
        </is>
      </c>
      <c r="M203" s="2" t="inlineStr">
        <is>
          <t>PORT3</t>
        </is>
      </c>
      <c r="N203" s="2" t="n">
        <v>0</v>
      </c>
      <c r="O203" s="2" t="n">
        <v>0</v>
      </c>
      <c r="P203" s="2" t="n">
        <v>0</v>
      </c>
      <c r="Q203" s="2" t="n">
        <v>0</v>
      </c>
      <c r="R203" s="30">
        <f>IF(AND($C$5&lt;&gt;"",$A203=$C$5),1,"")</f>
        <v/>
      </c>
      <c r="S203" s="21">
        <f>IF(AND($C$5&lt;&gt;"",$A203=$C$5),SUMIFS($G$8:$G$715,$A$8:$A$715,$C$5,$B$8:$B$715,"&lt;="&amp;$B203),"")</f>
        <v/>
      </c>
      <c r="T203" s="24" t="n"/>
      <c r="U203" s="24" t="n"/>
    </row>
    <row r="204">
      <c r="A204" s="2" t="inlineStr">
        <is>
          <t>CHN-85</t>
        </is>
      </c>
      <c r="B204" s="2" t="n">
        <v>34</v>
      </c>
      <c r="C204" s="2" t="inlineStr">
        <is>
          <t>IMP01442</t>
        </is>
      </c>
      <c r="D204" s="2" t="inlineStr">
        <is>
          <t>Crown Pack &amp; Sons</t>
        </is>
      </c>
      <c r="E204" s="2" t="n">
        <v>1</v>
      </c>
      <c r="F204" s="27" t="n">
        <v>11875852.72</v>
      </c>
      <c r="G204" s="28" t="n">
        <v>0.0024</v>
      </c>
      <c r="H204" s="19" t="n">
        <v>0.888</v>
      </c>
      <c r="I204" s="29" t="n">
        <v>0</v>
      </c>
      <c r="J204" s="2" t="inlineStr">
        <is>
          <t>EXP0406</t>
        </is>
      </c>
      <c r="K204" s="2" t="n">
        <v>6</v>
      </c>
      <c r="L204" s="2" t="inlineStr">
        <is>
          <t>BRK074</t>
        </is>
      </c>
      <c r="M204" s="2" t="inlineStr">
        <is>
          <t>PORT1</t>
        </is>
      </c>
      <c r="N204" s="2" t="n">
        <v>0</v>
      </c>
      <c r="O204" s="2" t="n">
        <v>0</v>
      </c>
      <c r="P204" s="2" t="n">
        <v>0</v>
      </c>
      <c r="Q204" s="2" t="n">
        <v>0</v>
      </c>
      <c r="R204" s="30">
        <f>IF(AND($C$5&lt;&gt;"",$A204=$C$5),1,"")</f>
        <v/>
      </c>
      <c r="S204" s="21">
        <f>IF(AND($C$5&lt;&gt;"",$A204=$C$5),SUMIFS($G$8:$G$715,$A$8:$A$715,$C$5,$B$8:$B$715,"&lt;="&amp;$B204),"")</f>
        <v/>
      </c>
      <c r="T204" s="24" t="n"/>
      <c r="U204" s="24" t="n"/>
    </row>
    <row r="205">
      <c r="A205" s="2" t="inlineStr">
        <is>
          <t>CHN-85</t>
        </is>
      </c>
      <c r="B205" s="2" t="n">
        <v>35</v>
      </c>
      <c r="C205" s="2" t="inlineStr">
        <is>
          <t>IMP00371</t>
        </is>
      </c>
      <c r="D205" s="2" t="inlineStr">
        <is>
          <t>Sunrise Trading International Ltd</t>
        </is>
      </c>
      <c r="E205" s="2" t="n">
        <v>8</v>
      </c>
      <c r="F205" s="27" t="n">
        <v>11707630.41</v>
      </c>
      <c r="G205" s="28" t="n">
        <v>0.0023</v>
      </c>
      <c r="H205" s="19" t="n">
        <v>0.9365</v>
      </c>
      <c r="I205" s="29" t="n">
        <v>0.125</v>
      </c>
      <c r="J205" s="2" t="inlineStr">
        <is>
          <t>EXP0094</t>
        </is>
      </c>
      <c r="K205" s="2" t="n">
        <v>4</v>
      </c>
      <c r="L205" s="2" t="inlineStr">
        <is>
          <t>BRK046</t>
        </is>
      </c>
      <c r="M205" s="2" t="inlineStr">
        <is>
          <t>AIR2</t>
        </is>
      </c>
      <c r="N205" s="2" t="n">
        <v>0</v>
      </c>
      <c r="O205" s="2" t="n">
        <v>0</v>
      </c>
      <c r="P205" s="2" t="n">
        <v>0</v>
      </c>
      <c r="Q205" s="2" t="n">
        <v>0</v>
      </c>
      <c r="R205" s="30">
        <f>IF(AND($C$5&lt;&gt;"",$A205=$C$5),1,"")</f>
        <v/>
      </c>
      <c r="S205" s="21">
        <f>IF(AND($C$5&lt;&gt;"",$A205=$C$5),SUMIFS($G$8:$G$715,$A$8:$A$715,$C$5,$B$8:$B$715,"&lt;="&amp;$B205),"")</f>
        <v/>
      </c>
      <c r="T205" s="24" t="n"/>
      <c r="U205" s="24" t="n"/>
    </row>
    <row r="206">
      <c r="A206" s="2" t="inlineStr">
        <is>
          <t>CHN-85</t>
        </is>
      </c>
      <c r="B206" s="2" t="n">
        <v>36</v>
      </c>
      <c r="C206" s="2" t="inlineStr">
        <is>
          <t>IMP00772</t>
        </is>
      </c>
      <c r="D206" s="2" t="inlineStr">
        <is>
          <t>Delta Trading Enterprises</t>
        </is>
      </c>
      <c r="E206" s="2" t="n">
        <v>2</v>
      </c>
      <c r="F206" s="27" t="n">
        <v>10357872.55</v>
      </c>
      <c r="G206" s="28" t="n">
        <v>0.0021</v>
      </c>
      <c r="H206" s="19" t="n">
        <v>0.8335</v>
      </c>
      <c r="I206" s="29" t="n">
        <v>0</v>
      </c>
      <c r="J206" s="2" t="inlineStr">
        <is>
          <t>EXP0501</t>
        </is>
      </c>
      <c r="K206" s="2" t="n">
        <v>3</v>
      </c>
      <c r="L206" s="2" t="inlineStr">
        <is>
          <t>BRK049</t>
        </is>
      </c>
      <c r="M206" s="2" t="inlineStr">
        <is>
          <t>LAND1</t>
        </is>
      </c>
      <c r="N206" s="2" t="n">
        <v>0</v>
      </c>
      <c r="O206" s="2" t="n">
        <v>0</v>
      </c>
      <c r="P206" s="2" t="n">
        <v>0</v>
      </c>
      <c r="Q206" s="2" t="n">
        <v>0</v>
      </c>
      <c r="R206" s="30">
        <f>IF(AND($C$5&lt;&gt;"",$A206=$C$5),1,"")</f>
        <v/>
      </c>
      <c r="S206" s="21">
        <f>IF(AND($C$5&lt;&gt;"",$A206=$C$5),SUMIFS($G$8:$G$715,$A$8:$A$715,$C$5,$B$8:$B$715,"&lt;="&amp;$B206),"")</f>
        <v/>
      </c>
      <c r="T206" s="24" t="n"/>
      <c r="U206" s="24" t="n"/>
    </row>
    <row r="207">
      <c r="A207" s="2" t="inlineStr">
        <is>
          <t>CHN-85</t>
        </is>
      </c>
      <c r="B207" s="2" t="n">
        <v>37</v>
      </c>
      <c r="C207" s="2" t="inlineStr">
        <is>
          <t>IMP00789</t>
        </is>
      </c>
      <c r="D207" s="2" t="inlineStr">
        <is>
          <t>Twin Rivers Electronics &amp; Sons</t>
        </is>
      </c>
      <c r="E207" s="2" t="n">
        <v>5</v>
      </c>
      <c r="F207" s="27" t="n">
        <v>8318740.92</v>
      </c>
      <c r="G207" s="28" t="n">
        <v>0.0016</v>
      </c>
      <c r="H207" s="19" t="n">
        <v>0.803</v>
      </c>
      <c r="I207" s="29" t="n">
        <v>0.2</v>
      </c>
      <c r="J207" s="2" t="inlineStr">
        <is>
          <t>EXP0300</t>
        </is>
      </c>
      <c r="K207" s="2" t="n">
        <v>5</v>
      </c>
      <c r="L207" s="2" t="inlineStr">
        <is>
          <t>BRK012</t>
        </is>
      </c>
      <c r="M207" s="2" t="inlineStr">
        <is>
          <t>PORT3</t>
        </is>
      </c>
      <c r="N207" s="2" t="n">
        <v>0</v>
      </c>
      <c r="O207" s="2" t="n">
        <v>0</v>
      </c>
      <c r="P207" s="2" t="n">
        <v>0</v>
      </c>
      <c r="Q207" s="2" t="n">
        <v>0</v>
      </c>
      <c r="R207" s="30">
        <f>IF(AND($C$5&lt;&gt;"",$A207=$C$5),1,"")</f>
        <v/>
      </c>
      <c r="S207" s="21">
        <f>IF(AND($C$5&lt;&gt;"",$A207=$C$5),SUMIFS($G$8:$G$715,$A$8:$A$715,$C$5,$B$8:$B$715,"&lt;="&amp;$B207),"")</f>
        <v/>
      </c>
      <c r="T207" s="24" t="n"/>
      <c r="U207" s="24" t="n"/>
    </row>
    <row r="208">
      <c r="A208" s="2" t="inlineStr">
        <is>
          <t>CHN-85</t>
        </is>
      </c>
      <c r="B208" s="2" t="n">
        <v>38</v>
      </c>
      <c r="C208" s="2" t="inlineStr">
        <is>
          <t>IMP00096</t>
        </is>
      </c>
      <c r="D208" s="2" t="inlineStr">
        <is>
          <t>Evergreen Logistics Limited</t>
        </is>
      </c>
      <c r="E208" s="2" t="n">
        <v>4</v>
      </c>
      <c r="F208" s="27" t="n">
        <v>5595995.7</v>
      </c>
      <c r="G208" s="28" t="n">
        <v>0.0011</v>
      </c>
      <c r="H208" s="19" t="n">
        <v>0.9775</v>
      </c>
      <c r="I208" s="29" t="n">
        <v>0</v>
      </c>
      <c r="J208" s="2" t="inlineStr">
        <is>
          <t>EXP0567</t>
        </is>
      </c>
      <c r="K208" s="2" t="n">
        <v>3</v>
      </c>
      <c r="L208" s="2" t="inlineStr">
        <is>
          <t>BRK059</t>
        </is>
      </c>
      <c r="M208" s="2" t="inlineStr">
        <is>
          <t>LAND3</t>
        </is>
      </c>
      <c r="N208" s="2" t="n">
        <v>0</v>
      </c>
      <c r="O208" s="2" t="n">
        <v>0</v>
      </c>
      <c r="P208" s="2" t="n">
        <v>0</v>
      </c>
      <c r="Q208" s="2" t="n">
        <v>0</v>
      </c>
      <c r="R208" s="30">
        <f>IF(AND($C$5&lt;&gt;"",$A208=$C$5),1,"")</f>
        <v/>
      </c>
      <c r="S208" s="21">
        <f>IF(AND($C$5&lt;&gt;"",$A208=$C$5),SUMIFS($G$8:$G$715,$A$8:$A$715,$C$5,$B$8:$B$715,"&lt;="&amp;$B208),"")</f>
        <v/>
      </c>
      <c r="T208" s="24" t="n"/>
      <c r="U208" s="24" t="n"/>
    </row>
    <row r="209">
      <c r="A209" s="2" t="inlineStr">
        <is>
          <t>CHN-85</t>
        </is>
      </c>
      <c r="B209" s="2" t="n">
        <v>39</v>
      </c>
      <c r="C209" s="2" t="inlineStr">
        <is>
          <t>IMP01121</t>
        </is>
      </c>
      <c r="D209" s="2" t="inlineStr">
        <is>
          <t>Evergreen Glow Partners Ltd</t>
        </is>
      </c>
      <c r="E209" s="2" t="n">
        <v>1</v>
      </c>
      <c r="F209" s="27" t="n">
        <v>4994135.51</v>
      </c>
      <c r="G209" s="28" t="n">
        <v>0.001</v>
      </c>
      <c r="H209" s="19" t="n">
        <v>0.944</v>
      </c>
      <c r="I209" s="29" t="n">
        <v>0</v>
      </c>
      <c r="J209" s="2" t="inlineStr">
        <is>
          <t>EXP0333</t>
        </is>
      </c>
      <c r="K209" s="2" t="n">
        <v>6</v>
      </c>
      <c r="L209" s="2" t="inlineStr">
        <is>
          <t>BRK027</t>
        </is>
      </c>
      <c r="M209" s="2" t="inlineStr">
        <is>
          <t>PORT1</t>
        </is>
      </c>
      <c r="N209" s="2" t="n">
        <v>0</v>
      </c>
      <c r="O209" s="2" t="n">
        <v>0</v>
      </c>
      <c r="P209" s="2" t="n">
        <v>0</v>
      </c>
      <c r="Q209" s="2" t="n">
        <v>0</v>
      </c>
      <c r="R209" s="30">
        <f>IF(AND($C$5&lt;&gt;"",$A209=$C$5),1,"")</f>
        <v/>
      </c>
      <c r="S209" s="21">
        <f>IF(AND($C$5&lt;&gt;"",$A209=$C$5),SUMIFS($G$8:$G$715,$A$8:$A$715,$C$5,$B$8:$B$715,"&lt;="&amp;$B209),"")</f>
        <v/>
      </c>
      <c r="T209" s="24" t="n"/>
      <c r="U209" s="24" t="n"/>
    </row>
    <row r="210">
      <c r="A210" s="2" t="inlineStr">
        <is>
          <t>CHN-85</t>
        </is>
      </c>
      <c r="B210" s="2" t="n">
        <v>40</v>
      </c>
      <c r="C210" s="2" t="inlineStr">
        <is>
          <t>IMP01119</t>
        </is>
      </c>
      <c r="D210" s="2" t="inlineStr">
        <is>
          <t>Golden Commercial Partners Ltd</t>
        </is>
      </c>
      <c r="E210" s="2" t="n">
        <v>4</v>
      </c>
      <c r="F210" s="27" t="n">
        <v>4412661.08</v>
      </c>
      <c r="G210" s="28" t="n">
        <v>0.0009</v>
      </c>
      <c r="H210" s="19" t="n">
        <v>0.766</v>
      </c>
      <c r="I210" s="29" t="n">
        <v>0.25</v>
      </c>
      <c r="J210" s="2" t="inlineStr">
        <is>
          <t>EXP0245</t>
        </is>
      </c>
      <c r="K210" s="2" t="n">
        <v>4</v>
      </c>
      <c r="L210" s="2" t="inlineStr">
        <is>
          <t>BRK021</t>
        </is>
      </c>
      <c r="M210" s="2" t="inlineStr">
        <is>
          <t>LAND2</t>
        </is>
      </c>
      <c r="N210" s="2" t="n">
        <v>0</v>
      </c>
      <c r="O210" s="2" t="n">
        <v>1</v>
      </c>
      <c r="P210" s="2" t="n">
        <v>0</v>
      </c>
      <c r="Q210" s="2" t="n">
        <v>0</v>
      </c>
      <c r="R210" s="30">
        <f>IF(AND($C$5&lt;&gt;"",$A210=$C$5),1,"")</f>
        <v/>
      </c>
      <c r="S210" s="21">
        <f>IF(AND($C$5&lt;&gt;"",$A210=$C$5),SUMIFS($G$8:$G$715,$A$8:$A$715,$C$5,$B$8:$B$715,"&lt;="&amp;$B210),"")</f>
        <v/>
      </c>
      <c r="T210" s="24" t="n"/>
      <c r="U210" s="24" t="n"/>
    </row>
    <row r="211">
      <c r="A211" s="2" t="inlineStr">
        <is>
          <t>CHN-85</t>
        </is>
      </c>
      <c r="B211" s="2" t="n">
        <v>41</v>
      </c>
      <c r="C211" s="2" t="inlineStr">
        <is>
          <t>IMP01128</t>
        </is>
      </c>
      <c r="D211" s="2" t="inlineStr">
        <is>
          <t>Coral Distribution Group Ltd</t>
        </is>
      </c>
      <c r="E211" s="2" t="n">
        <v>1</v>
      </c>
      <c r="F211" s="27" t="n">
        <v>3357586.72</v>
      </c>
      <c r="G211" s="28" t="n">
        <v>0.0007</v>
      </c>
      <c r="H211" s="19" t="n">
        <v>0.9350000000000001</v>
      </c>
      <c r="I211" s="29" t="n">
        <v>0</v>
      </c>
      <c r="J211" s="2" t="inlineStr">
        <is>
          <t>EXP0418</t>
        </is>
      </c>
      <c r="K211" s="2" t="n">
        <v>5</v>
      </c>
      <c r="L211" s="2" t="inlineStr">
        <is>
          <t>BRK059</t>
        </is>
      </c>
      <c r="M211" s="2" t="inlineStr">
        <is>
          <t>LAND1</t>
        </is>
      </c>
      <c r="N211" s="2" t="n">
        <v>0</v>
      </c>
      <c r="O211" s="2" t="n">
        <v>0</v>
      </c>
      <c r="P211" s="2" t="n">
        <v>0</v>
      </c>
      <c r="Q211" s="2" t="n">
        <v>0</v>
      </c>
      <c r="R211" s="30">
        <f>IF(AND($C$5&lt;&gt;"",$A211=$C$5),1,"")</f>
        <v/>
      </c>
      <c r="S211" s="21">
        <f>IF(AND($C$5&lt;&gt;"",$A211=$C$5),SUMIFS($G$8:$G$715,$A$8:$A$715,$C$5,$B$8:$B$715,"&lt;="&amp;$B211),"")</f>
        <v/>
      </c>
      <c r="T211" s="24" t="n"/>
      <c r="U211" s="24" t="n"/>
    </row>
    <row r="212">
      <c r="A212" s="2" t="inlineStr">
        <is>
          <t>CHN-85</t>
        </is>
      </c>
      <c r="B212" s="2" t="n">
        <v>42</v>
      </c>
      <c r="C212" s="2" t="inlineStr">
        <is>
          <t>IMP00466</t>
        </is>
      </c>
      <c r="D212" s="2" t="inlineStr">
        <is>
          <t>Delta Motors Enterprises</t>
        </is>
      </c>
      <c r="E212" s="2" t="n">
        <v>2</v>
      </c>
      <c r="F212" s="27" t="n">
        <v>3170147.21</v>
      </c>
      <c r="G212" s="28" t="n">
        <v>0.0005999999999999999</v>
      </c>
      <c r="H212" s="19" t="n">
        <v>0.89</v>
      </c>
      <c r="I212" s="29" t="n">
        <v>0</v>
      </c>
      <c r="J212" s="2" t="inlineStr">
        <is>
          <t>EXP0479</t>
        </is>
      </c>
      <c r="K212" s="2" t="n">
        <v>5</v>
      </c>
      <c r="L212" s="2" t="inlineStr">
        <is>
          <t>BRK061</t>
        </is>
      </c>
      <c r="M212" s="2" t="inlineStr">
        <is>
          <t>AIR2</t>
        </is>
      </c>
      <c r="N212" s="2" t="n">
        <v>0</v>
      </c>
      <c r="O212" s="2" t="n">
        <v>0</v>
      </c>
      <c r="P212" s="2" t="n">
        <v>0</v>
      </c>
      <c r="Q212" s="2" t="n">
        <v>0</v>
      </c>
      <c r="R212" s="30">
        <f>IF(AND($C$5&lt;&gt;"",$A212=$C$5),1,"")</f>
        <v/>
      </c>
      <c r="S212" s="21">
        <f>IF(AND($C$5&lt;&gt;"",$A212=$C$5),SUMIFS($G$8:$G$715,$A$8:$A$715,$C$5,$B$8:$B$715,"&lt;="&amp;$B212),"")</f>
        <v/>
      </c>
      <c r="T212" s="24" t="n"/>
      <c r="U212" s="24" t="n"/>
    </row>
    <row r="213">
      <c r="A213" s="2" t="inlineStr">
        <is>
          <t>CHN-85</t>
        </is>
      </c>
      <c r="B213" s="2" t="n">
        <v>43</v>
      </c>
      <c r="C213" s="2" t="inlineStr">
        <is>
          <t>IMP00865</t>
        </is>
      </c>
      <c r="D213" s="2" t="inlineStr">
        <is>
          <t>Jade Medical Co., Ltd</t>
        </is>
      </c>
      <c r="E213" s="2" t="n">
        <v>2</v>
      </c>
      <c r="F213" s="27" t="n">
        <v>2921757.61</v>
      </c>
      <c r="G213" s="28" t="n">
        <v>0.0005999999999999999</v>
      </c>
      <c r="H213" s="19" t="n">
        <v>0.4905</v>
      </c>
      <c r="I213" s="29" t="n">
        <v>1</v>
      </c>
      <c r="J213" s="2" t="inlineStr">
        <is>
          <t>EXP0406</t>
        </is>
      </c>
      <c r="K213" s="2" t="n">
        <v>6</v>
      </c>
      <c r="L213" s="2" t="inlineStr">
        <is>
          <t>BRK019</t>
        </is>
      </c>
      <c r="M213" s="2" t="inlineStr">
        <is>
          <t>PORT2</t>
        </is>
      </c>
      <c r="N213" s="2" t="n">
        <v>0</v>
      </c>
      <c r="O213" s="2" t="n">
        <v>0</v>
      </c>
      <c r="P213" s="2" t="n">
        <v>1</v>
      </c>
      <c r="Q213" s="2" t="n">
        <v>0</v>
      </c>
      <c r="R213" s="30">
        <f>IF(AND($C$5&lt;&gt;"",$A213=$C$5),1,"")</f>
        <v/>
      </c>
      <c r="S213" s="21">
        <f>IF(AND($C$5&lt;&gt;"",$A213=$C$5),SUMIFS($G$8:$G$715,$A$8:$A$715,$C$5,$B$8:$B$715,"&lt;="&amp;$B213),"")</f>
        <v/>
      </c>
      <c r="T213" s="24" t="n"/>
      <c r="U213" s="24" t="n"/>
    </row>
    <row r="214">
      <c r="A214" s="2" t="inlineStr">
        <is>
          <t>CHN-85</t>
        </is>
      </c>
      <c r="B214" s="2" t="n">
        <v>44</v>
      </c>
      <c r="C214" s="2" t="inlineStr">
        <is>
          <t>IMP01388</t>
        </is>
      </c>
      <c r="D214" s="2" t="inlineStr">
        <is>
          <t>Pacific Motors Co., Ltd</t>
        </is>
      </c>
      <c r="E214" s="2" t="n">
        <v>4</v>
      </c>
      <c r="F214" s="27" t="n">
        <v>2768234.01</v>
      </c>
      <c r="G214" s="28" t="n">
        <v>0.0005</v>
      </c>
      <c r="H214" s="19" t="n">
        <v>0.8</v>
      </c>
      <c r="I214" s="29" t="n">
        <v>0.5</v>
      </c>
      <c r="J214" s="2" t="inlineStr">
        <is>
          <t>EXP0517</t>
        </is>
      </c>
      <c r="K214" s="2" t="n">
        <v>8</v>
      </c>
      <c r="L214" s="2" t="inlineStr">
        <is>
          <t>BRK048</t>
        </is>
      </c>
      <c r="M214" s="2" t="inlineStr">
        <is>
          <t>AIR1</t>
        </is>
      </c>
      <c r="N214" s="2" t="n">
        <v>0</v>
      </c>
      <c r="O214" s="2" t="n">
        <v>0</v>
      </c>
      <c r="P214" s="2" t="n">
        <v>0</v>
      </c>
      <c r="Q214" s="2" t="n">
        <v>0</v>
      </c>
      <c r="R214" s="30">
        <f>IF(AND($C$5&lt;&gt;"",$A214=$C$5),1,"")</f>
        <v/>
      </c>
      <c r="S214" s="21">
        <f>IF(AND($C$5&lt;&gt;"",$A214=$C$5),SUMIFS($G$8:$G$715,$A$8:$A$715,$C$5,$B$8:$B$715,"&lt;="&amp;$B214),"")</f>
        <v/>
      </c>
      <c r="T214" s="24" t="n"/>
      <c r="U214" s="24" t="n"/>
    </row>
    <row r="215">
      <c r="A215" s="2" t="inlineStr">
        <is>
          <t>CHN-85</t>
        </is>
      </c>
      <c r="B215" s="2" t="n">
        <v>45</v>
      </c>
      <c r="C215" s="2" t="inlineStr">
        <is>
          <t>IMP00633</t>
        </is>
      </c>
      <c r="D215" s="2" t="inlineStr">
        <is>
          <t>Meridian Fruits Group Ltd</t>
        </is>
      </c>
      <c r="E215" s="2" t="n">
        <v>1</v>
      </c>
      <c r="F215" s="27" t="n">
        <v>1749638.48</v>
      </c>
      <c r="G215" s="28" t="n">
        <v>0.0003</v>
      </c>
      <c r="H215" s="19" t="n">
        <v>1.04</v>
      </c>
      <c r="I215" s="29" t="n">
        <v>0</v>
      </c>
      <c r="J215" s="2" t="inlineStr">
        <is>
          <t>EXP0069</t>
        </is>
      </c>
      <c r="K215" s="2" t="n">
        <v>6</v>
      </c>
      <c r="L215" s="2" t="inlineStr">
        <is>
          <t>BRK054</t>
        </is>
      </c>
      <c r="M215" s="2" t="inlineStr">
        <is>
          <t>LAND1</t>
        </is>
      </c>
      <c r="N215" s="2" t="n">
        <v>0</v>
      </c>
      <c r="O215" s="2" t="n">
        <v>0</v>
      </c>
      <c r="P215" s="2" t="n">
        <v>0</v>
      </c>
      <c r="Q215" s="2" t="n">
        <v>0</v>
      </c>
      <c r="R215" s="30">
        <f>IF(AND($C$5&lt;&gt;"",$A215=$C$5),1,"")</f>
        <v/>
      </c>
      <c r="S215" s="21">
        <f>IF(AND($C$5&lt;&gt;"",$A215=$C$5),SUMIFS($G$8:$G$715,$A$8:$A$715,$C$5,$B$8:$B$715,"&lt;="&amp;$B215),"")</f>
        <v/>
      </c>
      <c r="T215" s="24" t="n"/>
      <c r="U215" s="24" t="n"/>
    </row>
    <row r="216">
      <c r="A216" s="2" t="inlineStr">
        <is>
          <t>CHN-85</t>
        </is>
      </c>
      <c r="B216" s="2" t="n">
        <v>46</v>
      </c>
      <c r="C216" s="2" t="inlineStr">
        <is>
          <t>IMP00328</t>
        </is>
      </c>
      <c r="D216" s="2" t="inlineStr">
        <is>
          <t>Phoenix Distribution Co.</t>
        </is>
      </c>
      <c r="E216" s="2" t="n">
        <v>1</v>
      </c>
      <c r="F216" s="27" t="n">
        <v>1610178.87</v>
      </c>
      <c r="G216" s="28" t="n">
        <v>0.0003</v>
      </c>
      <c r="H216" s="19" t="n">
        <v>0.907</v>
      </c>
      <c r="I216" s="29" t="n">
        <v>0</v>
      </c>
      <c r="J216" s="2" t="inlineStr">
        <is>
          <t>EXP0169</t>
        </is>
      </c>
      <c r="K216" s="2" t="n">
        <v>9</v>
      </c>
      <c r="L216" s="2" t="inlineStr">
        <is>
          <t>BRK035</t>
        </is>
      </c>
      <c r="M216" s="2" t="inlineStr">
        <is>
          <t>AIR1</t>
        </is>
      </c>
      <c r="N216" s="2" t="n">
        <v>0</v>
      </c>
      <c r="O216" s="2" t="n">
        <v>0</v>
      </c>
      <c r="P216" s="2" t="n">
        <v>0</v>
      </c>
      <c r="Q216" s="2" t="n">
        <v>0</v>
      </c>
      <c r="R216" s="30">
        <f>IF(AND($C$5&lt;&gt;"",$A216=$C$5),1,"")</f>
        <v/>
      </c>
      <c r="S216" s="21">
        <f>IF(AND($C$5&lt;&gt;"",$A216=$C$5),SUMIFS($G$8:$G$715,$A$8:$A$715,$C$5,$B$8:$B$715,"&lt;="&amp;$B216),"")</f>
        <v/>
      </c>
      <c r="T216" s="24" t="n"/>
      <c r="U216" s="24" t="n"/>
    </row>
    <row r="217">
      <c r="A217" s="2" t="inlineStr">
        <is>
          <t>CHN-85</t>
        </is>
      </c>
      <c r="B217" s="2" t="n">
        <v>47</v>
      </c>
      <c r="C217" s="2" t="inlineStr">
        <is>
          <t>IMP00691</t>
        </is>
      </c>
      <c r="D217" s="2" t="inlineStr">
        <is>
          <t>Metro Living Ltd</t>
        </is>
      </c>
      <c r="E217" s="2" t="n">
        <v>2</v>
      </c>
      <c r="F217" s="27" t="n">
        <v>1572347.37</v>
      </c>
      <c r="G217" s="28" t="n">
        <v>0.0003</v>
      </c>
      <c r="H217" s="19" t="n">
        <v>0.867</v>
      </c>
      <c r="I217" s="29" t="n">
        <v>0</v>
      </c>
      <c r="J217" s="2" t="inlineStr">
        <is>
          <t>EXP0517</t>
        </is>
      </c>
      <c r="K217" s="2" t="n">
        <v>8</v>
      </c>
      <c r="L217" s="2" t="inlineStr">
        <is>
          <t>BRK044</t>
        </is>
      </c>
      <c r="M217" s="2" t="inlineStr">
        <is>
          <t>PORT3</t>
        </is>
      </c>
      <c r="N217" s="2" t="n">
        <v>0</v>
      </c>
      <c r="O217" s="2" t="n">
        <v>0</v>
      </c>
      <c r="P217" s="2" t="n">
        <v>0</v>
      </c>
      <c r="Q217" s="2" t="n">
        <v>0</v>
      </c>
      <c r="R217" s="30">
        <f>IF(AND($C$5&lt;&gt;"",$A217=$C$5),1,"")</f>
        <v/>
      </c>
      <c r="S217" s="21">
        <f>IF(AND($C$5&lt;&gt;"",$A217=$C$5),SUMIFS($G$8:$G$715,$A$8:$A$715,$C$5,$B$8:$B$715,"&lt;="&amp;$B217),"")</f>
        <v/>
      </c>
      <c r="T217" s="24" t="n"/>
      <c r="U217" s="24" t="n"/>
    </row>
    <row r="218">
      <c r="A218" s="2" t="inlineStr">
        <is>
          <t>CHN-85</t>
        </is>
      </c>
      <c r="B218" s="2" t="n">
        <v>48</v>
      </c>
      <c r="C218" s="2" t="inlineStr">
        <is>
          <t>IMP01049</t>
        </is>
      </c>
      <c r="D218" s="2" t="inlineStr">
        <is>
          <t>Aldergate Pack &amp; Sons</t>
        </is>
      </c>
      <c r="E218" s="2" t="n">
        <v>1</v>
      </c>
      <c r="F218" s="27" t="n">
        <v>1500795.62</v>
      </c>
      <c r="G218" s="28" t="n">
        <v>0.0003</v>
      </c>
      <c r="H218" s="19" t="n">
        <v>1.003</v>
      </c>
      <c r="I218" s="29" t="n">
        <v>0</v>
      </c>
      <c r="J218" s="2" t="inlineStr">
        <is>
          <t>EXP0453</t>
        </is>
      </c>
      <c r="K218" s="2" t="n">
        <v>7</v>
      </c>
      <c r="L218" s="2" t="inlineStr">
        <is>
          <t>BRK014</t>
        </is>
      </c>
      <c r="M218" s="2" t="inlineStr">
        <is>
          <t>PORT2</t>
        </is>
      </c>
      <c r="N218" s="2" t="n">
        <v>0</v>
      </c>
      <c r="O218" s="2" t="n">
        <v>0</v>
      </c>
      <c r="P218" s="2" t="n">
        <v>0</v>
      </c>
      <c r="Q218" s="2" t="n">
        <v>0</v>
      </c>
      <c r="R218" s="30">
        <f>IF(AND($C$5&lt;&gt;"",$A218=$C$5),1,"")</f>
        <v/>
      </c>
      <c r="S218" s="21">
        <f>IF(AND($C$5&lt;&gt;"",$A218=$C$5),SUMIFS($G$8:$G$715,$A$8:$A$715,$C$5,$B$8:$B$715,"&lt;="&amp;$B218),"")</f>
        <v/>
      </c>
      <c r="T218" s="24" t="n"/>
      <c r="U218" s="24" t="n"/>
    </row>
    <row r="219">
      <c r="A219" s="2" t="inlineStr">
        <is>
          <t>CHN-85</t>
        </is>
      </c>
      <c r="B219" s="2" t="n">
        <v>49</v>
      </c>
      <c r="C219" s="2" t="inlineStr">
        <is>
          <t>IMP00470</t>
        </is>
      </c>
      <c r="D219" s="2" t="inlineStr">
        <is>
          <t>Great Vellmoor Foods Limited</t>
        </is>
      </c>
      <c r="E219" s="2" t="n">
        <v>1</v>
      </c>
      <c r="F219" s="27" t="n">
        <v>1169423.43</v>
      </c>
      <c r="G219" s="28" t="n">
        <v>0.0002</v>
      </c>
      <c r="H219" s="19" t="n">
        <v>0.707</v>
      </c>
      <c r="I219" s="29" t="n">
        <v>1</v>
      </c>
      <c r="J219" s="2" t="inlineStr">
        <is>
          <t>EXP0561</t>
        </is>
      </c>
      <c r="K219" s="2" t="n">
        <v>8</v>
      </c>
      <c r="L219" s="2" t="inlineStr">
        <is>
          <t>BRK059</t>
        </is>
      </c>
      <c r="M219" s="2" t="inlineStr">
        <is>
          <t>LAND6</t>
        </is>
      </c>
      <c r="N219" s="2" t="n">
        <v>1</v>
      </c>
      <c r="O219" s="2" t="n">
        <v>0</v>
      </c>
      <c r="P219" s="2" t="n">
        <v>0</v>
      </c>
      <c r="Q219" s="2" t="n">
        <v>0</v>
      </c>
      <c r="R219" s="30">
        <f>IF(AND($C$5&lt;&gt;"",$A219=$C$5),1,"")</f>
        <v/>
      </c>
      <c r="S219" s="21">
        <f>IF(AND($C$5&lt;&gt;"",$A219=$C$5),SUMIFS($G$8:$G$715,$A$8:$A$715,$C$5,$B$8:$B$715,"&lt;="&amp;$B219),"")</f>
        <v/>
      </c>
      <c r="T219" s="24" t="n"/>
      <c r="U219" s="24" t="n"/>
    </row>
    <row r="220">
      <c r="A220" s="2" t="inlineStr">
        <is>
          <t>CHN-85</t>
        </is>
      </c>
      <c r="B220" s="2" t="n">
        <v>50</v>
      </c>
      <c r="C220" s="2" t="inlineStr">
        <is>
          <t>IMP00804</t>
        </is>
      </c>
      <c r="D220" s="2" t="inlineStr">
        <is>
          <t>Green Valley Foods International Ltd</t>
        </is>
      </c>
      <c r="E220" s="2" t="n">
        <v>1</v>
      </c>
      <c r="F220" s="27" t="n">
        <v>527912.58</v>
      </c>
      <c r="G220" s="28" t="n">
        <v>0.0001</v>
      </c>
      <c r="H220" s="19" t="n">
        <v>0.906</v>
      </c>
      <c r="I220" s="29" t="n">
        <v>0</v>
      </c>
      <c r="J220" s="2" t="inlineStr">
        <is>
          <t>EXP0453</t>
        </is>
      </c>
      <c r="K220" s="2" t="n">
        <v>7</v>
      </c>
      <c r="L220" s="2" t="inlineStr">
        <is>
          <t>BRK051</t>
        </is>
      </c>
      <c r="M220" s="2" t="inlineStr">
        <is>
          <t>LAND4</t>
        </is>
      </c>
      <c r="N220" s="2" t="n">
        <v>0</v>
      </c>
      <c r="O220" s="2" t="n">
        <v>0</v>
      </c>
      <c r="P220" s="2" t="n">
        <v>0</v>
      </c>
      <c r="Q220" s="2" t="n">
        <v>0</v>
      </c>
      <c r="R220" s="30">
        <f>IF(AND($C$5&lt;&gt;"",$A220=$C$5),1,"")</f>
        <v/>
      </c>
      <c r="S220" s="21">
        <f>IF(AND($C$5&lt;&gt;"",$A220=$C$5),SUMIFS($G$8:$G$715,$A$8:$A$715,$C$5,$B$8:$B$715,"&lt;="&amp;$B220),"")</f>
        <v/>
      </c>
      <c r="T220" s="24" t="n"/>
      <c r="U220" s="24" t="n"/>
    </row>
    <row r="221">
      <c r="A221" s="2" t="inlineStr">
        <is>
          <t>CHN-85</t>
        </is>
      </c>
      <c r="B221" s="2" t="n">
        <v>51</v>
      </c>
      <c r="C221" s="2" t="inlineStr">
        <is>
          <t>IMP01279</t>
        </is>
      </c>
      <c r="D221" s="2" t="inlineStr">
        <is>
          <t>Evergreen Industries Co.</t>
        </is>
      </c>
      <c r="E221" s="2" t="n">
        <v>1</v>
      </c>
      <c r="F221" s="27" t="n">
        <v>288961.31</v>
      </c>
      <c r="G221" s="28" t="n">
        <v>0.0001</v>
      </c>
      <c r="H221" s="19" t="n">
        <v>0.963</v>
      </c>
      <c r="I221" s="29" t="n">
        <v>0</v>
      </c>
      <c r="J221" s="2" t="inlineStr">
        <is>
          <t>EXP0162</t>
        </is>
      </c>
      <c r="K221" s="2" t="n">
        <v>5</v>
      </c>
      <c r="L221" s="2" t="inlineStr">
        <is>
          <t>BRK054</t>
        </is>
      </c>
      <c r="M221" s="2" t="inlineStr">
        <is>
          <t>PORT1</t>
        </is>
      </c>
      <c r="N221" s="2" t="n">
        <v>0</v>
      </c>
      <c r="O221" s="2" t="n">
        <v>0</v>
      </c>
      <c r="P221" s="2" t="n">
        <v>0</v>
      </c>
      <c r="Q221" s="2" t="n">
        <v>0</v>
      </c>
      <c r="R221" s="30">
        <f>IF(AND($C$5&lt;&gt;"",$A221=$C$5),1,"")</f>
        <v/>
      </c>
      <c r="S221" s="21">
        <f>IF(AND($C$5&lt;&gt;"",$A221=$C$5),SUMIFS($G$8:$G$715,$A$8:$A$715,$C$5,$B$8:$B$715,"&lt;="&amp;$B221),"")</f>
        <v/>
      </c>
      <c r="T221" s="24" t="n"/>
      <c r="U221" s="24" t="n"/>
    </row>
    <row r="222">
      <c r="A222" s="2" t="inlineStr">
        <is>
          <t>CHN-87</t>
        </is>
      </c>
      <c r="B222" s="2" t="n">
        <v>1</v>
      </c>
      <c r="C222" s="2" t="inlineStr">
        <is>
          <t>IMP00260</t>
        </is>
      </c>
      <c r="D222" s="2" t="inlineStr">
        <is>
          <t>Global Electronics Partners Ltd</t>
        </is>
      </c>
      <c r="E222" s="2" t="n">
        <v>28</v>
      </c>
      <c r="F222" s="27" t="n">
        <v>120481281.76</v>
      </c>
      <c r="G222" s="28" t="n">
        <v>0.2718</v>
      </c>
      <c r="H222" s="19" t="n">
        <v>0.8645</v>
      </c>
      <c r="I222" s="29" t="n">
        <v>0.3214</v>
      </c>
      <c r="J222" s="2" t="inlineStr">
        <is>
          <t>EXP0421</t>
        </is>
      </c>
      <c r="K222" s="2" t="n">
        <v>2</v>
      </c>
      <c r="L222" s="2" t="inlineStr">
        <is>
          <t>BRK021</t>
        </is>
      </c>
      <c r="M222" s="2" t="inlineStr">
        <is>
          <t>AIR1</t>
        </is>
      </c>
      <c r="N222" s="2" t="n">
        <v>0</v>
      </c>
      <c r="O222" s="2" t="n">
        <v>0</v>
      </c>
      <c r="P222" s="2" t="n">
        <v>0</v>
      </c>
      <c r="Q222" s="2" t="n">
        <v>0</v>
      </c>
      <c r="R222" s="30">
        <f>IF(AND($C$5&lt;&gt;"",$A222=$C$5),1,"")</f>
        <v/>
      </c>
      <c r="S222" s="21">
        <f>IF(AND($C$5&lt;&gt;"",$A222=$C$5),SUMIFS($G$8:$G$715,$A$8:$A$715,$C$5,$B$8:$B$715,"&lt;="&amp;$B222),"")</f>
        <v/>
      </c>
      <c r="T222" s="24" t="n"/>
      <c r="U222" s="24" t="n"/>
    </row>
    <row r="223">
      <c r="A223" s="2" t="inlineStr">
        <is>
          <t>CHN-87</t>
        </is>
      </c>
      <c r="B223" s="2" t="n">
        <v>2</v>
      </c>
      <c r="C223" s="2" t="inlineStr">
        <is>
          <t>IMP00536</t>
        </is>
      </c>
      <c r="D223" s="2" t="inlineStr">
        <is>
          <t>Sunrise Glow &amp; Sons</t>
        </is>
      </c>
      <c r="E223" s="2" t="n">
        <v>65</v>
      </c>
      <c r="F223" s="27" t="n">
        <v>63881528.97</v>
      </c>
      <c r="G223" s="28" t="n">
        <v>0.1441</v>
      </c>
      <c r="H223" s="19" t="n">
        <v>0.891</v>
      </c>
      <c r="I223" s="29" t="n">
        <v>0.1385</v>
      </c>
      <c r="J223" s="2" t="inlineStr">
        <is>
          <t>EXP0085</t>
        </is>
      </c>
      <c r="K223" s="2" t="n">
        <v>2</v>
      </c>
      <c r="L223" s="2" t="inlineStr">
        <is>
          <t>BRK018</t>
        </is>
      </c>
      <c r="M223" s="2" t="inlineStr">
        <is>
          <t>PORT1</t>
        </is>
      </c>
      <c r="N223" s="2" t="n">
        <v>0</v>
      </c>
      <c r="O223" s="2" t="n">
        <v>0</v>
      </c>
      <c r="P223" s="2" t="n">
        <v>0</v>
      </c>
      <c r="Q223" s="2" t="n">
        <v>0</v>
      </c>
      <c r="R223" s="30">
        <f>IF(AND($C$5&lt;&gt;"",$A223=$C$5),1,"")</f>
        <v/>
      </c>
      <c r="S223" s="21">
        <f>IF(AND($C$5&lt;&gt;"",$A223=$C$5),SUMIFS($G$8:$G$715,$A$8:$A$715,$C$5,$B$8:$B$715,"&lt;="&amp;$B223),"")</f>
        <v/>
      </c>
      <c r="T223" s="24" t="n"/>
      <c r="U223" s="24" t="n"/>
    </row>
    <row r="224">
      <c r="A224" s="2" t="inlineStr">
        <is>
          <t>CHN-87</t>
        </is>
      </c>
      <c r="B224" s="2" t="n">
        <v>3</v>
      </c>
      <c r="C224" s="2" t="inlineStr">
        <is>
          <t>IMP01180</t>
        </is>
      </c>
      <c r="D224" s="2" t="inlineStr">
        <is>
          <t>Global Logistics Holdings Ltd</t>
        </is>
      </c>
      <c r="E224" s="2" t="n">
        <v>70</v>
      </c>
      <c r="F224" s="27" t="n">
        <v>59795247.79</v>
      </c>
      <c r="G224" s="28" t="n">
        <v>0.1349</v>
      </c>
      <c r="H224" s="19" t="n">
        <v>0.9775</v>
      </c>
      <c r="I224" s="29" t="n">
        <v>0</v>
      </c>
      <c r="J224" s="2" t="inlineStr">
        <is>
          <t>EXP0483</t>
        </is>
      </c>
      <c r="K224" s="2" t="n">
        <v>3</v>
      </c>
      <c r="L224" s="2" t="inlineStr">
        <is>
          <t>BRK073</t>
        </is>
      </c>
      <c r="M224" s="2" t="inlineStr">
        <is>
          <t>AIR2</t>
        </is>
      </c>
      <c r="N224" s="2" t="n">
        <v>0</v>
      </c>
      <c r="O224" s="2" t="n">
        <v>0</v>
      </c>
      <c r="P224" s="2" t="n">
        <v>0</v>
      </c>
      <c r="Q224" s="2" t="n">
        <v>0</v>
      </c>
      <c r="R224" s="30">
        <f>IF(AND($C$5&lt;&gt;"",$A224=$C$5),1,"")</f>
        <v/>
      </c>
      <c r="S224" s="21">
        <f>IF(AND($C$5&lt;&gt;"",$A224=$C$5),SUMIFS($G$8:$G$715,$A$8:$A$715,$C$5,$B$8:$B$715,"&lt;="&amp;$B224),"")</f>
        <v/>
      </c>
      <c r="T224" s="24" t="n"/>
      <c r="U224" s="24" t="n"/>
    </row>
    <row r="225">
      <c r="A225" s="2" t="inlineStr">
        <is>
          <t>CHN-87</t>
        </is>
      </c>
      <c r="B225" s="2" t="n">
        <v>4</v>
      </c>
      <c r="C225" s="2" t="inlineStr">
        <is>
          <t>IMP01082</t>
        </is>
      </c>
      <c r="D225" s="2" t="inlineStr">
        <is>
          <t>Central Imports Co.</t>
        </is>
      </c>
      <c r="E225" s="2" t="n">
        <v>7</v>
      </c>
      <c r="F225" s="27" t="n">
        <v>34102333.29</v>
      </c>
      <c r="G225" s="28" t="n">
        <v>0.0769</v>
      </c>
      <c r="H225" s="19" t="n">
        <v>0.862</v>
      </c>
      <c r="I225" s="29" t="n">
        <v>0.4286</v>
      </c>
      <c r="J225" s="2" t="inlineStr">
        <is>
          <t>EXP0035</t>
        </is>
      </c>
      <c r="K225" s="2" t="n">
        <v>1</v>
      </c>
      <c r="L225" s="2" t="inlineStr">
        <is>
          <t>BRK016</t>
        </is>
      </c>
      <c r="M225" s="2" t="inlineStr">
        <is>
          <t>PORT2</t>
        </is>
      </c>
      <c r="N225" s="2" t="n">
        <v>0</v>
      </c>
      <c r="O225" s="2" t="n">
        <v>0</v>
      </c>
      <c r="P225" s="2" t="n">
        <v>0</v>
      </c>
      <c r="Q225" s="2" t="n">
        <v>0</v>
      </c>
      <c r="R225" s="30">
        <f>IF(AND($C$5&lt;&gt;"",$A225=$C$5),1,"")</f>
        <v/>
      </c>
      <c r="S225" s="21">
        <f>IF(AND($C$5&lt;&gt;"",$A225=$C$5),SUMIFS($G$8:$G$715,$A$8:$A$715,$C$5,$B$8:$B$715,"&lt;="&amp;$B225),"")</f>
        <v/>
      </c>
      <c r="T225" s="24" t="n"/>
      <c r="U225" s="24" t="n"/>
    </row>
    <row r="226">
      <c r="A226" s="2" t="inlineStr">
        <is>
          <t>CHN-87</t>
        </is>
      </c>
      <c r="B226" s="2" t="n">
        <v>5</v>
      </c>
      <c r="C226" s="2" t="inlineStr">
        <is>
          <t>IMP01449</t>
        </is>
      </c>
      <c r="D226" s="2" t="inlineStr">
        <is>
          <t>Orchid Living Co.</t>
        </is>
      </c>
      <c r="E226" s="2" t="n">
        <v>31</v>
      </c>
      <c r="F226" s="27" t="n">
        <v>31111461.73</v>
      </c>
      <c r="G226" s="28" t="n">
        <v>0.0702</v>
      </c>
      <c r="H226" s="19" t="n">
        <v>0.844</v>
      </c>
      <c r="I226" s="29" t="n">
        <v>0.2258</v>
      </c>
      <c r="J226" s="2" t="inlineStr">
        <is>
          <t>EXP0418</t>
        </is>
      </c>
      <c r="K226" s="2" t="n">
        <v>3</v>
      </c>
      <c r="L226" s="2" t="inlineStr">
        <is>
          <t>BRK010</t>
        </is>
      </c>
      <c r="M226" s="2" t="inlineStr">
        <is>
          <t>AIR1</t>
        </is>
      </c>
      <c r="N226" s="2" t="n">
        <v>0</v>
      </c>
      <c r="O226" s="2" t="n">
        <v>0</v>
      </c>
      <c r="P226" s="2" t="n">
        <v>0</v>
      </c>
      <c r="Q226" s="2" t="n">
        <v>0</v>
      </c>
      <c r="R226" s="30">
        <f>IF(AND($C$5&lt;&gt;"",$A226=$C$5),1,"")</f>
        <v/>
      </c>
      <c r="S226" s="21">
        <f>IF(AND($C$5&lt;&gt;"",$A226=$C$5),SUMIFS($G$8:$G$715,$A$8:$A$715,$C$5,$B$8:$B$715,"&lt;="&amp;$B226),"")</f>
        <v/>
      </c>
      <c r="T226" s="24" t="n"/>
      <c r="U226" s="24" t="n"/>
    </row>
    <row r="227">
      <c r="A227" s="2" t="inlineStr">
        <is>
          <t>CHN-87</t>
        </is>
      </c>
      <c r="B227" s="2" t="n">
        <v>6</v>
      </c>
      <c r="C227" s="2" t="inlineStr">
        <is>
          <t>IMP01201</t>
        </is>
      </c>
      <c r="D227" s="2" t="inlineStr">
        <is>
          <t>Star Pack Co.</t>
        </is>
      </c>
      <c r="E227" s="2" t="n">
        <v>32</v>
      </c>
      <c r="F227" s="27" t="n">
        <v>30034872.37</v>
      </c>
      <c r="G227" s="28" t="n">
        <v>0.0678</v>
      </c>
      <c r="H227" s="19" t="n">
        <v>0.718</v>
      </c>
      <c r="I227" s="29" t="n">
        <v>0.5625</v>
      </c>
      <c r="J227" s="2" t="inlineStr">
        <is>
          <t>EXP0333</t>
        </is>
      </c>
      <c r="K227" s="2" t="n">
        <v>2</v>
      </c>
      <c r="L227" s="2" t="inlineStr">
        <is>
          <t>BRK014</t>
        </is>
      </c>
      <c r="M227" s="2" t="inlineStr">
        <is>
          <t>LAND6</t>
        </is>
      </c>
      <c r="N227" s="2" t="n">
        <v>0</v>
      </c>
      <c r="O227" s="2" t="n">
        <v>0</v>
      </c>
      <c r="P227" s="2" t="n">
        <v>0</v>
      </c>
      <c r="Q227" s="2" t="n">
        <v>0</v>
      </c>
      <c r="R227" s="30">
        <f>IF(AND($C$5&lt;&gt;"",$A227=$C$5),1,"")</f>
        <v/>
      </c>
      <c r="S227" s="21">
        <f>IF(AND($C$5&lt;&gt;"",$A227=$C$5),SUMIFS($G$8:$G$715,$A$8:$A$715,$C$5,$B$8:$B$715,"&lt;="&amp;$B227),"")</f>
        <v/>
      </c>
      <c r="T227" s="24" t="n"/>
      <c r="U227" s="24" t="n"/>
    </row>
    <row r="228">
      <c r="A228" s="2" t="inlineStr">
        <is>
          <t>CHN-87</t>
        </is>
      </c>
      <c r="B228" s="2" t="n">
        <v>7</v>
      </c>
      <c r="C228" s="2" t="inlineStr">
        <is>
          <t>IMP00987</t>
        </is>
      </c>
      <c r="D228" s="2" t="inlineStr">
        <is>
          <t>Ocean Pack Co.</t>
        </is>
      </c>
      <c r="E228" s="2" t="n">
        <v>20</v>
      </c>
      <c r="F228" s="27" t="n">
        <v>20366217.62</v>
      </c>
      <c r="G228" s="28" t="n">
        <v>0.0459</v>
      </c>
      <c r="H228" s="19" t="n">
        <v>0.894</v>
      </c>
      <c r="I228" s="29" t="n">
        <v>0.15</v>
      </c>
      <c r="J228" s="2" t="inlineStr">
        <is>
          <t>EXP0038</t>
        </is>
      </c>
      <c r="K228" s="2" t="n">
        <v>1</v>
      </c>
      <c r="L228" s="2" t="inlineStr">
        <is>
          <t>BRK008</t>
        </is>
      </c>
      <c r="M228" s="2" t="inlineStr">
        <is>
          <t>PORT1</t>
        </is>
      </c>
      <c r="N228" s="2" t="n">
        <v>0</v>
      </c>
      <c r="O228" s="2" t="n">
        <v>0</v>
      </c>
      <c r="P228" s="2" t="n">
        <v>0</v>
      </c>
      <c r="Q228" s="2" t="n">
        <v>0</v>
      </c>
      <c r="R228" s="30">
        <f>IF(AND($C$5&lt;&gt;"",$A228=$C$5),1,"")</f>
        <v/>
      </c>
      <c r="S228" s="21">
        <f>IF(AND($C$5&lt;&gt;"",$A228=$C$5),SUMIFS($G$8:$G$715,$A$8:$A$715,$C$5,$B$8:$B$715,"&lt;="&amp;$B228),"")</f>
        <v/>
      </c>
      <c r="T228" s="24" t="n"/>
      <c r="U228" s="24" t="n"/>
    </row>
    <row r="229">
      <c r="A229" s="2" t="inlineStr">
        <is>
          <t>CHN-87</t>
        </is>
      </c>
      <c r="B229" s="2" t="n">
        <v>8</v>
      </c>
      <c r="C229" s="2" t="inlineStr">
        <is>
          <t>IMP01247</t>
        </is>
      </c>
      <c r="D229" s="2" t="inlineStr">
        <is>
          <t>Coral Steel Partners Ltd</t>
        </is>
      </c>
      <c r="E229" s="2" t="n">
        <v>13</v>
      </c>
      <c r="F229" s="27" t="n">
        <v>19889285.27</v>
      </c>
      <c r="G229" s="28" t="n">
        <v>0.0449</v>
      </c>
      <c r="H229" s="19" t="n">
        <v>0.976</v>
      </c>
      <c r="I229" s="29" t="n">
        <v>0</v>
      </c>
      <c r="J229" s="2" t="inlineStr">
        <is>
          <t>EXP0585</t>
        </is>
      </c>
      <c r="K229" s="2" t="n">
        <v>5</v>
      </c>
      <c r="L229" s="2" t="inlineStr">
        <is>
          <t>BRK011</t>
        </is>
      </c>
      <c r="M229" s="2" t="inlineStr">
        <is>
          <t>PORT1</t>
        </is>
      </c>
      <c r="N229" s="2" t="n">
        <v>1</v>
      </c>
      <c r="O229" s="2" t="n">
        <v>0</v>
      </c>
      <c r="P229" s="2" t="n">
        <v>0</v>
      </c>
      <c r="Q229" s="2" t="n">
        <v>0</v>
      </c>
      <c r="R229" s="30">
        <f>IF(AND($C$5&lt;&gt;"",$A229=$C$5),1,"")</f>
        <v/>
      </c>
      <c r="S229" s="21">
        <f>IF(AND($C$5&lt;&gt;"",$A229=$C$5),SUMIFS($G$8:$G$715,$A$8:$A$715,$C$5,$B$8:$B$715,"&lt;="&amp;$B229),"")</f>
        <v/>
      </c>
      <c r="T229" s="24" t="n"/>
      <c r="U229" s="24" t="n"/>
    </row>
    <row r="230">
      <c r="A230" s="2" t="inlineStr">
        <is>
          <t>CHN-87</t>
        </is>
      </c>
      <c r="B230" s="2" t="n">
        <v>9</v>
      </c>
      <c r="C230" s="2" t="inlineStr">
        <is>
          <t>IMP00348</t>
        </is>
      </c>
      <c r="D230" s="2" t="inlineStr">
        <is>
          <t>Aldergate Fruits &amp; Sons</t>
        </is>
      </c>
      <c r="E230" s="2" t="n">
        <v>2</v>
      </c>
      <c r="F230" s="27" t="n">
        <v>15032942.14</v>
      </c>
      <c r="G230" s="28" t="n">
        <v>0.0339</v>
      </c>
      <c r="H230" s="19" t="n">
        <v>0.508</v>
      </c>
      <c r="I230" s="29" t="n">
        <v>1</v>
      </c>
      <c r="J230" s="2" t="inlineStr">
        <is>
          <t>EXP0485</t>
        </is>
      </c>
      <c r="K230" s="2" t="n">
        <v>3</v>
      </c>
      <c r="L230" s="2" t="inlineStr">
        <is>
          <t>BRK017</t>
        </is>
      </c>
      <c r="M230" s="2" t="inlineStr">
        <is>
          <t>AIR2</t>
        </is>
      </c>
      <c r="N230" s="2" t="n">
        <v>0</v>
      </c>
      <c r="O230" s="2" t="n">
        <v>0</v>
      </c>
      <c r="P230" s="2" t="n">
        <v>0</v>
      </c>
      <c r="Q230" s="2" t="n">
        <v>0</v>
      </c>
      <c r="R230" s="30">
        <f>IF(AND($C$5&lt;&gt;"",$A230=$C$5),1,"")</f>
        <v/>
      </c>
      <c r="S230" s="21">
        <f>IF(AND($C$5&lt;&gt;"",$A230=$C$5),SUMIFS($G$8:$G$715,$A$8:$A$715,$C$5,$B$8:$B$715,"&lt;="&amp;$B230),"")</f>
        <v/>
      </c>
      <c r="T230" s="24" t="n"/>
      <c r="U230" s="24" t="n"/>
    </row>
    <row r="231">
      <c r="A231" s="2" t="inlineStr">
        <is>
          <t>CHN-87</t>
        </is>
      </c>
      <c r="B231" s="2" t="n">
        <v>10</v>
      </c>
      <c r="C231" s="2" t="inlineStr">
        <is>
          <t>IMP01013</t>
        </is>
      </c>
      <c r="D231" s="2" t="inlineStr">
        <is>
          <t>Twin Rivers Pack Ltd</t>
        </is>
      </c>
      <c r="E231" s="2" t="n">
        <v>13</v>
      </c>
      <c r="F231" s="27" t="n">
        <v>12684314.24</v>
      </c>
      <c r="G231" s="28" t="n">
        <v>0.0286</v>
      </c>
      <c r="H231" s="19" t="n">
        <v>0.945</v>
      </c>
      <c r="I231" s="29" t="n">
        <v>0.2308</v>
      </c>
      <c r="J231" s="2" t="inlineStr">
        <is>
          <t>EXP0596</t>
        </is>
      </c>
      <c r="K231" s="2" t="n">
        <v>1</v>
      </c>
      <c r="L231" s="2" t="inlineStr">
        <is>
          <t>BRK013</t>
        </is>
      </c>
      <c r="M231" s="2" t="inlineStr">
        <is>
          <t>AIR2</t>
        </is>
      </c>
      <c r="N231" s="2" t="n">
        <v>0</v>
      </c>
      <c r="O231" s="2" t="n">
        <v>0</v>
      </c>
      <c r="P231" s="2" t="n">
        <v>0</v>
      </c>
      <c r="Q231" s="2" t="n">
        <v>0</v>
      </c>
      <c r="R231" s="30">
        <f>IF(AND($C$5&lt;&gt;"",$A231=$C$5),1,"")</f>
        <v/>
      </c>
      <c r="S231" s="21">
        <f>IF(AND($C$5&lt;&gt;"",$A231=$C$5),SUMIFS($G$8:$G$715,$A$8:$A$715,$C$5,$B$8:$B$715,"&lt;="&amp;$B231),"")</f>
        <v/>
      </c>
      <c r="T231" s="24" t="n"/>
      <c r="U231" s="24" t="n"/>
    </row>
    <row r="232">
      <c r="A232" s="2" t="inlineStr">
        <is>
          <t>CHN-87</t>
        </is>
      </c>
      <c r="B232" s="2" t="n">
        <v>11</v>
      </c>
      <c r="C232" s="2" t="inlineStr">
        <is>
          <t>IMP00291</t>
        </is>
      </c>
      <c r="D232" s="2" t="inlineStr">
        <is>
          <t>Pacific Living Ltd</t>
        </is>
      </c>
      <c r="E232" s="2" t="n">
        <v>14</v>
      </c>
      <c r="F232" s="27" t="n">
        <v>10082247.87</v>
      </c>
      <c r="G232" s="28" t="n">
        <v>0.0227</v>
      </c>
      <c r="H232" s="19" t="n">
        <v>0.799</v>
      </c>
      <c r="I232" s="29" t="n">
        <v>0.3571</v>
      </c>
      <c r="J232" s="2" t="inlineStr">
        <is>
          <t>EXP0233</t>
        </is>
      </c>
      <c r="K232" s="2" t="n">
        <v>2</v>
      </c>
      <c r="L232" s="2" t="inlineStr">
        <is>
          <t>BRK075</t>
        </is>
      </c>
      <c r="M232" s="2" t="inlineStr">
        <is>
          <t>PORT2</t>
        </is>
      </c>
      <c r="N232" s="2" t="n">
        <v>0</v>
      </c>
      <c r="O232" s="2" t="n">
        <v>0</v>
      </c>
      <c r="P232" s="2" t="n">
        <v>0</v>
      </c>
      <c r="Q232" s="2" t="n">
        <v>0</v>
      </c>
      <c r="R232" s="30">
        <f>IF(AND($C$5&lt;&gt;"",$A232=$C$5),1,"")</f>
        <v/>
      </c>
      <c r="S232" s="21">
        <f>IF(AND($C$5&lt;&gt;"",$A232=$C$5),SUMIFS($G$8:$G$715,$A$8:$A$715,$C$5,$B$8:$B$715,"&lt;="&amp;$B232),"")</f>
        <v/>
      </c>
      <c r="T232" s="24" t="n"/>
      <c r="U232" s="24" t="n"/>
    </row>
    <row r="233">
      <c r="A233" s="2" t="inlineStr">
        <is>
          <t>CHN-87</t>
        </is>
      </c>
      <c r="B233" s="2" t="n">
        <v>12</v>
      </c>
      <c r="C233" s="2" t="inlineStr">
        <is>
          <t>IMP01303</t>
        </is>
      </c>
      <c r="D233" s="2" t="inlineStr">
        <is>
          <t>Arden Industries Enterprises</t>
        </is>
      </c>
      <c r="E233" s="2" t="n">
        <v>4</v>
      </c>
      <c r="F233" s="27" t="n">
        <v>5038659.67</v>
      </c>
      <c r="G233" s="28" t="n">
        <v>0.0114</v>
      </c>
      <c r="H233" s="19" t="n">
        <v>0.9015</v>
      </c>
      <c r="I233" s="29" t="n">
        <v>0</v>
      </c>
      <c r="J233" s="2" t="inlineStr">
        <is>
          <t>EXP0117</t>
        </is>
      </c>
      <c r="K233" s="2" t="n">
        <v>1</v>
      </c>
      <c r="L233" s="2" t="inlineStr">
        <is>
          <t>BRK068</t>
        </is>
      </c>
      <c r="M233" s="2" t="inlineStr">
        <is>
          <t>AIR2</t>
        </is>
      </c>
      <c r="N233" s="2" t="n">
        <v>0</v>
      </c>
      <c r="O233" s="2" t="n">
        <v>0</v>
      </c>
      <c r="P233" s="2" t="n">
        <v>0</v>
      </c>
      <c r="Q233" s="2" t="n">
        <v>0</v>
      </c>
      <c r="R233" s="30">
        <f>IF(AND($C$5&lt;&gt;"",$A233=$C$5),1,"")</f>
        <v/>
      </c>
      <c r="S233" s="21">
        <f>IF(AND($C$5&lt;&gt;"",$A233=$C$5),SUMIFS($G$8:$G$715,$A$8:$A$715,$C$5,$B$8:$B$715,"&lt;="&amp;$B233),"")</f>
        <v/>
      </c>
      <c r="T233" s="24" t="n"/>
      <c r="U233" s="24" t="n"/>
    </row>
    <row r="234">
      <c r="A234" s="2" t="inlineStr">
        <is>
          <t>CHN-87</t>
        </is>
      </c>
      <c r="B234" s="2" t="n">
        <v>13</v>
      </c>
      <c r="C234" s="2" t="inlineStr">
        <is>
          <t>IMP00714</t>
        </is>
      </c>
      <c r="D234" s="2" t="inlineStr">
        <is>
          <t>Summit Industries Holdings Ltd</t>
        </is>
      </c>
      <c r="E234" s="2" t="n">
        <v>4</v>
      </c>
      <c r="F234" s="27" t="n">
        <v>4811117.46</v>
      </c>
      <c r="G234" s="28" t="n">
        <v>0.0109</v>
      </c>
      <c r="H234" s="19" t="n">
        <v>0.9175</v>
      </c>
      <c r="I234" s="29" t="n">
        <v>0</v>
      </c>
      <c r="J234" s="2" t="inlineStr">
        <is>
          <t>EXP0585</t>
        </is>
      </c>
      <c r="K234" s="2" t="n">
        <v>5</v>
      </c>
      <c r="L234" s="2" t="inlineStr">
        <is>
          <t>BRK056</t>
        </is>
      </c>
      <c r="M234" s="2" t="inlineStr">
        <is>
          <t>AIR2</t>
        </is>
      </c>
      <c r="N234" s="2" t="n">
        <v>0</v>
      </c>
      <c r="O234" s="2" t="n">
        <v>0</v>
      </c>
      <c r="P234" s="2" t="n">
        <v>0</v>
      </c>
      <c r="Q234" s="2" t="n">
        <v>0</v>
      </c>
      <c r="R234" s="30">
        <f>IF(AND($C$5&lt;&gt;"",$A234=$C$5),1,"")</f>
        <v/>
      </c>
      <c r="S234" s="21">
        <f>IF(AND($C$5&lt;&gt;"",$A234=$C$5),SUMIFS($G$8:$G$715,$A$8:$A$715,$C$5,$B$8:$B$715,"&lt;="&amp;$B234),"")</f>
        <v/>
      </c>
      <c r="T234" s="24" t="n"/>
      <c r="U234" s="24" t="n"/>
    </row>
    <row r="235">
      <c r="A235" s="2" t="inlineStr">
        <is>
          <t>CHN-87</t>
        </is>
      </c>
      <c r="B235" s="2" t="n">
        <v>14</v>
      </c>
      <c r="C235" s="2" t="inlineStr">
        <is>
          <t>IMP00900</t>
        </is>
      </c>
      <c r="D235" s="2" t="inlineStr">
        <is>
          <t>Golden Glow Partners Ltd</t>
        </is>
      </c>
      <c r="E235" s="2" t="n">
        <v>1</v>
      </c>
      <c r="F235" s="27" t="n">
        <v>4639154.64</v>
      </c>
      <c r="G235" s="28" t="n">
        <v>0.0105</v>
      </c>
      <c r="H235" s="19" t="n">
        <v>0.724</v>
      </c>
      <c r="I235" s="29" t="n">
        <v>1</v>
      </c>
      <c r="J235" s="2" t="inlineStr">
        <is>
          <t>EXP0581</t>
        </is>
      </c>
      <c r="K235" s="2" t="n">
        <v>2</v>
      </c>
      <c r="L235" s="2" t="inlineStr">
        <is>
          <t>BRK016</t>
        </is>
      </c>
      <c r="M235" s="2" t="inlineStr">
        <is>
          <t>PORT2</t>
        </is>
      </c>
      <c r="N235" s="2" t="n">
        <v>0</v>
      </c>
      <c r="O235" s="2" t="n">
        <v>0</v>
      </c>
      <c r="P235" s="2" t="n">
        <v>0</v>
      </c>
      <c r="Q235" s="2" t="n">
        <v>0</v>
      </c>
      <c r="R235" s="30">
        <f>IF(AND($C$5&lt;&gt;"",$A235=$C$5),1,"")</f>
        <v/>
      </c>
      <c r="S235" s="21">
        <f>IF(AND($C$5&lt;&gt;"",$A235=$C$5),SUMIFS($G$8:$G$715,$A$8:$A$715,$C$5,$B$8:$B$715,"&lt;="&amp;$B235),"")</f>
        <v/>
      </c>
      <c r="T235" s="24" t="n"/>
      <c r="U235" s="24" t="n"/>
    </row>
    <row r="236">
      <c r="A236" s="2" t="inlineStr">
        <is>
          <t>CHN-87</t>
        </is>
      </c>
      <c r="B236" s="2" t="n">
        <v>15</v>
      </c>
      <c r="C236" s="2" t="inlineStr">
        <is>
          <t>IMP01470</t>
        </is>
      </c>
      <c r="D236" s="2" t="inlineStr">
        <is>
          <t>Royal Textiles Co., Ltd</t>
        </is>
      </c>
      <c r="E236" s="2" t="n">
        <v>3</v>
      </c>
      <c r="F236" s="27" t="n">
        <v>3581814.52</v>
      </c>
      <c r="G236" s="28" t="n">
        <v>0.0081</v>
      </c>
      <c r="H236" s="19" t="n">
        <v>0.909</v>
      </c>
      <c r="I236" s="29" t="n">
        <v>0</v>
      </c>
      <c r="J236" s="2" t="inlineStr">
        <is>
          <t>EXP0413</t>
        </is>
      </c>
      <c r="K236" s="2" t="n">
        <v>1</v>
      </c>
      <c r="L236" s="2" t="inlineStr">
        <is>
          <t>BRK027</t>
        </is>
      </c>
      <c r="M236" s="2" t="inlineStr">
        <is>
          <t>LAND5</t>
        </is>
      </c>
      <c r="N236" s="2" t="n">
        <v>0</v>
      </c>
      <c r="O236" s="2" t="n">
        <v>0</v>
      </c>
      <c r="P236" s="2" t="n">
        <v>0</v>
      </c>
      <c r="Q236" s="2" t="n">
        <v>0</v>
      </c>
      <c r="R236" s="30">
        <f>IF(AND($C$5&lt;&gt;"",$A236=$C$5),1,"")</f>
        <v/>
      </c>
      <c r="S236" s="21">
        <f>IF(AND($C$5&lt;&gt;"",$A236=$C$5),SUMIFS($G$8:$G$715,$A$8:$A$715,$C$5,$B$8:$B$715,"&lt;="&amp;$B236),"")</f>
        <v/>
      </c>
      <c r="T236" s="24" t="n"/>
      <c r="U236" s="24" t="n"/>
    </row>
    <row r="237">
      <c r="A237" s="2" t="inlineStr">
        <is>
          <t>CHN-87</t>
        </is>
      </c>
      <c r="B237" s="2" t="n">
        <v>16</v>
      </c>
      <c r="C237" s="2" t="inlineStr">
        <is>
          <t>IMP01422</t>
        </is>
      </c>
      <c r="D237" s="2" t="inlineStr">
        <is>
          <t>Inverness Imports Group Ltd</t>
        </is>
      </c>
      <c r="E237" s="2" t="n">
        <v>8</v>
      </c>
      <c r="F237" s="27" t="n">
        <v>2640420.37</v>
      </c>
      <c r="G237" s="28" t="n">
        <v>0.006</v>
      </c>
      <c r="H237" s="19" t="n">
        <v>0.7065</v>
      </c>
      <c r="I237" s="29" t="n">
        <v>0.875</v>
      </c>
      <c r="J237" s="2" t="inlineStr">
        <is>
          <t>EXP0048</t>
        </is>
      </c>
      <c r="K237" s="2" t="n">
        <v>3</v>
      </c>
      <c r="L237" s="2" t="inlineStr">
        <is>
          <t>BRK021</t>
        </is>
      </c>
      <c r="M237" s="2" t="inlineStr">
        <is>
          <t>LAND3</t>
        </is>
      </c>
      <c r="N237" s="2" t="n">
        <v>0</v>
      </c>
      <c r="O237" s="2" t="n">
        <v>0</v>
      </c>
      <c r="P237" s="2" t="n">
        <v>0</v>
      </c>
      <c r="Q237" s="2" t="n">
        <v>0</v>
      </c>
      <c r="R237" s="30">
        <f>IF(AND($C$5&lt;&gt;"",$A237=$C$5),1,"")</f>
        <v/>
      </c>
      <c r="S237" s="21">
        <f>IF(AND($C$5&lt;&gt;"",$A237=$C$5),SUMIFS($G$8:$G$715,$A$8:$A$715,$C$5,$B$8:$B$715,"&lt;="&amp;$B237),"")</f>
        <v/>
      </c>
      <c r="T237" s="24" t="n"/>
      <c r="U237" s="24" t="n"/>
    </row>
    <row r="238">
      <c r="A238" s="2" t="inlineStr">
        <is>
          <t>CHN-87</t>
        </is>
      </c>
      <c r="B238" s="2" t="n">
        <v>17</v>
      </c>
      <c r="C238" s="2" t="inlineStr">
        <is>
          <t>IMP00530</t>
        </is>
      </c>
      <c r="D238" s="2" t="inlineStr">
        <is>
          <t>Aldergate Electronics International Ltd</t>
        </is>
      </c>
      <c r="E238" s="2" t="n">
        <v>1</v>
      </c>
      <c r="F238" s="27" t="n">
        <v>2185991.71</v>
      </c>
      <c r="G238" s="28" t="n">
        <v>0.0049</v>
      </c>
      <c r="H238" s="19" t="n">
        <v>1.013</v>
      </c>
      <c r="I238" s="29" t="n">
        <v>0</v>
      </c>
      <c r="J238" s="2" t="inlineStr">
        <is>
          <t>EXP0585</t>
        </is>
      </c>
      <c r="K238" s="2" t="n">
        <v>5</v>
      </c>
      <c r="L238" s="2" t="inlineStr">
        <is>
          <t>BRK042</t>
        </is>
      </c>
      <c r="M238" s="2" t="inlineStr">
        <is>
          <t>PORT3</t>
        </is>
      </c>
      <c r="N238" s="2" t="n">
        <v>0</v>
      </c>
      <c r="O238" s="2" t="n">
        <v>0</v>
      </c>
      <c r="P238" s="2" t="n">
        <v>0</v>
      </c>
      <c r="Q238" s="2" t="n">
        <v>0</v>
      </c>
      <c r="R238" s="30">
        <f>IF(AND($C$5&lt;&gt;"",$A238=$C$5),1,"")</f>
        <v/>
      </c>
      <c r="S238" s="21">
        <f>IF(AND($C$5&lt;&gt;"",$A238=$C$5),SUMIFS($G$8:$G$715,$A$8:$A$715,$C$5,$B$8:$B$715,"&lt;="&amp;$B238),"")</f>
        <v/>
      </c>
      <c r="T238" s="24" t="n"/>
      <c r="U238" s="24" t="n"/>
    </row>
    <row r="239">
      <c r="A239" s="2" t="inlineStr">
        <is>
          <t>CHN-87</t>
        </is>
      </c>
      <c r="B239" s="2" t="n">
        <v>18</v>
      </c>
      <c r="C239" s="2" t="inlineStr">
        <is>
          <t>IMP01020</t>
        </is>
      </c>
      <c r="D239" s="2" t="inlineStr">
        <is>
          <t>Blue Ocean Enterprises International Ltd</t>
        </is>
      </c>
      <c r="E239" s="2" t="n">
        <v>3</v>
      </c>
      <c r="F239" s="27" t="n">
        <v>1458697.43</v>
      </c>
      <c r="G239" s="28" t="n">
        <v>0.0033</v>
      </c>
      <c r="H239" s="19" t="n">
        <v>0.905</v>
      </c>
      <c r="I239" s="29" t="n">
        <v>0</v>
      </c>
      <c r="J239" s="2" t="inlineStr">
        <is>
          <t>EXP0426</t>
        </is>
      </c>
      <c r="K239" s="2" t="n">
        <v>2</v>
      </c>
      <c r="L239" s="2" t="inlineStr">
        <is>
          <t>BRK022</t>
        </is>
      </c>
      <c r="M239" s="2" t="inlineStr">
        <is>
          <t>LAND4</t>
        </is>
      </c>
      <c r="N239" s="2" t="n">
        <v>0</v>
      </c>
      <c r="O239" s="2" t="n">
        <v>1</v>
      </c>
      <c r="P239" s="2" t="n">
        <v>0</v>
      </c>
      <c r="Q239" s="2" t="n">
        <v>0</v>
      </c>
      <c r="R239" s="30">
        <f>IF(AND($C$5&lt;&gt;"",$A239=$C$5),1,"")</f>
        <v/>
      </c>
      <c r="S239" s="21">
        <f>IF(AND($C$5&lt;&gt;"",$A239=$C$5),SUMIFS($G$8:$G$715,$A$8:$A$715,$C$5,$B$8:$B$715,"&lt;="&amp;$B239),"")</f>
        <v/>
      </c>
      <c r="T239" s="24" t="n"/>
      <c r="U239" s="24" t="n"/>
    </row>
    <row r="240">
      <c r="A240" s="2" t="inlineStr">
        <is>
          <t>CHN-87</t>
        </is>
      </c>
      <c r="B240" s="2" t="n">
        <v>19</v>
      </c>
      <c r="C240" s="2" t="inlineStr">
        <is>
          <t>IMP00042</t>
        </is>
      </c>
      <c r="D240" s="2" t="inlineStr">
        <is>
          <t>Lotus Enterprises International Ltd</t>
        </is>
      </c>
      <c r="E240" s="2" t="n">
        <v>1</v>
      </c>
      <c r="F240" s="27" t="n">
        <v>886272.35</v>
      </c>
      <c r="G240" s="28" t="n">
        <v>0.002</v>
      </c>
      <c r="H240" s="19" t="n">
        <v>0.801</v>
      </c>
      <c r="I240" s="29" t="n">
        <v>0</v>
      </c>
      <c r="J240" s="2" t="inlineStr">
        <is>
          <t>EXP0501</t>
        </is>
      </c>
      <c r="K240" s="2" t="n">
        <v>4</v>
      </c>
      <c r="L240" s="2" t="inlineStr">
        <is>
          <t>BRK021</t>
        </is>
      </c>
      <c r="M240" s="2" t="inlineStr">
        <is>
          <t>LAND4</t>
        </is>
      </c>
      <c r="N240" s="2" t="n">
        <v>0</v>
      </c>
      <c r="O240" s="2" t="n">
        <v>0</v>
      </c>
      <c r="P240" s="2" t="n">
        <v>0</v>
      </c>
      <c r="Q240" s="2" t="n">
        <v>0</v>
      </c>
      <c r="R240" s="30">
        <f>IF(AND($C$5&lt;&gt;"",$A240=$C$5),1,"")</f>
        <v/>
      </c>
      <c r="S240" s="21">
        <f>IF(AND($C$5&lt;&gt;"",$A240=$C$5),SUMIFS($G$8:$G$715,$A$8:$A$715,$C$5,$B$8:$B$715,"&lt;="&amp;$B240),"")</f>
        <v/>
      </c>
      <c r="T240" s="24" t="n"/>
      <c r="U240" s="24" t="n"/>
    </row>
    <row r="241">
      <c r="A241" s="2" t="inlineStr">
        <is>
          <t>CHN-87</t>
        </is>
      </c>
      <c r="B241" s="2" t="n">
        <v>20</v>
      </c>
      <c r="C241" s="2" t="inlineStr">
        <is>
          <t>IMP01162</t>
        </is>
      </c>
      <c r="D241" s="2" t="inlineStr">
        <is>
          <t>Central Glow &amp; Sons</t>
        </is>
      </c>
      <c r="E241" s="2" t="n">
        <v>1</v>
      </c>
      <c r="F241" s="27" t="n">
        <v>522961.59</v>
      </c>
      <c r="G241" s="28" t="n">
        <v>0.0012</v>
      </c>
      <c r="H241" s="19" t="n">
        <v>0.76</v>
      </c>
      <c r="I241" s="29" t="n">
        <v>0</v>
      </c>
      <c r="J241" s="2" t="inlineStr">
        <is>
          <t>EXP0485</t>
        </is>
      </c>
      <c r="K241" s="2" t="n">
        <v>3</v>
      </c>
      <c r="L241" s="2" t="inlineStr">
        <is>
          <t>BRK024</t>
        </is>
      </c>
      <c r="M241" s="2" t="inlineStr">
        <is>
          <t>PORT2</t>
        </is>
      </c>
      <c r="N241" s="2" t="n">
        <v>0</v>
      </c>
      <c r="O241" s="2" t="n">
        <v>0</v>
      </c>
      <c r="P241" s="2" t="n">
        <v>0</v>
      </c>
      <c r="Q241" s="2" t="n">
        <v>0</v>
      </c>
      <c r="R241" s="30">
        <f>IF(AND($C$5&lt;&gt;"",$A241=$C$5),1,"")</f>
        <v/>
      </c>
      <c r="S241" s="21">
        <f>IF(AND($C$5&lt;&gt;"",$A241=$C$5),SUMIFS($G$8:$G$715,$A$8:$A$715,$C$5,$B$8:$B$715,"&lt;="&amp;$B241),"")</f>
        <v/>
      </c>
      <c r="T241" s="24" t="n"/>
      <c r="U241" s="24" t="n"/>
    </row>
    <row r="242">
      <c r="A242" s="2" t="inlineStr">
        <is>
          <t>IND-17</t>
        </is>
      </c>
      <c r="B242" s="2" t="n">
        <v>1</v>
      </c>
      <c r="C242" s="2" t="inlineStr">
        <is>
          <t>IMP00022</t>
        </is>
      </c>
      <c r="D242" s="2" t="inlineStr">
        <is>
          <t>Crown Glow Group Ltd</t>
        </is>
      </c>
      <c r="E242" s="2" t="n">
        <v>15</v>
      </c>
      <c r="F242" s="27" t="n">
        <v>10715628.23</v>
      </c>
      <c r="G242" s="28" t="n">
        <v>0.2805</v>
      </c>
      <c r="H242" s="19" t="n">
        <v>0.991</v>
      </c>
      <c r="I242" s="29" t="n">
        <v>0.0667</v>
      </c>
      <c r="J242" s="2" t="inlineStr">
        <is>
          <t>EXP0445</t>
        </is>
      </c>
      <c r="K242" s="2" t="n">
        <v>3</v>
      </c>
      <c r="L242" s="2" t="inlineStr">
        <is>
          <t>BRK037</t>
        </is>
      </c>
      <c r="M242" s="2" t="inlineStr">
        <is>
          <t>PORT3</t>
        </is>
      </c>
      <c r="N242" s="2" t="n">
        <v>0</v>
      </c>
      <c r="O242" s="2" t="n">
        <v>0</v>
      </c>
      <c r="P242" s="2" t="n">
        <v>0</v>
      </c>
      <c r="Q242" s="2" t="n">
        <v>0</v>
      </c>
      <c r="R242" s="30">
        <f>IF(AND($C$5&lt;&gt;"",$A242=$C$5),1,"")</f>
        <v/>
      </c>
      <c r="S242" s="21">
        <f>IF(AND($C$5&lt;&gt;"",$A242=$C$5),SUMIFS($G$8:$G$715,$A$8:$A$715,$C$5,$B$8:$B$715,"&lt;="&amp;$B242),"")</f>
        <v/>
      </c>
      <c r="T242" s="24" t="n"/>
      <c r="U242" s="24" t="n"/>
    </row>
    <row r="243">
      <c r="A243" s="2" t="inlineStr">
        <is>
          <t>IND-17</t>
        </is>
      </c>
      <c r="B243" s="2" t="n">
        <v>2</v>
      </c>
      <c r="C243" s="2" t="inlineStr">
        <is>
          <t>IMP00318</t>
        </is>
      </c>
      <c r="D243" s="2" t="inlineStr">
        <is>
          <t>Green Valley Trading Limited</t>
        </is>
      </c>
      <c r="E243" s="2" t="n">
        <v>19</v>
      </c>
      <c r="F243" s="27" t="n">
        <v>6675638.8</v>
      </c>
      <c r="G243" s="28" t="n">
        <v>0.1747</v>
      </c>
      <c r="H243" s="19" t="n">
        <v>0.93</v>
      </c>
      <c r="I243" s="29" t="n">
        <v>0</v>
      </c>
      <c r="J243" s="2" t="inlineStr">
        <is>
          <t>EXP0449</t>
        </is>
      </c>
      <c r="K243" s="2" t="n">
        <v>3</v>
      </c>
      <c r="L243" s="2" t="inlineStr">
        <is>
          <t>BRK004</t>
        </is>
      </c>
      <c r="M243" s="2" t="inlineStr">
        <is>
          <t>LAND1</t>
        </is>
      </c>
      <c r="N243" s="2" t="n">
        <v>0</v>
      </c>
      <c r="O243" s="2" t="n">
        <v>0</v>
      </c>
      <c r="P243" s="2" t="n">
        <v>0</v>
      </c>
      <c r="Q243" s="2" t="n">
        <v>0</v>
      </c>
      <c r="R243" s="30">
        <f>IF(AND($C$5&lt;&gt;"",$A243=$C$5),1,"")</f>
        <v/>
      </c>
      <c r="S243" s="21">
        <f>IF(AND($C$5&lt;&gt;"",$A243=$C$5),SUMIFS($G$8:$G$715,$A$8:$A$715,$C$5,$B$8:$B$715,"&lt;="&amp;$B243),"")</f>
        <v/>
      </c>
      <c r="T243" s="24" t="n"/>
      <c r="U243" s="24" t="n"/>
    </row>
    <row r="244">
      <c r="A244" s="2" t="inlineStr">
        <is>
          <t>IND-17</t>
        </is>
      </c>
      <c r="B244" s="2" t="n">
        <v>3</v>
      </c>
      <c r="C244" s="2" t="inlineStr">
        <is>
          <t>IMP00652</t>
        </is>
      </c>
      <c r="D244" s="2" t="inlineStr">
        <is>
          <t>Golden Glow Group Ltd</t>
        </is>
      </c>
      <c r="E244" s="2" t="n">
        <v>11</v>
      </c>
      <c r="F244" s="27" t="n">
        <v>4319867.81</v>
      </c>
      <c r="G244" s="28" t="n">
        <v>0.1131</v>
      </c>
      <c r="H244" s="19" t="n">
        <v>0.838</v>
      </c>
      <c r="I244" s="29" t="n">
        <v>0.2727</v>
      </c>
      <c r="J244" s="2" t="inlineStr">
        <is>
          <t>EXP0102</t>
        </is>
      </c>
      <c r="K244" s="2" t="n">
        <v>3</v>
      </c>
      <c r="L244" s="2" t="inlineStr">
        <is>
          <t>BRK039</t>
        </is>
      </c>
      <c r="M244" s="2" t="inlineStr">
        <is>
          <t>AIR1</t>
        </is>
      </c>
      <c r="N244" s="2" t="n">
        <v>0</v>
      </c>
      <c r="O244" s="2" t="n">
        <v>0</v>
      </c>
      <c r="P244" s="2" t="n">
        <v>0</v>
      </c>
      <c r="Q244" s="2" t="n">
        <v>1</v>
      </c>
      <c r="R244" s="30">
        <f>IF(AND($C$5&lt;&gt;"",$A244=$C$5),1,"")</f>
        <v/>
      </c>
      <c r="S244" s="21">
        <f>IF(AND($C$5&lt;&gt;"",$A244=$C$5),SUMIFS($G$8:$G$715,$A$8:$A$715,$C$5,$B$8:$B$715,"&lt;="&amp;$B244),"")</f>
        <v/>
      </c>
      <c r="T244" s="24" t="n"/>
      <c r="U244" s="24" t="n"/>
    </row>
    <row r="245">
      <c r="A245" s="2" t="inlineStr">
        <is>
          <t>IND-17</t>
        </is>
      </c>
      <c r="B245" s="2" t="n">
        <v>4</v>
      </c>
      <c r="C245" s="2" t="inlineStr">
        <is>
          <t>IMP01356</t>
        </is>
      </c>
      <c r="D245" s="2" t="inlineStr">
        <is>
          <t>Coral Enterprises Co.</t>
        </is>
      </c>
      <c r="E245" s="2" t="n">
        <v>30</v>
      </c>
      <c r="F245" s="27" t="n">
        <v>3602811.95</v>
      </c>
      <c r="G245" s="28" t="n">
        <v>0.09429999999999999</v>
      </c>
      <c r="H245" s="19" t="n">
        <v>0.7335</v>
      </c>
      <c r="I245" s="29" t="n">
        <v>0.6667</v>
      </c>
      <c r="J245" s="2" t="inlineStr">
        <is>
          <t>EXP0123</t>
        </is>
      </c>
      <c r="K245" s="2" t="n">
        <v>2</v>
      </c>
      <c r="L245" s="2" t="inlineStr">
        <is>
          <t>BRK078</t>
        </is>
      </c>
      <c r="M245" s="2" t="inlineStr">
        <is>
          <t>LAND3</t>
        </is>
      </c>
      <c r="N245" s="2" t="n">
        <v>0</v>
      </c>
      <c r="O245" s="2" t="n">
        <v>0</v>
      </c>
      <c r="P245" s="2" t="n">
        <v>0</v>
      </c>
      <c r="Q245" s="2" t="n">
        <v>0</v>
      </c>
      <c r="R245" s="30">
        <f>IF(AND($C$5&lt;&gt;"",$A245=$C$5),1,"")</f>
        <v/>
      </c>
      <c r="S245" s="21">
        <f>IF(AND($C$5&lt;&gt;"",$A245=$C$5),SUMIFS($G$8:$G$715,$A$8:$A$715,$C$5,$B$8:$B$715,"&lt;="&amp;$B245),"")</f>
        <v/>
      </c>
      <c r="T245" s="24" t="n"/>
      <c r="U245" s="24" t="n"/>
    </row>
    <row r="246">
      <c r="A246" s="2" t="inlineStr">
        <is>
          <t>IND-17</t>
        </is>
      </c>
      <c r="B246" s="2" t="n">
        <v>5</v>
      </c>
      <c r="C246" s="2" t="inlineStr">
        <is>
          <t>IMP01450</t>
        </is>
      </c>
      <c r="D246" s="2" t="inlineStr">
        <is>
          <t>Delta Electronics Ltd</t>
        </is>
      </c>
      <c r="E246" s="2" t="n">
        <v>5</v>
      </c>
      <c r="F246" s="27" t="n">
        <v>2870064.16</v>
      </c>
      <c r="G246" s="28" t="n">
        <v>0.0751</v>
      </c>
      <c r="H246" s="19" t="n">
        <v>1.049</v>
      </c>
      <c r="I246" s="29" t="n">
        <v>0</v>
      </c>
      <c r="J246" s="2" t="inlineStr">
        <is>
          <t>EXP0019</t>
        </is>
      </c>
      <c r="K246" s="2" t="n">
        <v>2</v>
      </c>
      <c r="L246" s="2" t="inlineStr">
        <is>
          <t>BRK048</t>
        </is>
      </c>
      <c r="M246" s="2" t="inlineStr">
        <is>
          <t>PORT2</t>
        </is>
      </c>
      <c r="N246" s="2" t="n">
        <v>0</v>
      </c>
      <c r="O246" s="2" t="n">
        <v>0</v>
      </c>
      <c r="P246" s="2" t="n">
        <v>0</v>
      </c>
      <c r="Q246" s="2" t="n">
        <v>0</v>
      </c>
      <c r="R246" s="30">
        <f>IF(AND($C$5&lt;&gt;"",$A246=$C$5),1,"")</f>
        <v/>
      </c>
      <c r="S246" s="21">
        <f>IF(AND($C$5&lt;&gt;"",$A246=$C$5),SUMIFS($G$8:$G$715,$A$8:$A$715,$C$5,$B$8:$B$715,"&lt;="&amp;$B246),"")</f>
        <v/>
      </c>
      <c r="T246" s="24" t="n"/>
      <c r="U246" s="24" t="n"/>
    </row>
    <row r="247">
      <c r="A247" s="2" t="inlineStr">
        <is>
          <t>IND-17</t>
        </is>
      </c>
      <c r="B247" s="2" t="n">
        <v>6</v>
      </c>
      <c r="C247" s="2" t="inlineStr">
        <is>
          <t>IMP00835</t>
        </is>
      </c>
      <c r="D247" s="2" t="inlineStr">
        <is>
          <t>Inverness Living &amp; Sons</t>
        </is>
      </c>
      <c r="E247" s="2" t="n">
        <v>14</v>
      </c>
      <c r="F247" s="27" t="n">
        <v>2587144.77</v>
      </c>
      <c r="G247" s="28" t="n">
        <v>0.0677</v>
      </c>
      <c r="H247" s="19" t="n">
        <v>0.79</v>
      </c>
      <c r="I247" s="29" t="n">
        <v>0.2857</v>
      </c>
      <c r="J247" s="2" t="inlineStr">
        <is>
          <t>EXP0067</t>
        </is>
      </c>
      <c r="K247" s="2" t="n">
        <v>3</v>
      </c>
      <c r="L247" s="2" t="inlineStr">
        <is>
          <t>BRK033</t>
        </is>
      </c>
      <c r="M247" s="2" t="inlineStr">
        <is>
          <t>PORT2</t>
        </is>
      </c>
      <c r="N247" s="2" t="n">
        <v>0</v>
      </c>
      <c r="O247" s="2" t="n">
        <v>0</v>
      </c>
      <c r="P247" s="2" t="n">
        <v>0</v>
      </c>
      <c r="Q247" s="2" t="n">
        <v>1</v>
      </c>
      <c r="R247" s="30">
        <f>IF(AND($C$5&lt;&gt;"",$A247=$C$5),1,"")</f>
        <v/>
      </c>
      <c r="S247" s="21">
        <f>IF(AND($C$5&lt;&gt;"",$A247=$C$5),SUMIFS($G$8:$G$715,$A$8:$A$715,$C$5,$B$8:$B$715,"&lt;="&amp;$B247),"")</f>
        <v/>
      </c>
      <c r="T247" s="24" t="n"/>
      <c r="U247" s="24" t="n"/>
    </row>
    <row r="248">
      <c r="A248" s="2" t="inlineStr">
        <is>
          <t>IND-17</t>
        </is>
      </c>
      <c r="B248" s="2" t="n">
        <v>7</v>
      </c>
      <c r="C248" s="2" t="inlineStr">
        <is>
          <t>IMP00785</t>
        </is>
      </c>
      <c r="D248" s="2" t="inlineStr">
        <is>
          <t>Saffron Enterprises &amp; Sons</t>
        </is>
      </c>
      <c r="E248" s="2" t="n">
        <v>4</v>
      </c>
      <c r="F248" s="27" t="n">
        <v>1255850.27</v>
      </c>
      <c r="G248" s="28" t="n">
        <v>0.0329</v>
      </c>
      <c r="H248" s="19" t="n">
        <v>0.966</v>
      </c>
      <c r="I248" s="29" t="n">
        <v>0</v>
      </c>
      <c r="J248" s="2" t="inlineStr">
        <is>
          <t>EXP0477</t>
        </is>
      </c>
      <c r="K248" s="2" t="n">
        <v>1</v>
      </c>
      <c r="L248" s="2" t="inlineStr">
        <is>
          <t>BRK039</t>
        </is>
      </c>
      <c r="M248" s="2" t="inlineStr">
        <is>
          <t>PORT3</t>
        </is>
      </c>
      <c r="N248" s="2" t="n">
        <v>0</v>
      </c>
      <c r="O248" s="2" t="n">
        <v>0</v>
      </c>
      <c r="P248" s="2" t="n">
        <v>0</v>
      </c>
      <c r="Q248" s="2" t="n">
        <v>0</v>
      </c>
      <c r="R248" s="30">
        <f>IF(AND($C$5&lt;&gt;"",$A248=$C$5),1,"")</f>
        <v/>
      </c>
      <c r="S248" s="21">
        <f>IF(AND($C$5&lt;&gt;"",$A248=$C$5),SUMIFS($G$8:$G$715,$A$8:$A$715,$C$5,$B$8:$B$715,"&lt;="&amp;$B248),"")</f>
        <v/>
      </c>
      <c r="T248" s="24" t="n"/>
      <c r="U248" s="24" t="n"/>
    </row>
    <row r="249">
      <c r="A249" s="2" t="inlineStr">
        <is>
          <t>IND-17</t>
        </is>
      </c>
      <c r="B249" s="2" t="n">
        <v>8</v>
      </c>
      <c r="C249" s="2" t="inlineStr">
        <is>
          <t>IMP00285</t>
        </is>
      </c>
      <c r="D249" s="2" t="inlineStr">
        <is>
          <t>Global Living Enterprises</t>
        </is>
      </c>
      <c r="E249" s="2" t="n">
        <v>5</v>
      </c>
      <c r="F249" s="27" t="n">
        <v>1037846.38</v>
      </c>
      <c r="G249" s="28" t="n">
        <v>0.0272</v>
      </c>
      <c r="H249" s="19" t="n">
        <v>0.986</v>
      </c>
      <c r="I249" s="29" t="n">
        <v>0.2</v>
      </c>
      <c r="J249" s="2" t="inlineStr">
        <is>
          <t>EXP0102</t>
        </is>
      </c>
      <c r="K249" s="2" t="n">
        <v>3</v>
      </c>
      <c r="L249" s="2" t="inlineStr">
        <is>
          <t>BRK027</t>
        </is>
      </c>
      <c r="M249" s="2" t="inlineStr">
        <is>
          <t>PORT1</t>
        </is>
      </c>
      <c r="N249" s="2" t="n">
        <v>0</v>
      </c>
      <c r="O249" s="2" t="n">
        <v>0</v>
      </c>
      <c r="P249" s="2" t="n">
        <v>0</v>
      </c>
      <c r="Q249" s="2" t="n">
        <v>0</v>
      </c>
      <c r="R249" s="30">
        <f>IF(AND($C$5&lt;&gt;"",$A249=$C$5),1,"")</f>
        <v/>
      </c>
      <c r="S249" s="21">
        <f>IF(AND($C$5&lt;&gt;"",$A249=$C$5),SUMIFS($G$8:$G$715,$A$8:$A$715,$C$5,$B$8:$B$715,"&lt;="&amp;$B249),"")</f>
        <v/>
      </c>
      <c r="T249" s="24" t="n"/>
      <c r="U249" s="24" t="n"/>
    </row>
    <row r="250">
      <c r="A250" s="2" t="inlineStr">
        <is>
          <t>IND-17</t>
        </is>
      </c>
      <c r="B250" s="2" t="n">
        <v>9</v>
      </c>
      <c r="C250" s="2" t="inlineStr">
        <is>
          <t>IMP01163</t>
        </is>
      </c>
      <c r="D250" s="2" t="inlineStr">
        <is>
          <t>Cobalt Distribution Limited</t>
        </is>
      </c>
      <c r="E250" s="2" t="n">
        <v>4</v>
      </c>
      <c r="F250" s="27" t="n">
        <v>767166.64</v>
      </c>
      <c r="G250" s="28" t="n">
        <v>0.0201</v>
      </c>
      <c r="H250" s="19" t="n">
        <v>0.7685</v>
      </c>
      <c r="I250" s="29" t="n">
        <v>0</v>
      </c>
      <c r="J250" s="2" t="inlineStr">
        <is>
          <t>EXP0597</t>
        </is>
      </c>
      <c r="K250" s="2" t="n">
        <v>4</v>
      </c>
      <c r="L250" s="2" t="inlineStr">
        <is>
          <t>BRK050</t>
        </is>
      </c>
      <c r="M250" s="2" t="inlineStr">
        <is>
          <t>AIR1</t>
        </is>
      </c>
      <c r="N250" s="2" t="n">
        <v>0</v>
      </c>
      <c r="O250" s="2" t="n">
        <v>0</v>
      </c>
      <c r="P250" s="2" t="n">
        <v>0</v>
      </c>
      <c r="Q250" s="2" t="n">
        <v>0</v>
      </c>
      <c r="R250" s="30">
        <f>IF(AND($C$5&lt;&gt;"",$A250=$C$5),1,"")</f>
        <v/>
      </c>
      <c r="S250" s="21">
        <f>IF(AND($C$5&lt;&gt;"",$A250=$C$5),SUMIFS($G$8:$G$715,$A$8:$A$715,$C$5,$B$8:$B$715,"&lt;="&amp;$B250),"")</f>
        <v/>
      </c>
      <c r="T250" s="24" t="n"/>
      <c r="U250" s="24" t="n"/>
    </row>
    <row r="251">
      <c r="A251" s="2" t="inlineStr">
        <is>
          <t>IND-17</t>
        </is>
      </c>
      <c r="B251" s="2" t="n">
        <v>10</v>
      </c>
      <c r="C251" s="2" t="inlineStr">
        <is>
          <t>IMP01101</t>
        </is>
      </c>
      <c r="D251" s="2" t="inlineStr">
        <is>
          <t>United Mobile Co.</t>
        </is>
      </c>
      <c r="E251" s="2" t="n">
        <v>4</v>
      </c>
      <c r="F251" s="27" t="n">
        <v>758412.83</v>
      </c>
      <c r="G251" s="28" t="n">
        <v>0.0199</v>
      </c>
      <c r="H251" s="19" t="n">
        <v>0.5925</v>
      </c>
      <c r="I251" s="29" t="n">
        <v>0.75</v>
      </c>
      <c r="J251" s="2" t="inlineStr">
        <is>
          <t>EXP0403</t>
        </is>
      </c>
      <c r="K251" s="2" t="n">
        <v>3</v>
      </c>
      <c r="L251" s="2" t="inlineStr">
        <is>
          <t>BRK033</t>
        </is>
      </c>
      <c r="M251" s="2" t="inlineStr">
        <is>
          <t>LAND1</t>
        </is>
      </c>
      <c r="N251" s="2" t="n">
        <v>0</v>
      </c>
      <c r="O251" s="2" t="n">
        <v>0</v>
      </c>
      <c r="P251" s="2" t="n">
        <v>0</v>
      </c>
      <c r="Q251" s="2" t="n">
        <v>0</v>
      </c>
      <c r="R251" s="30">
        <f>IF(AND($C$5&lt;&gt;"",$A251=$C$5),1,"")</f>
        <v/>
      </c>
      <c r="S251" s="21">
        <f>IF(AND($C$5&lt;&gt;"",$A251=$C$5),SUMIFS($G$8:$G$715,$A$8:$A$715,$C$5,$B$8:$B$715,"&lt;="&amp;$B251),"")</f>
        <v/>
      </c>
      <c r="T251" s="24" t="n"/>
      <c r="U251" s="24" t="n"/>
    </row>
    <row r="252">
      <c r="A252" s="2" t="inlineStr">
        <is>
          <t>IND-17</t>
        </is>
      </c>
      <c r="B252" s="2" t="n">
        <v>11</v>
      </c>
      <c r="C252" s="2" t="inlineStr">
        <is>
          <t>IMP00220</t>
        </is>
      </c>
      <c r="D252" s="2" t="inlineStr">
        <is>
          <t>Star Medical Co.</t>
        </is>
      </c>
      <c r="E252" s="2" t="n">
        <v>1</v>
      </c>
      <c r="F252" s="27" t="n">
        <v>683650.9399999999</v>
      </c>
      <c r="G252" s="28" t="n">
        <v>0.0179</v>
      </c>
      <c r="H252" s="19" t="n">
        <v>1.154</v>
      </c>
      <c r="I252" s="29" t="n">
        <v>0</v>
      </c>
      <c r="J252" s="2" t="inlineStr">
        <is>
          <t>EXP0161</t>
        </is>
      </c>
      <c r="K252" s="2" t="n">
        <v>3</v>
      </c>
      <c r="L252" s="2" t="inlineStr">
        <is>
          <t>BRK028</t>
        </is>
      </c>
      <c r="M252" s="2" t="inlineStr">
        <is>
          <t>PORT2</t>
        </is>
      </c>
      <c r="N252" s="2" t="n">
        <v>0</v>
      </c>
      <c r="O252" s="2" t="n">
        <v>0</v>
      </c>
      <c r="P252" s="2" t="n">
        <v>0</v>
      </c>
      <c r="Q252" s="2" t="n">
        <v>0</v>
      </c>
      <c r="R252" s="30">
        <f>IF(AND($C$5&lt;&gt;"",$A252=$C$5),1,"")</f>
        <v/>
      </c>
      <c r="S252" s="21">
        <f>IF(AND($C$5&lt;&gt;"",$A252=$C$5),SUMIFS($G$8:$G$715,$A$8:$A$715,$C$5,$B$8:$B$715,"&lt;="&amp;$B252),"")</f>
        <v/>
      </c>
      <c r="T252" s="24" t="n"/>
      <c r="U252" s="24" t="n"/>
    </row>
    <row r="253">
      <c r="A253" s="2" t="inlineStr">
        <is>
          <t>IND-17</t>
        </is>
      </c>
      <c r="B253" s="2" t="n">
        <v>12</v>
      </c>
      <c r="C253" s="2" t="inlineStr">
        <is>
          <t>IMP01239</t>
        </is>
      </c>
      <c r="D253" s="2" t="inlineStr">
        <is>
          <t>Harmony Living &amp; Sons</t>
        </is>
      </c>
      <c r="E253" s="2" t="n">
        <v>9</v>
      </c>
      <c r="F253" s="27" t="n">
        <v>605253.9</v>
      </c>
      <c r="G253" s="28" t="n">
        <v>0.0158</v>
      </c>
      <c r="H253" s="19" t="n">
        <v>0.77</v>
      </c>
      <c r="I253" s="29" t="n">
        <v>0.3333</v>
      </c>
      <c r="J253" s="2" t="inlineStr">
        <is>
          <t>EXP0157</t>
        </is>
      </c>
      <c r="K253" s="2" t="n">
        <v>3</v>
      </c>
      <c r="L253" s="2" t="inlineStr">
        <is>
          <t>BRK061</t>
        </is>
      </c>
      <c r="M253" s="2" t="inlineStr">
        <is>
          <t>LAND3</t>
        </is>
      </c>
      <c r="N253" s="2" t="n">
        <v>0</v>
      </c>
      <c r="O253" s="2" t="n">
        <v>0</v>
      </c>
      <c r="P253" s="2" t="n">
        <v>0</v>
      </c>
      <c r="Q253" s="2" t="n">
        <v>0</v>
      </c>
      <c r="R253" s="30">
        <f>IF(AND($C$5&lt;&gt;"",$A253=$C$5),1,"")</f>
        <v/>
      </c>
      <c r="S253" s="21">
        <f>IF(AND($C$5&lt;&gt;"",$A253=$C$5),SUMIFS($G$8:$G$715,$A$8:$A$715,$C$5,$B$8:$B$715,"&lt;="&amp;$B253),"")</f>
        <v/>
      </c>
      <c r="T253" s="24" t="n"/>
      <c r="U253" s="24" t="n"/>
    </row>
    <row r="254">
      <c r="A254" s="2" t="inlineStr">
        <is>
          <t>IND-17</t>
        </is>
      </c>
      <c r="B254" s="2" t="n">
        <v>13</v>
      </c>
      <c r="C254" s="2" t="inlineStr">
        <is>
          <t>IMP00389</t>
        </is>
      </c>
      <c r="D254" s="2" t="inlineStr">
        <is>
          <t>Aldergate Textiles Enterprises</t>
        </is>
      </c>
      <c r="E254" s="2" t="n">
        <v>1</v>
      </c>
      <c r="F254" s="27" t="n">
        <v>492228.57</v>
      </c>
      <c r="G254" s="28" t="n">
        <v>0.0129</v>
      </c>
      <c r="H254" s="19" t="n">
        <v>0.76</v>
      </c>
      <c r="I254" s="29" t="n">
        <v>0</v>
      </c>
      <c r="J254" s="2" t="inlineStr">
        <is>
          <t>EXP0067</t>
        </is>
      </c>
      <c r="K254" s="2" t="n">
        <v>3</v>
      </c>
      <c r="L254" s="2" t="inlineStr">
        <is>
          <t>BRK022</t>
        </is>
      </c>
      <c r="M254" s="2" t="inlineStr">
        <is>
          <t>PORT1</t>
        </is>
      </c>
      <c r="N254" s="2" t="n">
        <v>0</v>
      </c>
      <c r="O254" s="2" t="n">
        <v>0</v>
      </c>
      <c r="P254" s="2" t="n">
        <v>0</v>
      </c>
      <c r="Q254" s="2" t="n">
        <v>0</v>
      </c>
      <c r="R254" s="30">
        <f>IF(AND($C$5&lt;&gt;"",$A254=$C$5),1,"")</f>
        <v/>
      </c>
      <c r="S254" s="21">
        <f>IF(AND($C$5&lt;&gt;"",$A254=$C$5),SUMIFS($G$8:$G$715,$A$8:$A$715,$C$5,$B$8:$B$715,"&lt;="&amp;$B254),"")</f>
        <v/>
      </c>
      <c r="T254" s="24" t="n"/>
      <c r="U254" s="24" t="n"/>
    </row>
    <row r="255">
      <c r="A255" s="2" t="inlineStr">
        <is>
          <t>IND-17</t>
        </is>
      </c>
      <c r="B255" s="2" t="n">
        <v>14</v>
      </c>
      <c r="C255" s="2" t="inlineStr">
        <is>
          <t>IMP00711</t>
        </is>
      </c>
      <c r="D255" s="2" t="inlineStr">
        <is>
          <t>Jade Trading Enterprises</t>
        </is>
      </c>
      <c r="E255" s="2" t="n">
        <v>4</v>
      </c>
      <c r="F255" s="27" t="n">
        <v>431827.28</v>
      </c>
      <c r="G255" s="28" t="n">
        <v>0.0113</v>
      </c>
      <c r="H255" s="19" t="n">
        <v>0.8145</v>
      </c>
      <c r="I255" s="29" t="n">
        <v>0</v>
      </c>
      <c r="J255" s="2" t="inlineStr">
        <is>
          <t>EXP0449</t>
        </is>
      </c>
      <c r="K255" s="2" t="n">
        <v>3</v>
      </c>
      <c r="L255" s="2" t="inlineStr">
        <is>
          <t>BRK009</t>
        </is>
      </c>
      <c r="M255" s="2" t="inlineStr">
        <is>
          <t>AIR2</t>
        </is>
      </c>
      <c r="N255" s="2" t="n">
        <v>0</v>
      </c>
      <c r="O255" s="2" t="n">
        <v>0</v>
      </c>
      <c r="P255" s="2" t="n">
        <v>0</v>
      </c>
      <c r="Q255" s="2" t="n">
        <v>0</v>
      </c>
      <c r="R255" s="30">
        <f>IF(AND($C$5&lt;&gt;"",$A255=$C$5),1,"")</f>
        <v/>
      </c>
      <c r="S255" s="21">
        <f>IF(AND($C$5&lt;&gt;"",$A255=$C$5),SUMIFS($G$8:$G$715,$A$8:$A$715,$C$5,$B$8:$B$715,"&lt;="&amp;$B255),"")</f>
        <v/>
      </c>
      <c r="T255" s="24" t="n"/>
      <c r="U255" s="24" t="n"/>
    </row>
    <row r="256">
      <c r="A256" s="2" t="inlineStr">
        <is>
          <t>IND-17</t>
        </is>
      </c>
      <c r="B256" s="2" t="n">
        <v>15</v>
      </c>
      <c r="C256" s="2" t="inlineStr">
        <is>
          <t>IMP00562</t>
        </is>
      </c>
      <c r="D256" s="2" t="inlineStr">
        <is>
          <t>Cobalt Trading Group Ltd</t>
        </is>
      </c>
      <c r="E256" s="2" t="n">
        <v>1</v>
      </c>
      <c r="F256" s="27" t="n">
        <v>421973.98</v>
      </c>
      <c r="G256" s="28" t="n">
        <v>0.011</v>
      </c>
      <c r="H256" s="19" t="n"/>
      <c r="I256" s="29" t="n">
        <v>0</v>
      </c>
      <c r="J256" s="2" t="inlineStr">
        <is>
          <t>EXP0555</t>
        </is>
      </c>
      <c r="K256" s="2" t="n">
        <v>2</v>
      </c>
      <c r="L256" s="2" t="inlineStr">
        <is>
          <t>BRK004</t>
        </is>
      </c>
      <c r="M256" s="2" t="inlineStr">
        <is>
          <t>PORT2</t>
        </is>
      </c>
      <c r="N256" s="2" t="n">
        <v>0</v>
      </c>
      <c r="O256" s="2" t="n">
        <v>0</v>
      </c>
      <c r="P256" s="2" t="n">
        <v>0</v>
      </c>
      <c r="Q256" s="2" t="n">
        <v>0</v>
      </c>
      <c r="R256" s="30">
        <f>IF(AND($C$5&lt;&gt;"",$A256=$C$5),1,"")</f>
        <v/>
      </c>
      <c r="S256" s="21">
        <f>IF(AND($C$5&lt;&gt;"",$A256=$C$5),SUMIFS($G$8:$G$715,$A$8:$A$715,$C$5,$B$8:$B$715,"&lt;="&amp;$B256),"")</f>
        <v/>
      </c>
      <c r="T256" s="24" t="n"/>
      <c r="U256" s="24" t="n"/>
    </row>
    <row r="257">
      <c r="A257" s="2" t="inlineStr">
        <is>
          <t>IND-17</t>
        </is>
      </c>
      <c r="B257" s="2" t="n">
        <v>16</v>
      </c>
      <c r="C257" s="2" t="inlineStr">
        <is>
          <t>IMP00120</t>
        </is>
      </c>
      <c r="D257" s="2" t="inlineStr">
        <is>
          <t>Ocean Foods Ltd</t>
        </is>
      </c>
      <c r="E257" s="2" t="n">
        <v>1</v>
      </c>
      <c r="F257" s="27" t="n">
        <v>349039.63</v>
      </c>
      <c r="G257" s="28" t="n">
        <v>0.0091</v>
      </c>
      <c r="H257" s="19" t="n">
        <v>0.594</v>
      </c>
      <c r="I257" s="29" t="n">
        <v>1</v>
      </c>
      <c r="J257" s="2" t="inlineStr">
        <is>
          <t>EXP0597</t>
        </is>
      </c>
      <c r="K257" s="2" t="n">
        <v>4</v>
      </c>
      <c r="L257" s="2" t="inlineStr">
        <is>
          <t>BRK019</t>
        </is>
      </c>
      <c r="M257" s="2" t="inlineStr">
        <is>
          <t>PORT1</t>
        </is>
      </c>
      <c r="N257" s="2" t="n">
        <v>0</v>
      </c>
      <c r="O257" s="2" t="n">
        <v>0</v>
      </c>
      <c r="P257" s="2" t="n">
        <v>0</v>
      </c>
      <c r="Q257" s="2" t="n">
        <v>0</v>
      </c>
      <c r="R257" s="30">
        <f>IF(AND($C$5&lt;&gt;"",$A257=$C$5),1,"")</f>
        <v/>
      </c>
      <c r="S257" s="21">
        <f>IF(AND($C$5&lt;&gt;"",$A257=$C$5),SUMIFS($G$8:$G$715,$A$8:$A$715,$C$5,$B$8:$B$715,"&lt;="&amp;$B257),"")</f>
        <v/>
      </c>
      <c r="T257" s="24" t="n"/>
      <c r="U257" s="24" t="n"/>
    </row>
    <row r="258">
      <c r="A258" s="2" t="inlineStr">
        <is>
          <t>IND-17</t>
        </is>
      </c>
      <c r="B258" s="2" t="n">
        <v>17</v>
      </c>
      <c r="C258" s="2" t="inlineStr">
        <is>
          <t>IMP00559</t>
        </is>
      </c>
      <c r="D258" s="2" t="inlineStr">
        <is>
          <t>Star Distribution Holdings Ltd</t>
        </is>
      </c>
      <c r="E258" s="2" t="n">
        <v>1</v>
      </c>
      <c r="F258" s="27" t="n">
        <v>288074.78</v>
      </c>
      <c r="G258" s="28" t="n">
        <v>0.0075</v>
      </c>
      <c r="H258" s="19" t="n">
        <v>0.907</v>
      </c>
      <c r="I258" s="29" t="n">
        <v>0</v>
      </c>
      <c r="J258" s="2" t="inlineStr">
        <is>
          <t>EXP0123</t>
        </is>
      </c>
      <c r="K258" s="2" t="n">
        <v>2</v>
      </c>
      <c r="L258" s="2" t="inlineStr">
        <is>
          <t>BRK070</t>
        </is>
      </c>
      <c r="M258" s="2" t="inlineStr">
        <is>
          <t>LAND5</t>
        </is>
      </c>
      <c r="N258" s="2" t="n">
        <v>0</v>
      </c>
      <c r="O258" s="2" t="n">
        <v>0</v>
      </c>
      <c r="P258" s="2" t="n">
        <v>0</v>
      </c>
      <c r="Q258" s="2" t="n">
        <v>0</v>
      </c>
      <c r="R258" s="30">
        <f>IF(AND($C$5&lt;&gt;"",$A258=$C$5),1,"")</f>
        <v/>
      </c>
      <c r="S258" s="21">
        <f>IF(AND($C$5&lt;&gt;"",$A258=$C$5),SUMIFS($G$8:$G$715,$A$8:$A$715,$C$5,$B$8:$B$715,"&lt;="&amp;$B258),"")</f>
        <v/>
      </c>
      <c r="T258" s="24" t="n"/>
      <c r="U258" s="24" t="n"/>
    </row>
    <row r="259">
      <c r="A259" s="2" t="inlineStr">
        <is>
          <t>IND-17</t>
        </is>
      </c>
      <c r="B259" s="2" t="n">
        <v>18</v>
      </c>
      <c r="C259" s="2" t="inlineStr">
        <is>
          <t>IMP00010</t>
        </is>
      </c>
      <c r="D259" s="2" t="inlineStr">
        <is>
          <t>Aldergate Trading Co.</t>
        </is>
      </c>
      <c r="E259" s="2" t="n">
        <v>1</v>
      </c>
      <c r="F259" s="27" t="n">
        <v>177163.2</v>
      </c>
      <c r="G259" s="28" t="n">
        <v>0.0046</v>
      </c>
      <c r="H259" s="19" t="n">
        <v>0.712</v>
      </c>
      <c r="I259" s="29" t="n">
        <v>1</v>
      </c>
      <c r="J259" s="2" t="inlineStr">
        <is>
          <t>EXP0186</t>
        </is>
      </c>
      <c r="K259" s="2" t="n">
        <v>1</v>
      </c>
      <c r="L259" s="2" t="inlineStr">
        <is>
          <t>BRK071</t>
        </is>
      </c>
      <c r="M259" s="2" t="inlineStr">
        <is>
          <t>PORT1</t>
        </is>
      </c>
      <c r="N259" s="2" t="n">
        <v>0</v>
      </c>
      <c r="O259" s="2" t="n">
        <v>0</v>
      </c>
      <c r="P259" s="2" t="n">
        <v>0</v>
      </c>
      <c r="Q259" s="2" t="n">
        <v>0</v>
      </c>
      <c r="R259" s="30">
        <f>IF(AND($C$5&lt;&gt;"",$A259=$C$5),1,"")</f>
        <v/>
      </c>
      <c r="S259" s="21">
        <f>IF(AND($C$5&lt;&gt;"",$A259=$C$5),SUMIFS($G$8:$G$715,$A$8:$A$715,$C$5,$B$8:$B$715,"&lt;="&amp;$B259),"")</f>
        <v/>
      </c>
      <c r="T259" s="24" t="n"/>
      <c r="U259" s="24" t="n"/>
    </row>
    <row r="260">
      <c r="A260" s="2" t="inlineStr">
        <is>
          <t>IND-17</t>
        </is>
      </c>
      <c r="B260" s="2" t="n">
        <v>19</v>
      </c>
      <c r="C260" s="2" t="inlineStr">
        <is>
          <t>IMP00091</t>
        </is>
      </c>
      <c r="D260" s="2" t="inlineStr">
        <is>
          <t>Blue Ocean Glow International Ltd</t>
        </is>
      </c>
      <c r="E260" s="2" t="n">
        <v>1</v>
      </c>
      <c r="F260" s="27" t="n">
        <v>133558.41</v>
      </c>
      <c r="G260" s="28" t="n">
        <v>0.0035</v>
      </c>
      <c r="H260" s="19" t="n">
        <v>0.792</v>
      </c>
      <c r="I260" s="29" t="n">
        <v>0</v>
      </c>
      <c r="J260" s="2" t="inlineStr">
        <is>
          <t>EXP0403</t>
        </is>
      </c>
      <c r="K260" s="2" t="n">
        <v>3</v>
      </c>
      <c r="L260" s="2" t="inlineStr">
        <is>
          <t>BRK055</t>
        </is>
      </c>
      <c r="M260" s="2" t="inlineStr">
        <is>
          <t>PORT1</t>
        </is>
      </c>
      <c r="N260" s="2" t="n">
        <v>0</v>
      </c>
      <c r="O260" s="2" t="n">
        <v>1</v>
      </c>
      <c r="P260" s="2" t="n">
        <v>0</v>
      </c>
      <c r="Q260" s="2" t="n">
        <v>0</v>
      </c>
      <c r="R260" s="30">
        <f>IF(AND($C$5&lt;&gt;"",$A260=$C$5),1,"")</f>
        <v/>
      </c>
      <c r="S260" s="21">
        <f>IF(AND($C$5&lt;&gt;"",$A260=$C$5),SUMIFS($G$8:$G$715,$A$8:$A$715,$C$5,$B$8:$B$715,"&lt;="&amp;$B260),"")</f>
        <v/>
      </c>
      <c r="T260" s="24" t="n"/>
      <c r="U260" s="24" t="n"/>
    </row>
    <row r="261">
      <c r="A261" s="2" t="inlineStr">
        <is>
          <t>IND-17</t>
        </is>
      </c>
      <c r="B261" s="2" t="n">
        <v>20</v>
      </c>
      <c r="C261" s="2" t="inlineStr">
        <is>
          <t>IMP01005</t>
        </is>
      </c>
      <c r="D261" s="2" t="inlineStr">
        <is>
          <t>Meridian Textiles Group Ltd</t>
        </is>
      </c>
      <c r="E261" s="2" t="n">
        <v>1</v>
      </c>
      <c r="F261" s="27" t="n">
        <v>32276.37</v>
      </c>
      <c r="G261" s="28" t="n">
        <v>0.0008</v>
      </c>
      <c r="H261" s="19" t="n">
        <v>0.494</v>
      </c>
      <c r="I261" s="29" t="n">
        <v>1</v>
      </c>
      <c r="J261" s="2" t="inlineStr">
        <is>
          <t>EXP0597</t>
        </is>
      </c>
      <c r="K261" s="2" t="n">
        <v>4</v>
      </c>
      <c r="L261" s="2" t="inlineStr">
        <is>
          <t>BRK033</t>
        </is>
      </c>
      <c r="M261" s="2" t="inlineStr">
        <is>
          <t>LAND1</t>
        </is>
      </c>
      <c r="N261" s="2" t="n">
        <v>0</v>
      </c>
      <c r="O261" s="2" t="n">
        <v>1</v>
      </c>
      <c r="P261" s="2" t="n">
        <v>0</v>
      </c>
      <c r="Q261" s="2" t="n">
        <v>0</v>
      </c>
      <c r="R261" s="30">
        <f>IF(AND($C$5&lt;&gt;"",$A261=$C$5),1,"")</f>
        <v/>
      </c>
      <c r="S261" s="21">
        <f>IF(AND($C$5&lt;&gt;"",$A261=$C$5),SUMIFS($G$8:$G$715,$A$8:$A$715,$C$5,$B$8:$B$715,"&lt;="&amp;$B261),"")</f>
        <v/>
      </c>
      <c r="T261" s="24" t="n"/>
      <c r="U261" s="24" t="n"/>
    </row>
    <row r="262">
      <c r="A262" s="2" t="inlineStr">
        <is>
          <t>IND-33</t>
        </is>
      </c>
      <c r="B262" s="2" t="n">
        <v>1</v>
      </c>
      <c r="C262" s="2" t="inlineStr">
        <is>
          <t>IMP00609</t>
        </is>
      </c>
      <c r="D262" s="2" t="inlineStr">
        <is>
          <t>Jade Pack Co., Ltd</t>
        </is>
      </c>
      <c r="E262" s="2" t="n">
        <v>122</v>
      </c>
      <c r="F262" s="27" t="n">
        <v>124217810.34</v>
      </c>
      <c r="G262" s="28" t="n">
        <v>0.2615</v>
      </c>
      <c r="H262" s="19" t="n">
        <v>0.8525</v>
      </c>
      <c r="I262" s="29" t="n">
        <v>0.3197</v>
      </c>
      <c r="J262" s="2" t="inlineStr">
        <is>
          <t>EXP0087</t>
        </is>
      </c>
      <c r="K262" s="2" t="n">
        <v>6</v>
      </c>
      <c r="L262" s="2" t="inlineStr">
        <is>
          <t>BRK071</t>
        </is>
      </c>
      <c r="M262" s="2" t="inlineStr">
        <is>
          <t>PORT3</t>
        </is>
      </c>
      <c r="N262" s="2" t="n">
        <v>0</v>
      </c>
      <c r="O262" s="2" t="n">
        <v>0</v>
      </c>
      <c r="P262" s="2" t="n">
        <v>0</v>
      </c>
      <c r="Q262" s="2" t="n">
        <v>1</v>
      </c>
      <c r="R262" s="30">
        <f>IF(AND($C$5&lt;&gt;"",$A262=$C$5),1,"")</f>
        <v/>
      </c>
      <c r="S262" s="21">
        <f>IF(AND($C$5&lt;&gt;"",$A262=$C$5),SUMIFS($G$8:$G$715,$A$8:$A$715,$C$5,$B$8:$B$715,"&lt;="&amp;$B262),"")</f>
        <v/>
      </c>
      <c r="T262" s="24" t="n"/>
      <c r="U262" s="24" t="n"/>
    </row>
    <row r="263">
      <c r="A263" s="2" t="inlineStr">
        <is>
          <t>IND-33</t>
        </is>
      </c>
      <c r="B263" s="2" t="n">
        <v>2</v>
      </c>
      <c r="C263" s="2" t="inlineStr">
        <is>
          <t>IMP00143</t>
        </is>
      </c>
      <c r="D263" s="2" t="inlineStr">
        <is>
          <t>Silk Road Steel Ltd</t>
        </is>
      </c>
      <c r="E263" s="2" t="n">
        <v>93</v>
      </c>
      <c r="F263" s="27" t="n">
        <v>117778468.6</v>
      </c>
      <c r="G263" s="28" t="n">
        <v>0.2479</v>
      </c>
      <c r="H263" s="19" t="n">
        <v>0.977</v>
      </c>
      <c r="I263" s="29" t="n">
        <v>0.1398</v>
      </c>
      <c r="J263" s="2" t="inlineStr">
        <is>
          <t>EXP0067</t>
        </is>
      </c>
      <c r="K263" s="2" t="n">
        <v>5</v>
      </c>
      <c r="L263" s="2" t="inlineStr">
        <is>
          <t>BRK019</t>
        </is>
      </c>
      <c r="M263" s="2" t="inlineStr">
        <is>
          <t>PORT2</t>
        </is>
      </c>
      <c r="N263" s="2" t="n">
        <v>0</v>
      </c>
      <c r="O263" s="2" t="n">
        <v>0</v>
      </c>
      <c r="P263" s="2" t="n">
        <v>0</v>
      </c>
      <c r="Q263" s="2" t="n">
        <v>0</v>
      </c>
      <c r="R263" s="30">
        <f>IF(AND($C$5&lt;&gt;"",$A263=$C$5),1,"")</f>
        <v/>
      </c>
      <c r="S263" s="21">
        <f>IF(AND($C$5&lt;&gt;"",$A263=$C$5),SUMIFS($G$8:$G$715,$A$8:$A$715,$C$5,$B$8:$B$715,"&lt;="&amp;$B263),"")</f>
        <v/>
      </c>
      <c r="T263" s="24" t="n"/>
      <c r="U263" s="24" t="n"/>
    </row>
    <row r="264">
      <c r="A264" s="2" t="inlineStr">
        <is>
          <t>IND-33</t>
        </is>
      </c>
      <c r="B264" s="2" t="n">
        <v>3</v>
      </c>
      <c r="C264" s="2" t="inlineStr">
        <is>
          <t>IMP01045</t>
        </is>
      </c>
      <c r="D264" s="2" t="inlineStr">
        <is>
          <t>Inverness Pack Co.</t>
        </is>
      </c>
      <c r="E264" s="2" t="n">
        <v>73</v>
      </c>
      <c r="F264" s="27" t="n">
        <v>80139327.33</v>
      </c>
      <c r="G264" s="28" t="n">
        <v>0.1687</v>
      </c>
      <c r="H264" s="19" t="n">
        <v>0.965</v>
      </c>
      <c r="I264" s="29" t="n">
        <v>0.3151</v>
      </c>
      <c r="J264" s="2" t="inlineStr">
        <is>
          <t>EXP0449</t>
        </is>
      </c>
      <c r="K264" s="2" t="n">
        <v>4</v>
      </c>
      <c r="L264" s="2" t="inlineStr">
        <is>
          <t>BRK070</t>
        </is>
      </c>
      <c r="M264" s="2" t="inlineStr">
        <is>
          <t>AIR1</t>
        </is>
      </c>
      <c r="N264" s="2" t="n">
        <v>0</v>
      </c>
      <c r="O264" s="2" t="n">
        <v>0</v>
      </c>
      <c r="P264" s="2" t="n">
        <v>0</v>
      </c>
      <c r="Q264" s="2" t="n">
        <v>0</v>
      </c>
      <c r="R264" s="30">
        <f>IF(AND($C$5&lt;&gt;"",$A264=$C$5),1,"")</f>
        <v/>
      </c>
      <c r="S264" s="21">
        <f>IF(AND($C$5&lt;&gt;"",$A264=$C$5),SUMIFS($G$8:$G$715,$A$8:$A$715,$C$5,$B$8:$B$715,"&lt;="&amp;$B264),"")</f>
        <v/>
      </c>
      <c r="T264" s="24" t="n"/>
      <c r="U264" s="24" t="n"/>
    </row>
    <row r="265">
      <c r="A265" s="2" t="inlineStr">
        <is>
          <t>IND-33</t>
        </is>
      </c>
      <c r="B265" s="2" t="n">
        <v>4</v>
      </c>
      <c r="C265" s="2" t="inlineStr">
        <is>
          <t>IMP00354</t>
        </is>
      </c>
      <c r="D265" s="2" t="inlineStr">
        <is>
          <t>Saffron Steel International Ltd</t>
        </is>
      </c>
      <c r="E265" s="2" t="n">
        <v>10</v>
      </c>
      <c r="F265" s="27" t="n">
        <v>25426171.07</v>
      </c>
      <c r="G265" s="28" t="n">
        <v>0.0535</v>
      </c>
      <c r="H265" s="19" t="n">
        <v>0.8705000000000001</v>
      </c>
      <c r="I265" s="29" t="n">
        <v>0.2</v>
      </c>
      <c r="J265" s="2" t="inlineStr">
        <is>
          <t>EXP0323</t>
        </is>
      </c>
      <c r="K265" s="2" t="n">
        <v>3</v>
      </c>
      <c r="L265" s="2" t="inlineStr">
        <is>
          <t>BRK067</t>
        </is>
      </c>
      <c r="M265" s="2" t="inlineStr">
        <is>
          <t>PORT1</t>
        </is>
      </c>
      <c r="N265" s="2" t="n">
        <v>0</v>
      </c>
      <c r="O265" s="2" t="n">
        <v>0</v>
      </c>
      <c r="P265" s="2" t="n">
        <v>0</v>
      </c>
      <c r="Q265" s="2" t="n">
        <v>1</v>
      </c>
      <c r="R265" s="30">
        <f>IF(AND($C$5&lt;&gt;"",$A265=$C$5),1,"")</f>
        <v/>
      </c>
      <c r="S265" s="21">
        <f>IF(AND($C$5&lt;&gt;"",$A265=$C$5),SUMIFS($G$8:$G$715,$A$8:$A$715,$C$5,$B$8:$B$715,"&lt;="&amp;$B265),"")</f>
        <v/>
      </c>
      <c r="T265" s="24" t="n"/>
      <c r="U265" s="24" t="n"/>
    </row>
    <row r="266">
      <c r="A266" s="2" t="inlineStr">
        <is>
          <t>IND-33</t>
        </is>
      </c>
      <c r="B266" s="2" t="n">
        <v>5</v>
      </c>
      <c r="C266" s="2" t="inlineStr">
        <is>
          <t>IMP00136</t>
        </is>
      </c>
      <c r="D266" s="2" t="inlineStr">
        <is>
          <t>Eastern Foods Group Ltd</t>
        </is>
      </c>
      <c r="E266" s="2" t="n">
        <v>29</v>
      </c>
      <c r="F266" s="27" t="n">
        <v>23612116.99</v>
      </c>
      <c r="G266" s="28" t="n">
        <v>0.0497</v>
      </c>
      <c r="H266" s="19" t="n">
        <v>0.734</v>
      </c>
      <c r="I266" s="29" t="n">
        <v>0.5862000000000001</v>
      </c>
      <c r="J266" s="2" t="inlineStr">
        <is>
          <t>EXP0449</t>
        </is>
      </c>
      <c r="K266" s="2" t="n">
        <v>4</v>
      </c>
      <c r="L266" s="2" t="inlineStr">
        <is>
          <t>BRK052</t>
        </is>
      </c>
      <c r="M266" s="2" t="inlineStr">
        <is>
          <t>AIR1</t>
        </is>
      </c>
      <c r="N266" s="2" t="n">
        <v>0</v>
      </c>
      <c r="O266" s="2" t="n">
        <v>0</v>
      </c>
      <c r="P266" s="2" t="n">
        <v>0</v>
      </c>
      <c r="Q266" s="2" t="n">
        <v>0</v>
      </c>
      <c r="R266" s="30">
        <f>IF(AND($C$5&lt;&gt;"",$A266=$C$5),1,"")</f>
        <v/>
      </c>
      <c r="S266" s="21">
        <f>IF(AND($C$5&lt;&gt;"",$A266=$C$5),SUMIFS($G$8:$G$715,$A$8:$A$715,$C$5,$B$8:$B$715,"&lt;="&amp;$B266),"")</f>
        <v/>
      </c>
      <c r="T266" s="24" t="n"/>
      <c r="U266" s="24" t="n"/>
    </row>
    <row r="267">
      <c r="A267" s="2" t="inlineStr">
        <is>
          <t>IND-33</t>
        </is>
      </c>
      <c r="B267" s="2" t="n">
        <v>6</v>
      </c>
      <c r="C267" s="2" t="inlineStr">
        <is>
          <t>IMP01414</t>
        </is>
      </c>
      <c r="D267" s="2" t="inlineStr">
        <is>
          <t>Eastern Glow Group Ltd</t>
        </is>
      </c>
      <c r="E267" s="2" t="n">
        <v>34</v>
      </c>
      <c r="F267" s="27" t="n">
        <v>18512510.81</v>
      </c>
      <c r="G267" s="28" t="n">
        <v>0.039</v>
      </c>
      <c r="H267" s="19" t="n">
        <v>0.9265</v>
      </c>
      <c r="I267" s="29" t="n">
        <v>0.0588</v>
      </c>
      <c r="J267" s="2" t="inlineStr">
        <is>
          <t>EXP0157</t>
        </is>
      </c>
      <c r="K267" s="2" t="n">
        <v>6</v>
      </c>
      <c r="L267" s="2" t="inlineStr">
        <is>
          <t>BRK067</t>
        </is>
      </c>
      <c r="M267" s="2" t="inlineStr">
        <is>
          <t>LAND1</t>
        </is>
      </c>
      <c r="N267" s="2" t="n">
        <v>0</v>
      </c>
      <c r="O267" s="2" t="n">
        <v>0</v>
      </c>
      <c r="P267" s="2" t="n">
        <v>0</v>
      </c>
      <c r="Q267" s="2" t="n">
        <v>0</v>
      </c>
      <c r="R267" s="30">
        <f>IF(AND($C$5&lt;&gt;"",$A267=$C$5),1,"")</f>
        <v/>
      </c>
      <c r="S267" s="21">
        <f>IF(AND($C$5&lt;&gt;"",$A267=$C$5),SUMIFS($G$8:$G$715,$A$8:$A$715,$C$5,$B$8:$B$715,"&lt;="&amp;$B267),"")</f>
        <v/>
      </c>
      <c r="T267" s="24" t="n"/>
      <c r="U267" s="24" t="n"/>
    </row>
    <row r="268">
      <c r="A268" s="2" t="inlineStr">
        <is>
          <t>IND-33</t>
        </is>
      </c>
      <c r="B268" s="2" t="n">
        <v>7</v>
      </c>
      <c r="C268" s="2" t="inlineStr">
        <is>
          <t>IMP00069</t>
        </is>
      </c>
      <c r="D268" s="2" t="inlineStr">
        <is>
          <t>Evergreen Fruits Group Ltd</t>
        </is>
      </c>
      <c r="E268" s="2" t="n">
        <v>9</v>
      </c>
      <c r="F268" s="27" t="n">
        <v>16940679.39</v>
      </c>
      <c r="G268" s="28" t="n">
        <v>0.0357</v>
      </c>
      <c r="H268" s="19" t="n">
        <v>0.614</v>
      </c>
      <c r="I268" s="29" t="n">
        <v>0.8889</v>
      </c>
      <c r="J268" s="2" t="inlineStr">
        <is>
          <t>EXP0379</t>
        </is>
      </c>
      <c r="K268" s="2" t="n">
        <v>2</v>
      </c>
      <c r="L268" s="2" t="inlineStr">
        <is>
          <t>BRK017</t>
        </is>
      </c>
      <c r="M268" s="2" t="inlineStr">
        <is>
          <t>PORT2</t>
        </is>
      </c>
      <c r="N268" s="2" t="n">
        <v>1</v>
      </c>
      <c r="O268" s="2" t="n">
        <v>0</v>
      </c>
      <c r="P268" s="2" t="n">
        <v>0</v>
      </c>
      <c r="Q268" s="2" t="n">
        <v>0</v>
      </c>
      <c r="R268" s="30">
        <f>IF(AND($C$5&lt;&gt;"",$A268=$C$5),1,"")</f>
        <v/>
      </c>
      <c r="S268" s="21">
        <f>IF(AND($C$5&lt;&gt;"",$A268=$C$5),SUMIFS($G$8:$G$715,$A$8:$A$715,$C$5,$B$8:$B$715,"&lt;="&amp;$B268),"")</f>
        <v/>
      </c>
      <c r="T268" s="24" t="n"/>
      <c r="U268" s="24" t="n"/>
    </row>
    <row r="269">
      <c r="A269" s="2" t="inlineStr">
        <is>
          <t>IND-33</t>
        </is>
      </c>
      <c r="B269" s="2" t="n">
        <v>8</v>
      </c>
      <c r="C269" s="2" t="inlineStr">
        <is>
          <t>IMP00545</t>
        </is>
      </c>
      <c r="D269" s="2" t="inlineStr">
        <is>
          <t>Ocean Glow &amp; Sons</t>
        </is>
      </c>
      <c r="E269" s="2" t="n">
        <v>16</v>
      </c>
      <c r="F269" s="27" t="n">
        <v>9341818.789999999</v>
      </c>
      <c r="G269" s="28" t="n">
        <v>0.0197</v>
      </c>
      <c r="H269" s="19" t="n">
        <v>0.8145</v>
      </c>
      <c r="I269" s="29" t="n">
        <v>0.1875</v>
      </c>
      <c r="J269" s="2" t="inlineStr">
        <is>
          <t>EXP0087</t>
        </is>
      </c>
      <c r="K269" s="2" t="n">
        <v>6</v>
      </c>
      <c r="L269" s="2" t="inlineStr">
        <is>
          <t>BRK001</t>
        </is>
      </c>
      <c r="M269" s="2" t="inlineStr">
        <is>
          <t>LAND5</t>
        </is>
      </c>
      <c r="N269" s="2" t="n">
        <v>0</v>
      </c>
      <c r="O269" s="2" t="n">
        <v>0</v>
      </c>
      <c r="P269" s="2" t="n">
        <v>0</v>
      </c>
      <c r="Q269" s="2" t="n">
        <v>1</v>
      </c>
      <c r="R269" s="30">
        <f>IF(AND($C$5&lt;&gt;"",$A269=$C$5),1,"")</f>
        <v/>
      </c>
      <c r="S269" s="21">
        <f>IF(AND($C$5&lt;&gt;"",$A269=$C$5),SUMIFS($G$8:$G$715,$A$8:$A$715,$C$5,$B$8:$B$715,"&lt;="&amp;$B269),"")</f>
        <v/>
      </c>
      <c r="T269" s="24" t="n"/>
      <c r="U269" s="24" t="n"/>
    </row>
    <row r="270">
      <c r="A270" s="2" t="inlineStr">
        <is>
          <t>IND-33</t>
        </is>
      </c>
      <c r="B270" s="2" t="n">
        <v>9</v>
      </c>
      <c r="C270" s="2" t="inlineStr">
        <is>
          <t>IMP01112</t>
        </is>
      </c>
      <c r="D270" s="2" t="inlineStr">
        <is>
          <t>Silver Imports &amp; Sons</t>
        </is>
      </c>
      <c r="E270" s="2" t="n">
        <v>7</v>
      </c>
      <c r="F270" s="27" t="n">
        <v>6962406.67</v>
      </c>
      <c r="G270" s="28" t="n">
        <v>0.0147</v>
      </c>
      <c r="H270" s="19" t="n">
        <v>0.714</v>
      </c>
      <c r="I270" s="29" t="n">
        <v>0.7143</v>
      </c>
      <c r="J270" s="2" t="inlineStr">
        <is>
          <t>EXP0555</t>
        </is>
      </c>
      <c r="K270" s="2" t="n">
        <v>7</v>
      </c>
      <c r="L270" s="2" t="inlineStr">
        <is>
          <t>BRK049</t>
        </is>
      </c>
      <c r="M270" s="2" t="inlineStr">
        <is>
          <t>PORT1</t>
        </is>
      </c>
      <c r="N270" s="2" t="n">
        <v>0</v>
      </c>
      <c r="O270" s="2" t="n">
        <v>0</v>
      </c>
      <c r="P270" s="2" t="n">
        <v>0</v>
      </c>
      <c r="Q270" s="2" t="n">
        <v>0</v>
      </c>
      <c r="R270" s="30">
        <f>IF(AND($C$5&lt;&gt;"",$A270=$C$5),1,"")</f>
        <v/>
      </c>
      <c r="S270" s="21">
        <f>IF(AND($C$5&lt;&gt;"",$A270=$C$5),SUMIFS($G$8:$G$715,$A$8:$A$715,$C$5,$B$8:$B$715,"&lt;="&amp;$B270),"")</f>
        <v/>
      </c>
      <c r="T270" s="24" t="n"/>
      <c r="U270" s="24" t="n"/>
    </row>
    <row r="271">
      <c r="A271" s="2" t="inlineStr">
        <is>
          <t>IND-33</t>
        </is>
      </c>
      <c r="B271" s="2" t="n">
        <v>10</v>
      </c>
      <c r="C271" s="2" t="inlineStr">
        <is>
          <t>IMP01306</t>
        </is>
      </c>
      <c r="D271" s="2" t="inlineStr">
        <is>
          <t>Cobalt Pack International Ltd</t>
        </is>
      </c>
      <c r="E271" s="2" t="n">
        <v>11</v>
      </c>
      <c r="F271" s="27" t="n">
        <v>6193970.31</v>
      </c>
      <c r="G271" s="28" t="n">
        <v>0.013</v>
      </c>
      <c r="H271" s="19" t="n">
        <v>0.774</v>
      </c>
      <c r="I271" s="29" t="n">
        <v>0.4545</v>
      </c>
      <c r="J271" s="2" t="inlineStr">
        <is>
          <t>EXP0087</t>
        </is>
      </c>
      <c r="K271" s="2" t="n">
        <v>6</v>
      </c>
      <c r="L271" s="2" t="inlineStr">
        <is>
          <t>BRK024</t>
        </is>
      </c>
      <c r="M271" s="2" t="inlineStr">
        <is>
          <t>PORT3</t>
        </is>
      </c>
      <c r="N271" s="2" t="n">
        <v>0</v>
      </c>
      <c r="O271" s="2" t="n">
        <v>0</v>
      </c>
      <c r="P271" s="2" t="n">
        <v>0</v>
      </c>
      <c r="Q271" s="2" t="n">
        <v>1</v>
      </c>
      <c r="R271" s="30">
        <f>IF(AND($C$5&lt;&gt;"",$A271=$C$5),1,"")</f>
        <v/>
      </c>
      <c r="S271" s="21">
        <f>IF(AND($C$5&lt;&gt;"",$A271=$C$5),SUMIFS($G$8:$G$715,$A$8:$A$715,$C$5,$B$8:$B$715,"&lt;="&amp;$B271),"")</f>
        <v/>
      </c>
      <c r="T271" s="24" t="n"/>
      <c r="U271" s="24" t="n"/>
    </row>
    <row r="272">
      <c r="A272" s="2" t="inlineStr">
        <is>
          <t>IND-33</t>
        </is>
      </c>
      <c r="B272" s="2" t="n">
        <v>11</v>
      </c>
      <c r="C272" s="2" t="inlineStr">
        <is>
          <t>IMP00825</t>
        </is>
      </c>
      <c r="D272" s="2" t="inlineStr">
        <is>
          <t>Pacific Living Limited</t>
        </is>
      </c>
      <c r="E272" s="2" t="n">
        <v>9</v>
      </c>
      <c r="F272" s="27" t="n">
        <v>5987333.71</v>
      </c>
      <c r="G272" s="28" t="n">
        <v>0.0126</v>
      </c>
      <c r="H272" s="19" t="n">
        <v>0.632</v>
      </c>
      <c r="I272" s="29" t="n">
        <v>0.8889</v>
      </c>
      <c r="J272" s="2" t="inlineStr">
        <is>
          <t>EXP0403</t>
        </is>
      </c>
      <c r="K272" s="2" t="n">
        <v>2</v>
      </c>
      <c r="L272" s="2" t="inlineStr">
        <is>
          <t>BRK075</t>
        </is>
      </c>
      <c r="M272" s="2" t="inlineStr">
        <is>
          <t>PORT2</t>
        </is>
      </c>
      <c r="N272" s="2" t="n">
        <v>0</v>
      </c>
      <c r="O272" s="2" t="n">
        <v>0</v>
      </c>
      <c r="P272" s="2" t="n">
        <v>0</v>
      </c>
      <c r="Q272" s="2" t="n">
        <v>0</v>
      </c>
      <c r="R272" s="30">
        <f>IF(AND($C$5&lt;&gt;"",$A272=$C$5),1,"")</f>
        <v/>
      </c>
      <c r="S272" s="21">
        <f>IF(AND($C$5&lt;&gt;"",$A272=$C$5),SUMIFS($G$8:$G$715,$A$8:$A$715,$C$5,$B$8:$B$715,"&lt;="&amp;$B272),"")</f>
        <v/>
      </c>
      <c r="T272" s="24" t="n"/>
      <c r="U272" s="24" t="n"/>
    </row>
    <row r="273">
      <c r="A273" s="2" t="inlineStr">
        <is>
          <t>IND-33</t>
        </is>
      </c>
      <c r="B273" s="2" t="n">
        <v>12</v>
      </c>
      <c r="C273" s="2" t="inlineStr">
        <is>
          <t>IMP00591</t>
        </is>
      </c>
      <c r="D273" s="2" t="inlineStr">
        <is>
          <t>Twin Rivers Medical Ltd</t>
        </is>
      </c>
      <c r="E273" s="2" t="n">
        <v>8</v>
      </c>
      <c r="F273" s="27" t="n">
        <v>5705250.72</v>
      </c>
      <c r="G273" s="28" t="n">
        <v>0.012</v>
      </c>
      <c r="H273" s="19" t="n">
        <v>1.0615</v>
      </c>
      <c r="I273" s="29" t="n">
        <v>0.25</v>
      </c>
      <c r="J273" s="2" t="inlineStr">
        <is>
          <t>EXP0555</t>
        </is>
      </c>
      <c r="K273" s="2" t="n">
        <v>7</v>
      </c>
      <c r="L273" s="2" t="inlineStr">
        <is>
          <t>BRK044</t>
        </is>
      </c>
      <c r="M273" s="2" t="inlineStr">
        <is>
          <t>LAND1</t>
        </is>
      </c>
      <c r="N273" s="2" t="n">
        <v>0</v>
      </c>
      <c r="O273" s="2" t="n">
        <v>0</v>
      </c>
      <c r="P273" s="2" t="n">
        <v>0</v>
      </c>
      <c r="Q273" s="2" t="n">
        <v>1</v>
      </c>
      <c r="R273" s="30">
        <f>IF(AND($C$5&lt;&gt;"",$A273=$C$5),1,"")</f>
        <v/>
      </c>
      <c r="S273" s="21">
        <f>IF(AND($C$5&lt;&gt;"",$A273=$C$5),SUMIFS($G$8:$G$715,$A$8:$A$715,$C$5,$B$8:$B$715,"&lt;="&amp;$B273),"")</f>
        <v/>
      </c>
      <c r="T273" s="24" t="n"/>
      <c r="U273" s="24" t="n"/>
    </row>
    <row r="274">
      <c r="A274" s="2" t="inlineStr">
        <is>
          <t>IND-33</t>
        </is>
      </c>
      <c r="B274" s="2" t="n">
        <v>13</v>
      </c>
      <c r="C274" s="2" t="inlineStr">
        <is>
          <t>IMP00011</t>
        </is>
      </c>
      <c r="D274" s="2" t="inlineStr">
        <is>
          <t>Silk Road Steel Co.</t>
        </is>
      </c>
      <c r="E274" s="2" t="n">
        <v>4</v>
      </c>
      <c r="F274" s="27" t="n">
        <v>4176817.98</v>
      </c>
      <c r="G274" s="28" t="n">
        <v>0.008800000000000001</v>
      </c>
      <c r="H274" s="19" t="n">
        <v>0.7385</v>
      </c>
      <c r="I274" s="29" t="n">
        <v>0.5</v>
      </c>
      <c r="J274" s="2" t="inlineStr">
        <is>
          <t>EXP0008</t>
        </is>
      </c>
      <c r="K274" s="2" t="n">
        <v>5</v>
      </c>
      <c r="L274" s="2" t="inlineStr">
        <is>
          <t>BRK015</t>
        </is>
      </c>
      <c r="M274" s="2" t="inlineStr">
        <is>
          <t>PORT1</t>
        </is>
      </c>
      <c r="N274" s="2" t="n">
        <v>0</v>
      </c>
      <c r="O274" s="2" t="n">
        <v>1</v>
      </c>
      <c r="P274" s="2" t="n">
        <v>0</v>
      </c>
      <c r="Q274" s="2" t="n">
        <v>0</v>
      </c>
      <c r="R274" s="30">
        <f>IF(AND($C$5&lt;&gt;"",$A274=$C$5),1,"")</f>
        <v/>
      </c>
      <c r="S274" s="21">
        <f>IF(AND($C$5&lt;&gt;"",$A274=$C$5),SUMIFS($G$8:$G$715,$A$8:$A$715,$C$5,$B$8:$B$715,"&lt;="&amp;$B274),"")</f>
        <v/>
      </c>
      <c r="T274" s="24" t="n"/>
      <c r="U274" s="24" t="n"/>
    </row>
    <row r="275">
      <c r="A275" s="2" t="inlineStr">
        <is>
          <t>IND-33</t>
        </is>
      </c>
      <c r="B275" s="2" t="n">
        <v>14</v>
      </c>
      <c r="C275" s="2" t="inlineStr">
        <is>
          <t>IMP00629</t>
        </is>
      </c>
      <c r="D275" s="2" t="inlineStr">
        <is>
          <t>Phoenix Enterprises International Ltd</t>
        </is>
      </c>
      <c r="E275" s="2" t="n">
        <v>4</v>
      </c>
      <c r="F275" s="27" t="n">
        <v>3575276.58</v>
      </c>
      <c r="G275" s="28" t="n">
        <v>0.0075</v>
      </c>
      <c r="H275" s="19" t="n">
        <v>0.7105</v>
      </c>
      <c r="I275" s="29" t="n">
        <v>0.5</v>
      </c>
      <c r="J275" s="2" t="inlineStr">
        <is>
          <t>EXP0588</t>
        </is>
      </c>
      <c r="K275" s="2" t="n">
        <v>7</v>
      </c>
      <c r="L275" s="2" t="inlineStr">
        <is>
          <t>BRK070</t>
        </is>
      </c>
      <c r="M275" s="2" t="inlineStr">
        <is>
          <t>PORT2</t>
        </is>
      </c>
      <c r="N275" s="2" t="n">
        <v>0</v>
      </c>
      <c r="O275" s="2" t="n">
        <v>0</v>
      </c>
      <c r="P275" s="2" t="n">
        <v>0</v>
      </c>
      <c r="Q275" s="2" t="n">
        <v>0</v>
      </c>
      <c r="R275" s="30">
        <f>IF(AND($C$5&lt;&gt;"",$A275=$C$5),1,"")</f>
        <v/>
      </c>
      <c r="S275" s="21">
        <f>IF(AND($C$5&lt;&gt;"",$A275=$C$5),SUMIFS($G$8:$G$715,$A$8:$A$715,$C$5,$B$8:$B$715,"&lt;="&amp;$B275),"")</f>
        <v/>
      </c>
      <c r="T275" s="24" t="n"/>
      <c r="U275" s="24" t="n"/>
    </row>
    <row r="276">
      <c r="A276" s="2" t="inlineStr">
        <is>
          <t>IND-33</t>
        </is>
      </c>
      <c r="B276" s="2" t="n">
        <v>15</v>
      </c>
      <c r="C276" s="2" t="inlineStr">
        <is>
          <t>IMP00512</t>
        </is>
      </c>
      <c r="D276" s="2" t="inlineStr">
        <is>
          <t>Global Industries Ltd</t>
        </is>
      </c>
      <c r="E276" s="2" t="n">
        <v>4</v>
      </c>
      <c r="F276" s="27" t="n">
        <v>3490446.36</v>
      </c>
      <c r="G276" s="28" t="n">
        <v>0.0073</v>
      </c>
      <c r="H276" s="19" t="n">
        <v>0.7524999999999999</v>
      </c>
      <c r="I276" s="29" t="n">
        <v>0.5</v>
      </c>
      <c r="J276" s="2" t="inlineStr">
        <is>
          <t>EXP0434</t>
        </is>
      </c>
      <c r="K276" s="2" t="n">
        <v>2</v>
      </c>
      <c r="L276" s="2" t="inlineStr">
        <is>
          <t>BRK010</t>
        </is>
      </c>
      <c r="M276" s="2" t="inlineStr">
        <is>
          <t>AIR1</t>
        </is>
      </c>
      <c r="N276" s="2" t="n">
        <v>0</v>
      </c>
      <c r="O276" s="2" t="n">
        <v>0</v>
      </c>
      <c r="P276" s="2" t="n">
        <v>0</v>
      </c>
      <c r="Q276" s="2" t="n">
        <v>0</v>
      </c>
      <c r="R276" s="30">
        <f>IF(AND($C$5&lt;&gt;"",$A276=$C$5),1,"")</f>
        <v/>
      </c>
      <c r="S276" s="21">
        <f>IF(AND($C$5&lt;&gt;"",$A276=$C$5),SUMIFS($G$8:$G$715,$A$8:$A$715,$C$5,$B$8:$B$715,"&lt;="&amp;$B276),"")</f>
        <v/>
      </c>
      <c r="T276" s="24" t="n"/>
      <c r="U276" s="24" t="n"/>
    </row>
    <row r="277">
      <c r="A277" s="2" t="inlineStr">
        <is>
          <t>IND-33</t>
        </is>
      </c>
      <c r="B277" s="2" t="n">
        <v>16</v>
      </c>
      <c r="C277" s="2" t="inlineStr">
        <is>
          <t>IMP00510</t>
        </is>
      </c>
      <c r="D277" s="2" t="inlineStr">
        <is>
          <t>Coral Supply Partners Ltd</t>
        </is>
      </c>
      <c r="E277" s="2" t="n">
        <v>2</v>
      </c>
      <c r="F277" s="27" t="n">
        <v>3328604.38</v>
      </c>
      <c r="G277" s="28" t="n">
        <v>0.007</v>
      </c>
      <c r="H277" s="19" t="n">
        <v>0.9485</v>
      </c>
      <c r="I277" s="29" t="n">
        <v>0</v>
      </c>
      <c r="J277" s="2" t="inlineStr">
        <is>
          <t>EXP0449</t>
        </is>
      </c>
      <c r="K277" s="2" t="n">
        <v>4</v>
      </c>
      <c r="L277" s="2" t="inlineStr">
        <is>
          <t>BRK076</t>
        </is>
      </c>
      <c r="M277" s="2" t="inlineStr">
        <is>
          <t>PORT3</t>
        </is>
      </c>
      <c r="N277" s="2" t="n">
        <v>0</v>
      </c>
      <c r="O277" s="2" t="n">
        <v>0</v>
      </c>
      <c r="P277" s="2" t="n">
        <v>0</v>
      </c>
      <c r="Q277" s="2" t="n">
        <v>0</v>
      </c>
      <c r="R277" s="30">
        <f>IF(AND($C$5&lt;&gt;"",$A277=$C$5),1,"")</f>
        <v/>
      </c>
      <c r="S277" s="21">
        <f>IF(AND($C$5&lt;&gt;"",$A277=$C$5),SUMIFS($G$8:$G$715,$A$8:$A$715,$C$5,$B$8:$B$715,"&lt;="&amp;$B277),"")</f>
        <v/>
      </c>
      <c r="T277" s="24" t="n"/>
      <c r="U277" s="24" t="n"/>
    </row>
    <row r="278">
      <c r="A278" s="2" t="inlineStr">
        <is>
          <t>IND-33</t>
        </is>
      </c>
      <c r="B278" s="2" t="n">
        <v>17</v>
      </c>
      <c r="C278" s="2" t="inlineStr">
        <is>
          <t>IMP00250</t>
        </is>
      </c>
      <c r="D278" s="2" t="inlineStr">
        <is>
          <t>Northern Foods Limited</t>
        </is>
      </c>
      <c r="E278" s="2" t="n">
        <v>3</v>
      </c>
      <c r="F278" s="27" t="n">
        <v>3283453.91</v>
      </c>
      <c r="G278" s="28" t="n">
        <v>0.0069</v>
      </c>
      <c r="H278" s="19" t="n">
        <v>0.755</v>
      </c>
      <c r="I278" s="29" t="n">
        <v>0.3333</v>
      </c>
      <c r="J278" s="2" t="inlineStr">
        <is>
          <t>EXP0477</t>
        </is>
      </c>
      <c r="K278" s="2" t="n">
        <v>2</v>
      </c>
      <c r="L278" s="2" t="inlineStr">
        <is>
          <t>BRK073</t>
        </is>
      </c>
      <c r="M278" s="2" t="inlineStr">
        <is>
          <t>PORT1</t>
        </is>
      </c>
      <c r="N278" s="2" t="n">
        <v>0</v>
      </c>
      <c r="O278" s="2" t="n">
        <v>0</v>
      </c>
      <c r="P278" s="2" t="n">
        <v>0</v>
      </c>
      <c r="Q278" s="2" t="n">
        <v>0</v>
      </c>
      <c r="R278" s="30">
        <f>IF(AND($C$5&lt;&gt;"",$A278=$C$5),1,"")</f>
        <v/>
      </c>
      <c r="S278" s="21">
        <f>IF(AND($C$5&lt;&gt;"",$A278=$C$5),SUMIFS($G$8:$G$715,$A$8:$A$715,$C$5,$B$8:$B$715,"&lt;="&amp;$B278),"")</f>
        <v/>
      </c>
      <c r="T278" s="24" t="n"/>
      <c r="U278" s="24" t="n"/>
    </row>
    <row r="279">
      <c r="A279" s="2" t="inlineStr">
        <is>
          <t>IND-33</t>
        </is>
      </c>
      <c r="B279" s="2" t="n">
        <v>18</v>
      </c>
      <c r="C279" s="2" t="inlineStr">
        <is>
          <t>IMP00539</t>
        </is>
      </c>
      <c r="D279" s="2" t="inlineStr">
        <is>
          <t>United Distribution &amp; Sons</t>
        </is>
      </c>
      <c r="E279" s="2" t="n">
        <v>3</v>
      </c>
      <c r="F279" s="27" t="n">
        <v>3182007.47</v>
      </c>
      <c r="G279" s="28" t="n">
        <v>0.0067</v>
      </c>
      <c r="H279" s="19" t="n">
        <v>0.707</v>
      </c>
      <c r="I279" s="29" t="n">
        <v>1</v>
      </c>
      <c r="J279" s="2" t="inlineStr">
        <is>
          <t>EXP0236</t>
        </is>
      </c>
      <c r="K279" s="2" t="n">
        <v>1</v>
      </c>
      <c r="L279" s="2" t="inlineStr">
        <is>
          <t>BRK075</t>
        </is>
      </c>
      <c r="M279" s="2" t="inlineStr">
        <is>
          <t>PORT2</t>
        </is>
      </c>
      <c r="N279" s="2" t="n">
        <v>0</v>
      </c>
      <c r="O279" s="2" t="n">
        <v>0</v>
      </c>
      <c r="P279" s="2" t="n">
        <v>0</v>
      </c>
      <c r="Q279" s="2" t="n">
        <v>0</v>
      </c>
      <c r="R279" s="30">
        <f>IF(AND($C$5&lt;&gt;"",$A279=$C$5),1,"")</f>
        <v/>
      </c>
      <c r="S279" s="21">
        <f>IF(AND($C$5&lt;&gt;"",$A279=$C$5),SUMIFS($G$8:$G$715,$A$8:$A$715,$C$5,$B$8:$B$715,"&lt;="&amp;$B279),"")</f>
        <v/>
      </c>
      <c r="T279" s="24" t="n"/>
      <c r="U279" s="24" t="n"/>
    </row>
    <row r="280">
      <c r="A280" s="2" t="inlineStr">
        <is>
          <t>IND-33</t>
        </is>
      </c>
      <c r="B280" s="2" t="n">
        <v>19</v>
      </c>
      <c r="C280" s="2" t="inlineStr">
        <is>
          <t>IMP00592</t>
        </is>
      </c>
      <c r="D280" s="2" t="inlineStr">
        <is>
          <t>Crown Fruits Partners Ltd</t>
        </is>
      </c>
      <c r="E280" s="2" t="n">
        <v>4</v>
      </c>
      <c r="F280" s="27" t="n">
        <v>2360286.12</v>
      </c>
      <c r="G280" s="28" t="n">
        <v>0.005</v>
      </c>
      <c r="H280" s="19" t="n">
        <v>0.7455000000000001</v>
      </c>
      <c r="I280" s="29" t="n">
        <v>0.5</v>
      </c>
      <c r="J280" s="2" t="inlineStr">
        <is>
          <t>EXP0403</t>
        </is>
      </c>
      <c r="K280" s="2" t="n">
        <v>2</v>
      </c>
      <c r="L280" s="2" t="inlineStr">
        <is>
          <t>BRK044</t>
        </is>
      </c>
      <c r="M280" s="2" t="inlineStr">
        <is>
          <t>PORT1</t>
        </is>
      </c>
      <c r="N280" s="2" t="n">
        <v>0</v>
      </c>
      <c r="O280" s="2" t="n">
        <v>0</v>
      </c>
      <c r="P280" s="2" t="n">
        <v>0</v>
      </c>
      <c r="Q280" s="2" t="n">
        <v>0</v>
      </c>
      <c r="R280" s="30">
        <f>IF(AND($C$5&lt;&gt;"",$A280=$C$5),1,"")</f>
        <v/>
      </c>
      <c r="S280" s="21">
        <f>IF(AND($C$5&lt;&gt;"",$A280=$C$5),SUMIFS($G$8:$G$715,$A$8:$A$715,$C$5,$B$8:$B$715,"&lt;="&amp;$B280),"")</f>
        <v/>
      </c>
      <c r="T280" s="24" t="n"/>
      <c r="U280" s="24" t="n"/>
    </row>
    <row r="281">
      <c r="A281" s="2" t="inlineStr">
        <is>
          <t>IND-33</t>
        </is>
      </c>
      <c r="B281" s="2" t="n">
        <v>20</v>
      </c>
      <c r="C281" s="2" t="inlineStr">
        <is>
          <t>IMP00614</t>
        </is>
      </c>
      <c r="D281" s="2" t="inlineStr">
        <is>
          <t>Silk Road Enterprises Holdings Ltd</t>
        </is>
      </c>
      <c r="E281" s="2" t="n">
        <v>2</v>
      </c>
      <c r="F281" s="27" t="n">
        <v>2095937.97</v>
      </c>
      <c r="G281" s="28" t="n">
        <v>0.0044</v>
      </c>
      <c r="H281" s="19" t="n">
        <v>0.8794999999999999</v>
      </c>
      <c r="I281" s="29" t="n">
        <v>0</v>
      </c>
      <c r="J281" s="2" t="inlineStr">
        <is>
          <t>EXP0186</t>
        </is>
      </c>
      <c r="K281" s="2" t="n">
        <v>3</v>
      </c>
      <c r="L281" s="2" t="inlineStr">
        <is>
          <t>BRK009</t>
        </is>
      </c>
      <c r="M281" s="2" t="inlineStr">
        <is>
          <t>LAND1</t>
        </is>
      </c>
      <c r="N281" s="2" t="n">
        <v>0</v>
      </c>
      <c r="O281" s="2" t="n">
        <v>0</v>
      </c>
      <c r="P281" s="2" t="n">
        <v>0</v>
      </c>
      <c r="Q281" s="2" t="n">
        <v>0</v>
      </c>
      <c r="R281" s="30">
        <f>IF(AND($C$5&lt;&gt;"",$A281=$C$5),1,"")</f>
        <v/>
      </c>
      <c r="S281" s="21">
        <f>IF(AND($C$5&lt;&gt;"",$A281=$C$5),SUMIFS($G$8:$G$715,$A$8:$A$715,$C$5,$B$8:$B$715,"&lt;="&amp;$B281),"")</f>
        <v/>
      </c>
      <c r="T281" s="24" t="n"/>
      <c r="U281" s="24" t="n"/>
    </row>
    <row r="282">
      <c r="A282" s="2" t="inlineStr">
        <is>
          <t>IND-33</t>
        </is>
      </c>
      <c r="B282" s="2" t="n">
        <v>21</v>
      </c>
      <c r="C282" s="2" t="inlineStr">
        <is>
          <t>IMP00317</t>
        </is>
      </c>
      <c r="D282" s="2" t="inlineStr">
        <is>
          <t>Pacific Agro Holdings Ltd</t>
        </is>
      </c>
      <c r="E282" s="2" t="n">
        <v>1</v>
      </c>
      <c r="F282" s="27" t="n">
        <v>2027161.98</v>
      </c>
      <c r="G282" s="28" t="n">
        <v>0.0043</v>
      </c>
      <c r="H282" s="19" t="n">
        <v>0.874</v>
      </c>
      <c r="I282" s="29" t="n">
        <v>0</v>
      </c>
      <c r="J282" s="2" t="inlineStr">
        <is>
          <t>EXP0161</t>
        </is>
      </c>
      <c r="K282" s="2" t="n">
        <v>7</v>
      </c>
      <c r="L282" s="2" t="inlineStr">
        <is>
          <t>BRK024</t>
        </is>
      </c>
      <c r="M282" s="2" t="inlineStr">
        <is>
          <t>LAND2</t>
        </is>
      </c>
      <c r="N282" s="2" t="n">
        <v>0</v>
      </c>
      <c r="O282" s="2" t="n">
        <v>0</v>
      </c>
      <c r="P282" s="2" t="n">
        <v>0</v>
      </c>
      <c r="Q282" s="2" t="n">
        <v>0</v>
      </c>
      <c r="R282" s="30">
        <f>IF(AND($C$5&lt;&gt;"",$A282=$C$5),1,"")</f>
        <v/>
      </c>
      <c r="S282" s="21">
        <f>IF(AND($C$5&lt;&gt;"",$A282=$C$5),SUMIFS($G$8:$G$715,$A$8:$A$715,$C$5,$B$8:$B$715,"&lt;="&amp;$B282),"")</f>
        <v/>
      </c>
      <c r="T282" s="24" t="n"/>
      <c r="U282" s="24" t="n"/>
    </row>
    <row r="283">
      <c r="A283" s="2" t="inlineStr">
        <is>
          <t>IND-33</t>
        </is>
      </c>
      <c r="B283" s="2" t="n">
        <v>22</v>
      </c>
      <c r="C283" s="2" t="inlineStr">
        <is>
          <t>IMP00978</t>
        </is>
      </c>
      <c r="D283" s="2" t="inlineStr">
        <is>
          <t>Pacific Electronics Co.</t>
        </is>
      </c>
      <c r="E283" s="2" t="n">
        <v>2</v>
      </c>
      <c r="F283" s="27" t="n">
        <v>1657296.66</v>
      </c>
      <c r="G283" s="28" t="n">
        <v>0.0035</v>
      </c>
      <c r="H283" s="19" t="n">
        <v>0.7835</v>
      </c>
      <c r="I283" s="29" t="n">
        <v>0.5</v>
      </c>
      <c r="J283" s="2" t="inlineStr">
        <is>
          <t>EXP0555</t>
        </is>
      </c>
      <c r="K283" s="2" t="n">
        <v>7</v>
      </c>
      <c r="L283" s="2" t="inlineStr">
        <is>
          <t>BRK043</t>
        </is>
      </c>
      <c r="M283" s="2" t="inlineStr">
        <is>
          <t>PORT1</t>
        </is>
      </c>
      <c r="N283" s="2" t="n">
        <v>0</v>
      </c>
      <c r="O283" s="2" t="n">
        <v>0</v>
      </c>
      <c r="P283" s="2" t="n">
        <v>1</v>
      </c>
      <c r="Q283" s="2" t="n">
        <v>0</v>
      </c>
      <c r="R283" s="30">
        <f>IF(AND($C$5&lt;&gt;"",$A283=$C$5),1,"")</f>
        <v/>
      </c>
      <c r="S283" s="21">
        <f>IF(AND($C$5&lt;&gt;"",$A283=$C$5),SUMIFS($G$8:$G$715,$A$8:$A$715,$C$5,$B$8:$B$715,"&lt;="&amp;$B283),"")</f>
        <v/>
      </c>
      <c r="T283" s="24" t="n"/>
      <c r="U283" s="24" t="n"/>
    </row>
    <row r="284">
      <c r="A284" s="2" t="inlineStr">
        <is>
          <t>IND-33</t>
        </is>
      </c>
      <c r="B284" s="2" t="n">
        <v>23</v>
      </c>
      <c r="C284" s="2" t="inlineStr">
        <is>
          <t>IMP00245</t>
        </is>
      </c>
      <c r="D284" s="2" t="inlineStr">
        <is>
          <t>Prescott Living Group Ltd</t>
        </is>
      </c>
      <c r="E284" s="2" t="n">
        <v>2</v>
      </c>
      <c r="F284" s="27" t="n">
        <v>1619423.81</v>
      </c>
      <c r="G284" s="28" t="n">
        <v>0.0034</v>
      </c>
      <c r="H284" s="19" t="n">
        <v>0.574</v>
      </c>
      <c r="I284" s="29" t="n">
        <v>0.5</v>
      </c>
      <c r="J284" s="2" t="inlineStr">
        <is>
          <t>EXP0161</t>
        </is>
      </c>
      <c r="K284" s="2" t="n">
        <v>7</v>
      </c>
      <c r="L284" s="2" t="inlineStr">
        <is>
          <t>BRK019</t>
        </is>
      </c>
      <c r="M284" s="2" t="inlineStr">
        <is>
          <t>AIR1</t>
        </is>
      </c>
      <c r="N284" s="2" t="n">
        <v>0</v>
      </c>
      <c r="O284" s="2" t="n">
        <v>0</v>
      </c>
      <c r="P284" s="2" t="n">
        <v>0</v>
      </c>
      <c r="Q284" s="2" t="n">
        <v>0</v>
      </c>
      <c r="R284" s="30">
        <f>IF(AND($C$5&lt;&gt;"",$A284=$C$5),1,"")</f>
        <v/>
      </c>
      <c r="S284" s="21">
        <f>IF(AND($C$5&lt;&gt;"",$A284=$C$5),SUMIFS($G$8:$G$715,$A$8:$A$715,$C$5,$B$8:$B$715,"&lt;="&amp;$B284),"")</f>
        <v/>
      </c>
      <c r="T284" s="24" t="n"/>
      <c r="U284" s="24" t="n"/>
    </row>
    <row r="285">
      <c r="A285" s="2" t="inlineStr">
        <is>
          <t>IND-33</t>
        </is>
      </c>
      <c r="B285" s="2" t="n">
        <v>24</v>
      </c>
      <c r="C285" s="2" t="inlineStr">
        <is>
          <t>IMP01456</t>
        </is>
      </c>
      <c r="D285" s="2" t="inlineStr">
        <is>
          <t>Royal Steel Holdings Ltd</t>
        </is>
      </c>
      <c r="E285" s="2" t="n">
        <v>1</v>
      </c>
      <c r="F285" s="27" t="n">
        <v>1003409.78</v>
      </c>
      <c r="G285" s="28" t="n">
        <v>0.0021</v>
      </c>
      <c r="H285" s="19" t="n">
        <v>0.672</v>
      </c>
      <c r="I285" s="29" t="n">
        <v>1</v>
      </c>
      <c r="J285" s="2" t="inlineStr">
        <is>
          <t>EXP0102</t>
        </is>
      </c>
      <c r="K285" s="2" t="n">
        <v>5</v>
      </c>
      <c r="L285" s="2" t="inlineStr">
        <is>
          <t>BRK007</t>
        </is>
      </c>
      <c r="M285" s="2" t="inlineStr">
        <is>
          <t>PORT3</t>
        </is>
      </c>
      <c r="N285" s="2" t="n">
        <v>0</v>
      </c>
      <c r="O285" s="2" t="n">
        <v>0</v>
      </c>
      <c r="P285" s="2" t="n">
        <v>1</v>
      </c>
      <c r="Q285" s="2" t="n">
        <v>0</v>
      </c>
      <c r="R285" s="30">
        <f>IF(AND($C$5&lt;&gt;"",$A285=$C$5),1,"")</f>
        <v/>
      </c>
      <c r="S285" s="21">
        <f>IF(AND($C$5&lt;&gt;"",$A285=$C$5),SUMIFS($G$8:$G$715,$A$8:$A$715,$C$5,$B$8:$B$715,"&lt;="&amp;$B285),"")</f>
        <v/>
      </c>
      <c r="T285" s="24" t="n"/>
      <c r="U285" s="24" t="n"/>
    </row>
    <row r="286">
      <c r="A286" s="2" t="inlineStr">
        <is>
          <t>IND-33</t>
        </is>
      </c>
      <c r="B286" s="2" t="n">
        <v>25</v>
      </c>
      <c r="C286" s="2" t="inlineStr">
        <is>
          <t>IMP00128</t>
        </is>
      </c>
      <c r="D286" s="2" t="inlineStr">
        <is>
          <t>Phoenix Pack Limited</t>
        </is>
      </c>
      <c r="E286" s="2" t="n">
        <v>1</v>
      </c>
      <c r="F286" s="27" t="n">
        <v>882153.55</v>
      </c>
      <c r="G286" s="28" t="n">
        <v>0.0019</v>
      </c>
      <c r="H286" s="19" t="n">
        <v>0.8090000000000001</v>
      </c>
      <c r="I286" s="29" t="n">
        <v>0</v>
      </c>
      <c r="J286" s="2" t="inlineStr">
        <is>
          <t>EXP0468</t>
        </is>
      </c>
      <c r="K286" s="2" t="n">
        <v>4</v>
      </c>
      <c r="L286" s="2" t="inlineStr">
        <is>
          <t>BRK053</t>
        </is>
      </c>
      <c r="M286" s="2" t="inlineStr">
        <is>
          <t>PORT1</t>
        </is>
      </c>
      <c r="N286" s="2" t="n">
        <v>0</v>
      </c>
      <c r="O286" s="2" t="n">
        <v>0</v>
      </c>
      <c r="P286" s="2" t="n">
        <v>0</v>
      </c>
      <c r="Q286" s="2" t="n">
        <v>0</v>
      </c>
      <c r="R286" s="30">
        <f>IF(AND($C$5&lt;&gt;"",$A286=$C$5),1,"")</f>
        <v/>
      </c>
      <c r="S286" s="21">
        <f>IF(AND($C$5&lt;&gt;"",$A286=$C$5),SUMIFS($G$8:$G$715,$A$8:$A$715,$C$5,$B$8:$B$715,"&lt;="&amp;$B286),"")</f>
        <v/>
      </c>
      <c r="T286" s="24" t="n"/>
      <c r="U286" s="24" t="n"/>
    </row>
    <row r="287">
      <c r="A287" s="2" t="inlineStr">
        <is>
          <t>IND-33</t>
        </is>
      </c>
      <c r="B287" s="2" t="n">
        <v>26</v>
      </c>
      <c r="C287" s="2" t="inlineStr">
        <is>
          <t>IMP00386</t>
        </is>
      </c>
      <c r="D287" s="2" t="inlineStr">
        <is>
          <t>Arden Imports Partners Ltd</t>
        </is>
      </c>
      <c r="E287" s="2" t="n">
        <v>2</v>
      </c>
      <c r="F287" s="27" t="n">
        <v>618942.12</v>
      </c>
      <c r="G287" s="28" t="n">
        <v>0.0013</v>
      </c>
      <c r="H287" s="19" t="n">
        <v>0.707</v>
      </c>
      <c r="I287" s="29" t="n">
        <v>0.5</v>
      </c>
      <c r="J287" s="2" t="inlineStr">
        <is>
          <t>EXP0019</t>
        </is>
      </c>
      <c r="K287" s="2" t="n">
        <v>4</v>
      </c>
      <c r="L287" s="2" t="inlineStr">
        <is>
          <t>BRK005</t>
        </is>
      </c>
      <c r="M287" s="2" t="inlineStr">
        <is>
          <t>LAND1</t>
        </is>
      </c>
      <c r="N287" s="2" t="n">
        <v>0</v>
      </c>
      <c r="O287" s="2" t="n">
        <v>0</v>
      </c>
      <c r="P287" s="2" t="n">
        <v>1</v>
      </c>
      <c r="Q287" s="2" t="n">
        <v>0</v>
      </c>
      <c r="R287" s="30">
        <f>IF(AND($C$5&lt;&gt;"",$A287=$C$5),1,"")</f>
        <v/>
      </c>
      <c r="S287" s="21">
        <f>IF(AND($C$5&lt;&gt;"",$A287=$C$5),SUMIFS($G$8:$G$715,$A$8:$A$715,$C$5,$B$8:$B$715,"&lt;="&amp;$B287),"")</f>
        <v/>
      </c>
      <c r="T287" s="24" t="n"/>
      <c r="U287" s="24" t="n"/>
    </row>
    <row r="288">
      <c r="A288" s="2" t="inlineStr">
        <is>
          <t>IND-33</t>
        </is>
      </c>
      <c r="B288" s="2" t="n">
        <v>27</v>
      </c>
      <c r="C288" s="2" t="inlineStr">
        <is>
          <t>IMP00761</t>
        </is>
      </c>
      <c r="D288" s="2" t="inlineStr">
        <is>
          <t>Phoenix Motors Ltd</t>
        </is>
      </c>
      <c r="E288" s="2" t="n">
        <v>1</v>
      </c>
      <c r="F288" s="27" t="n">
        <v>502866.35</v>
      </c>
      <c r="G288" s="28" t="n">
        <v>0.0011</v>
      </c>
      <c r="H288" s="19" t="n">
        <v>1.071</v>
      </c>
      <c r="I288" s="29" t="n">
        <v>0</v>
      </c>
      <c r="J288" s="2" t="inlineStr">
        <is>
          <t>EXP0555</t>
        </is>
      </c>
      <c r="K288" s="2" t="n">
        <v>7</v>
      </c>
      <c r="L288" s="2" t="inlineStr">
        <is>
          <t>BRK007</t>
        </is>
      </c>
      <c r="M288" s="2" t="inlineStr">
        <is>
          <t>PORT1</t>
        </is>
      </c>
      <c r="N288" s="2" t="n">
        <v>0</v>
      </c>
      <c r="O288" s="2" t="n">
        <v>0</v>
      </c>
      <c r="P288" s="2" t="n">
        <v>0</v>
      </c>
      <c r="Q288" s="2" t="n">
        <v>0</v>
      </c>
      <c r="R288" s="30">
        <f>IF(AND($C$5&lt;&gt;"",$A288=$C$5),1,"")</f>
        <v/>
      </c>
      <c r="S288" s="21">
        <f>IF(AND($C$5&lt;&gt;"",$A288=$C$5),SUMIFS($G$8:$G$715,$A$8:$A$715,$C$5,$B$8:$B$715,"&lt;="&amp;$B288),"")</f>
        <v/>
      </c>
      <c r="T288" s="24" t="n"/>
      <c r="U288" s="24" t="n"/>
    </row>
    <row r="289">
      <c r="A289" s="2" t="inlineStr">
        <is>
          <t>IND-33</t>
        </is>
      </c>
      <c r="B289" s="2" t="n">
        <v>28</v>
      </c>
      <c r="C289" s="2" t="inlineStr">
        <is>
          <t>IMP01484</t>
        </is>
      </c>
      <c r="D289" s="2" t="inlineStr">
        <is>
          <t>Horizon Mobile Limited</t>
        </is>
      </c>
      <c r="E289" s="2" t="n">
        <v>1</v>
      </c>
      <c r="F289" s="27" t="n">
        <v>425851.24</v>
      </c>
      <c r="G289" s="28" t="n">
        <v>0.0009</v>
      </c>
      <c r="H289" s="19" t="n">
        <v>0.679</v>
      </c>
      <c r="I289" s="29" t="n">
        <v>1</v>
      </c>
      <c r="J289" s="2" t="inlineStr">
        <is>
          <t>EXP0123</t>
        </is>
      </c>
      <c r="K289" s="2" t="n">
        <v>5</v>
      </c>
      <c r="L289" s="2" t="inlineStr">
        <is>
          <t>BRK021</t>
        </is>
      </c>
      <c r="M289" s="2" t="inlineStr">
        <is>
          <t>PORT3</t>
        </is>
      </c>
      <c r="N289" s="2" t="n">
        <v>0</v>
      </c>
      <c r="O289" s="2" t="n">
        <v>0</v>
      </c>
      <c r="P289" s="2" t="n">
        <v>1</v>
      </c>
      <c r="Q289" s="2" t="n">
        <v>0</v>
      </c>
      <c r="R289" s="30">
        <f>IF(AND($C$5&lt;&gt;"",$A289=$C$5),1,"")</f>
        <v/>
      </c>
      <c r="S289" s="21">
        <f>IF(AND($C$5&lt;&gt;"",$A289=$C$5),SUMIFS($G$8:$G$715,$A$8:$A$715,$C$5,$B$8:$B$715,"&lt;="&amp;$B289),"")</f>
        <v/>
      </c>
      <c r="T289" s="24" t="n"/>
      <c r="U289" s="24" t="n"/>
    </row>
    <row r="290">
      <c r="A290" s="2" t="inlineStr">
        <is>
          <t>IND-39</t>
        </is>
      </c>
      <c r="B290" s="2" t="n">
        <v>1</v>
      </c>
      <c r="C290" s="2" t="inlineStr">
        <is>
          <t>IMP00306</t>
        </is>
      </c>
      <c r="D290" s="2" t="inlineStr">
        <is>
          <t>Cobalt Mobile &amp; Sons</t>
        </is>
      </c>
      <c r="E290" s="2" t="n">
        <v>403</v>
      </c>
      <c r="F290" s="27" t="n">
        <v>243335241.53</v>
      </c>
      <c r="G290" s="28" t="n">
        <v>0.5112</v>
      </c>
      <c r="H290" s="19" t="n">
        <v>0.974</v>
      </c>
      <c r="I290" s="29" t="n">
        <v>0.0223</v>
      </c>
      <c r="J290" s="2" t="inlineStr">
        <is>
          <t>EXP0161</t>
        </is>
      </c>
      <c r="K290" s="2" t="n">
        <v>2</v>
      </c>
      <c r="L290" s="2" t="inlineStr">
        <is>
          <t>BRK061</t>
        </is>
      </c>
      <c r="M290" s="2" t="inlineStr">
        <is>
          <t>LAND7</t>
        </is>
      </c>
      <c r="N290" s="2" t="n">
        <v>0</v>
      </c>
      <c r="O290" s="2" t="n">
        <v>0</v>
      </c>
      <c r="P290" s="2" t="n">
        <v>0</v>
      </c>
      <c r="Q290" s="2" t="n">
        <v>0</v>
      </c>
      <c r="R290" s="30">
        <f>IF(AND($C$5&lt;&gt;"",$A290=$C$5),1,"")</f>
        <v/>
      </c>
      <c r="S290" s="21">
        <f>IF(AND($C$5&lt;&gt;"",$A290=$C$5),SUMIFS($G$8:$G$715,$A$8:$A$715,$C$5,$B$8:$B$715,"&lt;="&amp;$B290),"")</f>
        <v/>
      </c>
      <c r="T290" s="24" t="n"/>
      <c r="U290" s="24" t="n"/>
    </row>
    <row r="291">
      <c r="A291" s="2" t="inlineStr">
        <is>
          <t>IND-39</t>
        </is>
      </c>
      <c r="B291" s="2" t="n">
        <v>2</v>
      </c>
      <c r="C291" s="2" t="inlineStr">
        <is>
          <t>IMP00269</t>
        </is>
      </c>
      <c r="D291" s="2" t="inlineStr">
        <is>
          <t>Inverness Textiles &amp; Sons</t>
        </is>
      </c>
      <c r="E291" s="2" t="n">
        <v>101</v>
      </c>
      <c r="F291" s="27" t="n">
        <v>54014236.48</v>
      </c>
      <c r="G291" s="28" t="n">
        <v>0.1135</v>
      </c>
      <c r="H291" s="19" t="n">
        <v>0.91</v>
      </c>
      <c r="I291" s="29" t="n">
        <v>0.0198</v>
      </c>
      <c r="J291" s="2" t="inlineStr">
        <is>
          <t>EXP0067</t>
        </is>
      </c>
      <c r="K291" s="2" t="n">
        <v>7</v>
      </c>
      <c r="L291" s="2" t="inlineStr">
        <is>
          <t>BRK064</t>
        </is>
      </c>
      <c r="M291" s="2" t="inlineStr">
        <is>
          <t>PORT3</t>
        </is>
      </c>
      <c r="N291" s="2" t="n">
        <v>0</v>
      </c>
      <c r="O291" s="2" t="n">
        <v>0</v>
      </c>
      <c r="P291" s="2" t="n">
        <v>0</v>
      </c>
      <c r="Q291" s="2" t="n">
        <v>0</v>
      </c>
      <c r="R291" s="30">
        <f>IF(AND($C$5&lt;&gt;"",$A291=$C$5),1,"")</f>
        <v/>
      </c>
      <c r="S291" s="21">
        <f>IF(AND($C$5&lt;&gt;"",$A291=$C$5),SUMIFS($G$8:$G$715,$A$8:$A$715,$C$5,$B$8:$B$715,"&lt;="&amp;$B291),"")</f>
        <v/>
      </c>
      <c r="T291" s="24" t="n"/>
      <c r="U291" s="24" t="n"/>
    </row>
    <row r="292">
      <c r="A292" s="2" t="inlineStr">
        <is>
          <t>IND-39</t>
        </is>
      </c>
      <c r="B292" s="2" t="n">
        <v>3</v>
      </c>
      <c r="C292" s="2" t="inlineStr">
        <is>
          <t>IMP00591</t>
        </is>
      </c>
      <c r="D292" s="2" t="inlineStr">
        <is>
          <t>Twin Rivers Medical Ltd</t>
        </is>
      </c>
      <c r="E292" s="2" t="n">
        <v>78</v>
      </c>
      <c r="F292" s="27" t="n">
        <v>35735941.06</v>
      </c>
      <c r="G292" s="28" t="n">
        <v>0.0751</v>
      </c>
      <c r="H292" s="19" t="n">
        <v>0.953</v>
      </c>
      <c r="I292" s="29" t="n">
        <v>0.0385</v>
      </c>
      <c r="J292" s="2" t="inlineStr">
        <is>
          <t>EXP0555</t>
        </is>
      </c>
      <c r="K292" s="2" t="n">
        <v>11</v>
      </c>
      <c r="L292" s="2" t="inlineStr">
        <is>
          <t>BRK044</t>
        </is>
      </c>
      <c r="M292" s="2" t="inlineStr">
        <is>
          <t>LAND1</t>
        </is>
      </c>
      <c r="N292" s="2" t="n">
        <v>0</v>
      </c>
      <c r="O292" s="2" t="n">
        <v>0</v>
      </c>
      <c r="P292" s="2" t="n">
        <v>0</v>
      </c>
      <c r="Q292" s="2" t="n">
        <v>0</v>
      </c>
      <c r="R292" s="30">
        <f>IF(AND($C$5&lt;&gt;"",$A292=$C$5),1,"")</f>
        <v/>
      </c>
      <c r="S292" s="21">
        <f>IF(AND($C$5&lt;&gt;"",$A292=$C$5),SUMIFS($G$8:$G$715,$A$8:$A$715,$C$5,$B$8:$B$715,"&lt;="&amp;$B292),"")</f>
        <v/>
      </c>
      <c r="T292" s="24" t="n"/>
      <c r="U292" s="24" t="n"/>
    </row>
    <row r="293">
      <c r="A293" s="2" t="inlineStr">
        <is>
          <t>IND-39</t>
        </is>
      </c>
      <c r="B293" s="2" t="n">
        <v>4</v>
      </c>
      <c r="C293" s="2" t="inlineStr">
        <is>
          <t>IMP00471</t>
        </is>
      </c>
      <c r="D293" s="2" t="inlineStr">
        <is>
          <t>Silver Fruits Ltd</t>
        </is>
      </c>
      <c r="E293" s="2" t="n">
        <v>65</v>
      </c>
      <c r="F293" s="27" t="n">
        <v>33302868.4</v>
      </c>
      <c r="G293" s="28" t="n">
        <v>0.07000000000000001</v>
      </c>
      <c r="H293" s="19" t="n">
        <v>0.945</v>
      </c>
      <c r="I293" s="29" t="n">
        <v>0.0308</v>
      </c>
      <c r="J293" s="2" t="inlineStr">
        <is>
          <t>EXP0588</t>
        </is>
      </c>
      <c r="K293" s="2" t="n">
        <v>7</v>
      </c>
      <c r="L293" s="2" t="inlineStr">
        <is>
          <t>BRK059</t>
        </is>
      </c>
      <c r="M293" s="2" t="inlineStr">
        <is>
          <t>AIR2</t>
        </is>
      </c>
      <c r="N293" s="2" t="n">
        <v>0</v>
      </c>
      <c r="O293" s="2" t="n">
        <v>1</v>
      </c>
      <c r="P293" s="2" t="n">
        <v>0</v>
      </c>
      <c r="Q293" s="2" t="n">
        <v>0</v>
      </c>
      <c r="R293" s="30">
        <f>IF(AND($C$5&lt;&gt;"",$A293=$C$5),1,"")</f>
        <v/>
      </c>
      <c r="S293" s="21">
        <f>IF(AND($C$5&lt;&gt;"",$A293=$C$5),SUMIFS($G$8:$G$715,$A$8:$A$715,$C$5,$B$8:$B$715,"&lt;="&amp;$B293),"")</f>
        <v/>
      </c>
      <c r="T293" s="24" t="n"/>
      <c r="U293" s="24" t="n"/>
    </row>
    <row r="294">
      <c r="A294" s="2" t="inlineStr">
        <is>
          <t>IND-39</t>
        </is>
      </c>
      <c r="B294" s="2" t="n">
        <v>5</v>
      </c>
      <c r="C294" s="2" t="inlineStr">
        <is>
          <t>IMP00641</t>
        </is>
      </c>
      <c r="D294" s="2" t="inlineStr">
        <is>
          <t>Pacific Fruits &amp; Sons</t>
        </is>
      </c>
      <c r="E294" s="2" t="n">
        <v>32</v>
      </c>
      <c r="F294" s="27" t="n">
        <v>14866642.29</v>
      </c>
      <c r="G294" s="28" t="n">
        <v>0.0312</v>
      </c>
      <c r="H294" s="19" t="n">
        <v>0.945</v>
      </c>
      <c r="I294" s="29" t="n">
        <v>0.0312</v>
      </c>
      <c r="J294" s="2" t="inlineStr">
        <is>
          <t>EXP0186</t>
        </is>
      </c>
      <c r="K294" s="2" t="n">
        <v>2</v>
      </c>
      <c r="L294" s="2" t="inlineStr">
        <is>
          <t>BRK018</t>
        </is>
      </c>
      <c r="M294" s="2" t="inlineStr">
        <is>
          <t>PORT1</t>
        </is>
      </c>
      <c r="N294" s="2" t="n">
        <v>0</v>
      </c>
      <c r="O294" s="2" t="n">
        <v>0</v>
      </c>
      <c r="P294" s="2" t="n">
        <v>0</v>
      </c>
      <c r="Q294" s="2" t="n">
        <v>0</v>
      </c>
      <c r="R294" s="30">
        <f>IF(AND($C$5&lt;&gt;"",$A294=$C$5),1,"")</f>
        <v/>
      </c>
      <c r="S294" s="21">
        <f>IF(AND($C$5&lt;&gt;"",$A294=$C$5),SUMIFS($G$8:$G$715,$A$8:$A$715,$C$5,$B$8:$B$715,"&lt;="&amp;$B294),"")</f>
        <v/>
      </c>
      <c r="T294" s="24" t="n"/>
      <c r="U294" s="24" t="n"/>
    </row>
    <row r="295">
      <c r="A295" s="2" t="inlineStr">
        <is>
          <t>IND-39</t>
        </is>
      </c>
      <c r="B295" s="2" t="n">
        <v>6</v>
      </c>
      <c r="C295" s="2" t="inlineStr">
        <is>
          <t>IMP01365</t>
        </is>
      </c>
      <c r="D295" s="2" t="inlineStr">
        <is>
          <t>Ashcombe Textiles Co., Ltd</t>
        </is>
      </c>
      <c r="E295" s="2" t="n">
        <v>23</v>
      </c>
      <c r="F295" s="27" t="n">
        <v>9451498.359999999</v>
      </c>
      <c r="G295" s="28" t="n">
        <v>0.0199</v>
      </c>
      <c r="H295" s="19" t="n">
        <v>0.885</v>
      </c>
      <c r="I295" s="29" t="n">
        <v>0.0435</v>
      </c>
      <c r="J295" s="2" t="inlineStr">
        <is>
          <t>EXP0019</t>
        </is>
      </c>
      <c r="K295" s="2" t="n">
        <v>7</v>
      </c>
      <c r="L295" s="2" t="inlineStr">
        <is>
          <t>BRK074</t>
        </is>
      </c>
      <c r="M295" s="2" t="inlineStr">
        <is>
          <t>PORT3</t>
        </is>
      </c>
      <c r="N295" s="2" t="n">
        <v>0</v>
      </c>
      <c r="O295" s="2" t="n">
        <v>0</v>
      </c>
      <c r="P295" s="2" t="n">
        <v>0</v>
      </c>
      <c r="Q295" s="2" t="n">
        <v>0</v>
      </c>
      <c r="R295" s="30">
        <f>IF(AND($C$5&lt;&gt;"",$A295=$C$5),1,"")</f>
        <v/>
      </c>
      <c r="S295" s="21">
        <f>IF(AND($C$5&lt;&gt;"",$A295=$C$5),SUMIFS($G$8:$G$715,$A$8:$A$715,$C$5,$B$8:$B$715,"&lt;="&amp;$B295),"")</f>
        <v/>
      </c>
      <c r="T295" s="24" t="n"/>
      <c r="U295" s="24" t="n"/>
    </row>
    <row r="296">
      <c r="A296" s="2" t="inlineStr">
        <is>
          <t>IND-39</t>
        </is>
      </c>
      <c r="B296" s="2" t="n">
        <v>7</v>
      </c>
      <c r="C296" s="2" t="inlineStr">
        <is>
          <t>IMP01346</t>
        </is>
      </c>
      <c r="D296" s="2" t="inlineStr">
        <is>
          <t>Global Medical Limited</t>
        </is>
      </c>
      <c r="E296" s="2" t="n">
        <v>16</v>
      </c>
      <c r="F296" s="27" t="n">
        <v>8562686.789999999</v>
      </c>
      <c r="G296" s="28" t="n">
        <v>0.018</v>
      </c>
      <c r="H296" s="19" t="n">
        <v>1.027</v>
      </c>
      <c r="I296" s="29" t="n">
        <v>0</v>
      </c>
      <c r="J296" s="2" t="inlineStr">
        <is>
          <t>EXP0008</t>
        </is>
      </c>
      <c r="K296" s="2" t="n">
        <v>7</v>
      </c>
      <c r="L296" s="2" t="inlineStr">
        <is>
          <t>BRK010</t>
        </is>
      </c>
      <c r="M296" s="2" t="inlineStr">
        <is>
          <t>PORT3</t>
        </is>
      </c>
      <c r="N296" s="2" t="n">
        <v>0</v>
      </c>
      <c r="O296" s="2" t="n">
        <v>0</v>
      </c>
      <c r="P296" s="2" t="n">
        <v>0</v>
      </c>
      <c r="Q296" s="2" t="n">
        <v>1</v>
      </c>
      <c r="R296" s="30">
        <f>IF(AND($C$5&lt;&gt;"",$A296=$C$5),1,"")</f>
        <v/>
      </c>
      <c r="S296" s="21">
        <f>IF(AND($C$5&lt;&gt;"",$A296=$C$5),SUMIFS($G$8:$G$715,$A$8:$A$715,$C$5,$B$8:$B$715,"&lt;="&amp;$B296),"")</f>
        <v/>
      </c>
      <c r="T296" s="24" t="n"/>
      <c r="U296" s="24" t="n"/>
    </row>
    <row r="297">
      <c r="A297" s="2" t="inlineStr">
        <is>
          <t>IND-39</t>
        </is>
      </c>
      <c r="B297" s="2" t="n">
        <v>8</v>
      </c>
      <c r="C297" s="2" t="inlineStr">
        <is>
          <t>IMP00137</t>
        </is>
      </c>
      <c r="D297" s="2" t="inlineStr">
        <is>
          <t>Royal Textiles Enterprises</t>
        </is>
      </c>
      <c r="E297" s="2" t="n">
        <v>24</v>
      </c>
      <c r="F297" s="27" t="n">
        <v>8349190.6</v>
      </c>
      <c r="G297" s="28" t="n">
        <v>0.0175</v>
      </c>
      <c r="H297" s="19" t="n">
        <v>0.914</v>
      </c>
      <c r="I297" s="29" t="n">
        <v>0</v>
      </c>
      <c r="J297" s="2" t="inlineStr">
        <is>
          <t>EXP0555</t>
        </is>
      </c>
      <c r="K297" s="2" t="n">
        <v>11</v>
      </c>
      <c r="L297" s="2" t="inlineStr">
        <is>
          <t>BRK028</t>
        </is>
      </c>
      <c r="M297" s="2" t="inlineStr">
        <is>
          <t>PORT2</t>
        </is>
      </c>
      <c r="N297" s="2" t="n">
        <v>0</v>
      </c>
      <c r="O297" s="2" t="n">
        <v>0</v>
      </c>
      <c r="P297" s="2" t="n">
        <v>0</v>
      </c>
      <c r="Q297" s="2" t="n">
        <v>0</v>
      </c>
      <c r="R297" s="30">
        <f>IF(AND($C$5&lt;&gt;"",$A297=$C$5),1,"")</f>
        <v/>
      </c>
      <c r="S297" s="21">
        <f>IF(AND($C$5&lt;&gt;"",$A297=$C$5),SUMIFS($G$8:$G$715,$A$8:$A$715,$C$5,$B$8:$B$715,"&lt;="&amp;$B297),"")</f>
        <v/>
      </c>
      <c r="T297" s="24" t="n"/>
      <c r="U297" s="24" t="n"/>
    </row>
    <row r="298">
      <c r="A298" s="2" t="inlineStr">
        <is>
          <t>IND-39</t>
        </is>
      </c>
      <c r="B298" s="2" t="n">
        <v>9</v>
      </c>
      <c r="C298" s="2" t="inlineStr">
        <is>
          <t>IMP00866</t>
        </is>
      </c>
      <c r="D298" s="2" t="inlineStr">
        <is>
          <t>Pacific Mobile Group Ltd</t>
        </is>
      </c>
      <c r="E298" s="2" t="n">
        <v>17</v>
      </c>
      <c r="F298" s="27" t="n">
        <v>7536836.14</v>
      </c>
      <c r="G298" s="28" t="n">
        <v>0.0158</v>
      </c>
      <c r="H298" s="19" t="n">
        <v>0.871</v>
      </c>
      <c r="I298" s="29" t="n">
        <v>0.1176</v>
      </c>
      <c r="J298" s="2" t="inlineStr">
        <is>
          <t>EXP0067</t>
        </is>
      </c>
      <c r="K298" s="2" t="n">
        <v>7</v>
      </c>
      <c r="L298" s="2" t="inlineStr">
        <is>
          <t>BRK059</t>
        </is>
      </c>
      <c r="M298" s="2" t="inlineStr">
        <is>
          <t>LAND1</t>
        </is>
      </c>
      <c r="N298" s="2" t="n">
        <v>0</v>
      </c>
      <c r="O298" s="2" t="n">
        <v>0</v>
      </c>
      <c r="P298" s="2" t="n">
        <v>0</v>
      </c>
      <c r="Q298" s="2" t="n">
        <v>0</v>
      </c>
      <c r="R298" s="30">
        <f>IF(AND($C$5&lt;&gt;"",$A298=$C$5),1,"")</f>
        <v/>
      </c>
      <c r="S298" s="21">
        <f>IF(AND($C$5&lt;&gt;"",$A298=$C$5),SUMIFS($G$8:$G$715,$A$8:$A$715,$C$5,$B$8:$B$715,"&lt;="&amp;$B298),"")</f>
        <v/>
      </c>
      <c r="T298" s="24" t="n"/>
      <c r="U298" s="24" t="n"/>
    </row>
    <row r="299">
      <c r="A299" s="2" t="inlineStr">
        <is>
          <t>IND-39</t>
        </is>
      </c>
      <c r="B299" s="2" t="n">
        <v>10</v>
      </c>
      <c r="C299" s="2" t="inlineStr">
        <is>
          <t>IMP00404</t>
        </is>
      </c>
      <c r="D299" s="2" t="inlineStr">
        <is>
          <t>Ocean Living Limited</t>
        </is>
      </c>
      <c r="E299" s="2" t="n">
        <v>21</v>
      </c>
      <c r="F299" s="27" t="n">
        <v>6744352.89</v>
      </c>
      <c r="G299" s="28" t="n">
        <v>0.0142</v>
      </c>
      <c r="H299" s="19" t="n">
        <v>0.844</v>
      </c>
      <c r="I299" s="29" t="n">
        <v>0.1905</v>
      </c>
      <c r="J299" s="2" t="inlineStr">
        <is>
          <t>EXP0403</t>
        </is>
      </c>
      <c r="K299" s="2" t="n">
        <v>8</v>
      </c>
      <c r="L299" s="2" t="inlineStr">
        <is>
          <t>BRK066</t>
        </is>
      </c>
      <c r="M299" s="2" t="inlineStr">
        <is>
          <t>LAND3</t>
        </is>
      </c>
      <c r="N299" s="2" t="n">
        <v>0</v>
      </c>
      <c r="O299" s="2" t="n">
        <v>0</v>
      </c>
      <c r="P299" s="2" t="n">
        <v>0</v>
      </c>
      <c r="Q299" s="2" t="n">
        <v>1</v>
      </c>
      <c r="R299" s="30">
        <f>IF(AND($C$5&lt;&gt;"",$A299=$C$5),1,"")</f>
        <v/>
      </c>
      <c r="S299" s="21">
        <f>IF(AND($C$5&lt;&gt;"",$A299=$C$5),SUMIFS($G$8:$G$715,$A$8:$A$715,$C$5,$B$8:$B$715,"&lt;="&amp;$B299),"")</f>
        <v/>
      </c>
      <c r="T299" s="24" t="n"/>
      <c r="U299" s="24" t="n"/>
    </row>
    <row r="300">
      <c r="A300" s="2" t="inlineStr">
        <is>
          <t>IND-39</t>
        </is>
      </c>
      <c r="B300" s="2" t="n">
        <v>11</v>
      </c>
      <c r="C300" s="2" t="inlineStr">
        <is>
          <t>IMP00442</t>
        </is>
      </c>
      <c r="D300" s="2" t="inlineStr">
        <is>
          <t>Royal Textiles Co.</t>
        </is>
      </c>
      <c r="E300" s="2" t="n">
        <v>10</v>
      </c>
      <c r="F300" s="27" t="n">
        <v>5551760.28</v>
      </c>
      <c r="G300" s="28" t="n">
        <v>0.0117</v>
      </c>
      <c r="H300" s="19" t="n">
        <v>0.8715000000000001</v>
      </c>
      <c r="I300" s="29" t="n">
        <v>0.1</v>
      </c>
      <c r="J300" s="2" t="inlineStr">
        <is>
          <t>EXP0449</t>
        </is>
      </c>
      <c r="K300" s="2" t="n">
        <v>5</v>
      </c>
      <c r="L300" s="2" t="inlineStr">
        <is>
          <t>BRK025</t>
        </is>
      </c>
      <c r="M300" s="2" t="inlineStr">
        <is>
          <t>PORT1</t>
        </is>
      </c>
      <c r="N300" s="2" t="n">
        <v>0</v>
      </c>
      <c r="O300" s="2" t="n">
        <v>0</v>
      </c>
      <c r="P300" s="2" t="n">
        <v>0</v>
      </c>
      <c r="Q300" s="2" t="n">
        <v>0</v>
      </c>
      <c r="R300" s="30">
        <f>IF(AND($C$5&lt;&gt;"",$A300=$C$5),1,"")</f>
        <v/>
      </c>
      <c r="S300" s="21">
        <f>IF(AND($C$5&lt;&gt;"",$A300=$C$5),SUMIFS($G$8:$G$715,$A$8:$A$715,$C$5,$B$8:$B$715,"&lt;="&amp;$B300),"")</f>
        <v/>
      </c>
      <c r="T300" s="24" t="n"/>
      <c r="U300" s="24" t="n"/>
    </row>
    <row r="301">
      <c r="A301" s="2" t="inlineStr">
        <is>
          <t>IND-39</t>
        </is>
      </c>
      <c r="B301" s="2" t="n">
        <v>12</v>
      </c>
      <c r="C301" s="2" t="inlineStr">
        <is>
          <t>IMP00551</t>
        </is>
      </c>
      <c r="D301" s="2" t="inlineStr">
        <is>
          <t>Phoenix Steel Partners Ltd</t>
        </is>
      </c>
      <c r="E301" s="2" t="n">
        <v>13</v>
      </c>
      <c r="F301" s="27" t="n">
        <v>4860184.6</v>
      </c>
      <c r="G301" s="28" t="n">
        <v>0.0102</v>
      </c>
      <c r="H301" s="19" t="n">
        <v>0.788</v>
      </c>
      <c r="I301" s="29" t="n">
        <v>0.3077</v>
      </c>
      <c r="J301" s="2" t="inlineStr">
        <is>
          <t>EXP0403</t>
        </is>
      </c>
      <c r="K301" s="2" t="n">
        <v>8</v>
      </c>
      <c r="L301" s="2" t="inlineStr">
        <is>
          <t>BRK078</t>
        </is>
      </c>
      <c r="M301" s="2" t="inlineStr">
        <is>
          <t>AIR1</t>
        </is>
      </c>
      <c r="N301" s="2" t="n">
        <v>0</v>
      </c>
      <c r="O301" s="2" t="n">
        <v>0</v>
      </c>
      <c r="P301" s="2" t="n">
        <v>0</v>
      </c>
      <c r="Q301" s="2" t="n">
        <v>0</v>
      </c>
      <c r="R301" s="30">
        <f>IF(AND($C$5&lt;&gt;"",$A301=$C$5),1,"")</f>
        <v/>
      </c>
      <c r="S301" s="21">
        <f>IF(AND($C$5&lt;&gt;"",$A301=$C$5),SUMIFS($G$8:$G$715,$A$8:$A$715,$C$5,$B$8:$B$715,"&lt;="&amp;$B301),"")</f>
        <v/>
      </c>
      <c r="T301" s="24" t="n"/>
      <c r="U301" s="24" t="n"/>
    </row>
    <row r="302">
      <c r="A302" s="2" t="inlineStr">
        <is>
          <t>IND-39</t>
        </is>
      </c>
      <c r="B302" s="2" t="n">
        <v>13</v>
      </c>
      <c r="C302" s="2" t="inlineStr">
        <is>
          <t>IMP00130</t>
        </is>
      </c>
      <c r="D302" s="2" t="inlineStr">
        <is>
          <t>Metro Glow Co., Ltd</t>
        </is>
      </c>
      <c r="E302" s="2" t="n">
        <v>7</v>
      </c>
      <c r="F302" s="27" t="n">
        <v>3929077.64</v>
      </c>
      <c r="G302" s="28" t="n">
        <v>0.0083</v>
      </c>
      <c r="H302" s="19" t="n">
        <v>0.98</v>
      </c>
      <c r="I302" s="29" t="n">
        <v>0</v>
      </c>
      <c r="J302" s="2" t="inlineStr">
        <is>
          <t>EXP0434</t>
        </is>
      </c>
      <c r="K302" s="2" t="n">
        <v>7</v>
      </c>
      <c r="L302" s="2" t="inlineStr">
        <is>
          <t>BRK059</t>
        </is>
      </c>
      <c r="M302" s="2" t="inlineStr">
        <is>
          <t>AIR2</t>
        </is>
      </c>
      <c r="N302" s="2" t="n">
        <v>0</v>
      </c>
      <c r="O302" s="2" t="n">
        <v>0</v>
      </c>
      <c r="P302" s="2" t="n">
        <v>0</v>
      </c>
      <c r="Q302" s="2" t="n">
        <v>0</v>
      </c>
      <c r="R302" s="30">
        <f>IF(AND($C$5&lt;&gt;"",$A302=$C$5),1,"")</f>
        <v/>
      </c>
      <c r="S302" s="21">
        <f>IF(AND($C$5&lt;&gt;"",$A302=$C$5),SUMIFS($G$8:$G$715,$A$8:$A$715,$C$5,$B$8:$B$715,"&lt;="&amp;$B302),"")</f>
        <v/>
      </c>
      <c r="T302" s="24" t="n"/>
      <c r="U302" s="24" t="n"/>
    </row>
    <row r="303">
      <c r="A303" s="2" t="inlineStr">
        <is>
          <t>IND-39</t>
        </is>
      </c>
      <c r="B303" s="2" t="n">
        <v>14</v>
      </c>
      <c r="C303" s="2" t="inlineStr">
        <is>
          <t>IMP00067</t>
        </is>
      </c>
      <c r="D303" s="2" t="inlineStr">
        <is>
          <t>Pacific Enterprises Holdings Ltd</t>
        </is>
      </c>
      <c r="E303" s="2" t="n">
        <v>9</v>
      </c>
      <c r="F303" s="27" t="n">
        <v>3711451.76</v>
      </c>
      <c r="G303" s="28" t="n">
        <v>0.0078</v>
      </c>
      <c r="H303" s="19" t="n">
        <v>0.906</v>
      </c>
      <c r="I303" s="29" t="n">
        <v>0.1111</v>
      </c>
      <c r="J303" s="2" t="inlineStr">
        <is>
          <t>EXP0067</t>
        </is>
      </c>
      <c r="K303" s="2" t="n">
        <v>7</v>
      </c>
      <c r="L303" s="2" t="inlineStr">
        <is>
          <t>BRK021</t>
        </is>
      </c>
      <c r="M303" s="2" t="inlineStr">
        <is>
          <t>PORT2</t>
        </is>
      </c>
      <c r="N303" s="2" t="n">
        <v>0</v>
      </c>
      <c r="O303" s="2" t="n">
        <v>0</v>
      </c>
      <c r="P303" s="2" t="n">
        <v>0</v>
      </c>
      <c r="Q303" s="2" t="n">
        <v>0</v>
      </c>
      <c r="R303" s="30">
        <f>IF(AND($C$5&lt;&gt;"",$A303=$C$5),1,"")</f>
        <v/>
      </c>
      <c r="S303" s="21">
        <f>IF(AND($C$5&lt;&gt;"",$A303=$C$5),SUMIFS($G$8:$G$715,$A$8:$A$715,$C$5,$B$8:$B$715,"&lt;="&amp;$B303),"")</f>
        <v/>
      </c>
      <c r="T303" s="24" t="n"/>
      <c r="U303" s="24" t="n"/>
    </row>
    <row r="304">
      <c r="A304" s="2" t="inlineStr">
        <is>
          <t>IND-39</t>
        </is>
      </c>
      <c r="B304" s="2" t="n">
        <v>15</v>
      </c>
      <c r="C304" s="2" t="inlineStr">
        <is>
          <t>IMP00592</t>
        </is>
      </c>
      <c r="D304" s="2" t="inlineStr">
        <is>
          <t>Crown Fruits Partners Ltd</t>
        </is>
      </c>
      <c r="E304" s="2" t="n">
        <v>10</v>
      </c>
      <c r="F304" s="27" t="n">
        <v>3574598.41</v>
      </c>
      <c r="G304" s="28" t="n">
        <v>0.0075</v>
      </c>
      <c r="H304" s="19" t="n">
        <v>0.805</v>
      </c>
      <c r="I304" s="29" t="n">
        <v>0.2</v>
      </c>
      <c r="J304" s="2" t="inlineStr">
        <is>
          <t>EXP0403</t>
        </is>
      </c>
      <c r="K304" s="2" t="n">
        <v>8</v>
      </c>
      <c r="L304" s="2" t="inlineStr">
        <is>
          <t>BRK044</t>
        </is>
      </c>
      <c r="M304" s="2" t="inlineStr">
        <is>
          <t>PORT1</t>
        </is>
      </c>
      <c r="N304" s="2" t="n">
        <v>0</v>
      </c>
      <c r="O304" s="2" t="n">
        <v>0</v>
      </c>
      <c r="P304" s="2" t="n">
        <v>0</v>
      </c>
      <c r="Q304" s="2" t="n">
        <v>0</v>
      </c>
      <c r="R304" s="30">
        <f>IF(AND($C$5&lt;&gt;"",$A304=$C$5),1,"")</f>
        <v/>
      </c>
      <c r="S304" s="21">
        <f>IF(AND($C$5&lt;&gt;"",$A304=$C$5),SUMIFS($G$8:$G$715,$A$8:$A$715,$C$5,$B$8:$B$715,"&lt;="&amp;$B304),"")</f>
        <v/>
      </c>
      <c r="T304" s="24" t="n"/>
      <c r="U304" s="24" t="n"/>
    </row>
    <row r="305">
      <c r="A305" s="2" t="inlineStr">
        <is>
          <t>IND-39</t>
        </is>
      </c>
      <c r="B305" s="2" t="n">
        <v>16</v>
      </c>
      <c r="C305" s="2" t="inlineStr">
        <is>
          <t>IMP00560</t>
        </is>
      </c>
      <c r="D305" s="2" t="inlineStr">
        <is>
          <t>Inverness Trading Group Ltd</t>
        </is>
      </c>
      <c r="E305" s="2" t="n">
        <v>8</v>
      </c>
      <c r="F305" s="27" t="n">
        <v>3410198.81</v>
      </c>
      <c r="G305" s="28" t="n">
        <v>0.0072</v>
      </c>
      <c r="H305" s="19" t="n">
        <v>0.924</v>
      </c>
      <c r="I305" s="29" t="n">
        <v>0</v>
      </c>
      <c r="J305" s="2" t="inlineStr">
        <is>
          <t>EXP0555</t>
        </is>
      </c>
      <c r="K305" s="2" t="n">
        <v>11</v>
      </c>
      <c r="L305" s="2" t="inlineStr">
        <is>
          <t>BRK056</t>
        </is>
      </c>
      <c r="M305" s="2" t="inlineStr">
        <is>
          <t>AIR1</t>
        </is>
      </c>
      <c r="N305" s="2" t="n">
        <v>0</v>
      </c>
      <c r="O305" s="2" t="n">
        <v>0</v>
      </c>
      <c r="P305" s="2" t="n">
        <v>0</v>
      </c>
      <c r="Q305" s="2" t="n">
        <v>0</v>
      </c>
      <c r="R305" s="30">
        <f>IF(AND($C$5&lt;&gt;"",$A305=$C$5),1,"")</f>
        <v/>
      </c>
      <c r="S305" s="21">
        <f>IF(AND($C$5&lt;&gt;"",$A305=$C$5),SUMIFS($G$8:$G$715,$A$8:$A$715,$C$5,$B$8:$B$715,"&lt;="&amp;$B305),"")</f>
        <v/>
      </c>
      <c r="T305" s="24" t="n"/>
      <c r="U305" s="24" t="n"/>
    </row>
    <row r="306">
      <c r="A306" s="2" t="inlineStr">
        <is>
          <t>IND-39</t>
        </is>
      </c>
      <c r="B306" s="2" t="n">
        <v>17</v>
      </c>
      <c r="C306" s="2" t="inlineStr">
        <is>
          <t>IMP01488</t>
        </is>
      </c>
      <c r="D306" s="2" t="inlineStr">
        <is>
          <t>Northern Logistics &amp; Sons</t>
        </is>
      </c>
      <c r="E306" s="2" t="n">
        <v>10</v>
      </c>
      <c r="F306" s="27" t="n">
        <v>3323617.08</v>
      </c>
      <c r="G306" s="28" t="n">
        <v>0.007</v>
      </c>
      <c r="H306" s="19" t="n">
        <v>0.806</v>
      </c>
      <c r="I306" s="29" t="n">
        <v>0.4</v>
      </c>
      <c r="J306" s="2" t="inlineStr">
        <is>
          <t>EXP0323</t>
        </is>
      </c>
      <c r="K306" s="2" t="n">
        <v>5</v>
      </c>
      <c r="L306" s="2" t="inlineStr">
        <is>
          <t>BRK076</t>
        </is>
      </c>
      <c r="M306" s="2" t="inlineStr">
        <is>
          <t>LAND2</t>
        </is>
      </c>
      <c r="N306" s="2" t="n">
        <v>0</v>
      </c>
      <c r="O306" s="2" t="n">
        <v>0</v>
      </c>
      <c r="P306" s="2" t="n">
        <v>0</v>
      </c>
      <c r="Q306" s="2" t="n">
        <v>0</v>
      </c>
      <c r="R306" s="30">
        <f>IF(AND($C$5&lt;&gt;"",$A306=$C$5),1,"")</f>
        <v/>
      </c>
      <c r="S306" s="21">
        <f>IF(AND($C$5&lt;&gt;"",$A306=$C$5),SUMIFS($G$8:$G$715,$A$8:$A$715,$C$5,$B$8:$B$715,"&lt;="&amp;$B306),"")</f>
        <v/>
      </c>
      <c r="T306" s="24" t="n"/>
      <c r="U306" s="24" t="n"/>
    </row>
    <row r="307">
      <c r="A307" s="2" t="inlineStr">
        <is>
          <t>IND-39</t>
        </is>
      </c>
      <c r="B307" s="2" t="n">
        <v>18</v>
      </c>
      <c r="C307" s="2" t="inlineStr">
        <is>
          <t>IMP00629</t>
        </is>
      </c>
      <c r="D307" s="2" t="inlineStr">
        <is>
          <t>Phoenix Enterprises International Ltd</t>
        </is>
      </c>
      <c r="E307" s="2" t="n">
        <v>6</v>
      </c>
      <c r="F307" s="27" t="n">
        <v>2982213.92</v>
      </c>
      <c r="G307" s="28" t="n">
        <v>0.0063</v>
      </c>
      <c r="H307" s="19" t="n">
        <v>0.856</v>
      </c>
      <c r="I307" s="29" t="n">
        <v>0</v>
      </c>
      <c r="J307" s="2" t="inlineStr">
        <is>
          <t>EXP0588</t>
        </is>
      </c>
      <c r="K307" s="2" t="n">
        <v>7</v>
      </c>
      <c r="L307" s="2" t="inlineStr">
        <is>
          <t>BRK070</t>
        </is>
      </c>
      <c r="M307" s="2" t="inlineStr">
        <is>
          <t>PORT2</t>
        </is>
      </c>
      <c r="N307" s="2" t="n">
        <v>0</v>
      </c>
      <c r="O307" s="2" t="n">
        <v>0</v>
      </c>
      <c r="P307" s="2" t="n">
        <v>0</v>
      </c>
      <c r="Q307" s="2" t="n">
        <v>0</v>
      </c>
      <c r="R307" s="30">
        <f>IF(AND($C$5&lt;&gt;"",$A307=$C$5),1,"")</f>
        <v/>
      </c>
      <c r="S307" s="21">
        <f>IF(AND($C$5&lt;&gt;"",$A307=$C$5),SUMIFS($G$8:$G$715,$A$8:$A$715,$C$5,$B$8:$B$715,"&lt;="&amp;$B307),"")</f>
        <v/>
      </c>
      <c r="T307" s="24" t="n"/>
      <c r="U307" s="24" t="n"/>
    </row>
    <row r="308">
      <c r="A308" s="2" t="inlineStr">
        <is>
          <t>IND-39</t>
        </is>
      </c>
      <c r="B308" s="2" t="n">
        <v>19</v>
      </c>
      <c r="C308" s="2" t="inlineStr">
        <is>
          <t>IMP00898</t>
        </is>
      </c>
      <c r="D308" s="2" t="inlineStr">
        <is>
          <t>Great Vellmoor Textiles Ltd</t>
        </is>
      </c>
      <c r="E308" s="2" t="n">
        <v>7</v>
      </c>
      <c r="F308" s="27" t="n">
        <v>2899310.56</v>
      </c>
      <c r="G308" s="28" t="n">
        <v>0.0061</v>
      </c>
      <c r="H308" s="19" t="n">
        <v>0.799</v>
      </c>
      <c r="I308" s="29" t="n">
        <v>0</v>
      </c>
      <c r="J308" s="2" t="inlineStr">
        <is>
          <t>EXP0087</t>
        </is>
      </c>
      <c r="K308" s="2" t="n">
        <v>9</v>
      </c>
      <c r="L308" s="2" t="inlineStr">
        <is>
          <t>BRK008</t>
        </is>
      </c>
      <c r="M308" s="2" t="inlineStr">
        <is>
          <t>PORT1</t>
        </is>
      </c>
      <c r="N308" s="2" t="n">
        <v>0</v>
      </c>
      <c r="O308" s="2" t="n">
        <v>0</v>
      </c>
      <c r="P308" s="2" t="n">
        <v>0</v>
      </c>
      <c r="Q308" s="2" t="n">
        <v>1</v>
      </c>
      <c r="R308" s="30">
        <f>IF(AND($C$5&lt;&gt;"",$A308=$C$5),1,"")</f>
        <v/>
      </c>
      <c r="S308" s="21">
        <f>IF(AND($C$5&lt;&gt;"",$A308=$C$5),SUMIFS($G$8:$G$715,$A$8:$A$715,$C$5,$B$8:$B$715,"&lt;="&amp;$B308),"")</f>
        <v/>
      </c>
      <c r="T308" s="24" t="n"/>
      <c r="U308" s="24" t="n"/>
    </row>
    <row r="309">
      <c r="A309" s="2" t="inlineStr">
        <is>
          <t>IND-39</t>
        </is>
      </c>
      <c r="B309" s="2" t="n">
        <v>20</v>
      </c>
      <c r="C309" s="2" t="inlineStr">
        <is>
          <t>IMP01453</t>
        </is>
      </c>
      <c r="D309" s="2" t="inlineStr">
        <is>
          <t>Silver Enterprises Holdings Ltd</t>
        </is>
      </c>
      <c r="E309" s="2" t="n">
        <v>5</v>
      </c>
      <c r="F309" s="27" t="n">
        <v>2525695.49</v>
      </c>
      <c r="G309" s="28" t="n">
        <v>0.0053</v>
      </c>
      <c r="H309" s="19" t="n">
        <v>0.823</v>
      </c>
      <c r="I309" s="29" t="n">
        <v>0.2</v>
      </c>
      <c r="J309" s="2" t="inlineStr">
        <is>
          <t>EXP0323</t>
        </is>
      </c>
      <c r="K309" s="2" t="n">
        <v>5</v>
      </c>
      <c r="L309" s="2" t="inlineStr">
        <is>
          <t>BRK027</t>
        </is>
      </c>
      <c r="M309" s="2" t="inlineStr">
        <is>
          <t>LAND2</t>
        </is>
      </c>
      <c r="N309" s="2" t="n">
        <v>0</v>
      </c>
      <c r="O309" s="2" t="n">
        <v>0</v>
      </c>
      <c r="P309" s="2" t="n">
        <v>0</v>
      </c>
      <c r="Q309" s="2" t="n">
        <v>0</v>
      </c>
      <c r="R309" s="30">
        <f>IF(AND($C$5&lt;&gt;"",$A309=$C$5),1,"")</f>
        <v/>
      </c>
      <c r="S309" s="21">
        <f>IF(AND($C$5&lt;&gt;"",$A309=$C$5),SUMIFS($G$8:$G$715,$A$8:$A$715,$C$5,$B$8:$B$715,"&lt;="&amp;$B309),"")</f>
        <v/>
      </c>
      <c r="T309" s="24" t="n"/>
      <c r="U309" s="24" t="n"/>
    </row>
    <row r="310">
      <c r="A310" s="2" t="inlineStr">
        <is>
          <t>IND-39</t>
        </is>
      </c>
      <c r="B310" s="2" t="n">
        <v>21</v>
      </c>
      <c r="C310" s="2" t="inlineStr">
        <is>
          <t>IMP00705</t>
        </is>
      </c>
      <c r="D310" s="2" t="inlineStr">
        <is>
          <t>Metro Medical International Ltd</t>
        </is>
      </c>
      <c r="E310" s="2" t="n">
        <v>5</v>
      </c>
      <c r="F310" s="27" t="n">
        <v>2487700.76</v>
      </c>
      <c r="G310" s="28" t="n">
        <v>0.0052</v>
      </c>
      <c r="H310" s="19" t="n">
        <v>0.782</v>
      </c>
      <c r="I310" s="29" t="n">
        <v>0.4</v>
      </c>
      <c r="J310" s="2" t="inlineStr">
        <is>
          <t>EXP0087</t>
        </is>
      </c>
      <c r="K310" s="2" t="n">
        <v>9</v>
      </c>
      <c r="L310" s="2" t="inlineStr">
        <is>
          <t>BRK056</t>
        </is>
      </c>
      <c r="M310" s="2" t="inlineStr">
        <is>
          <t>PORT2</t>
        </is>
      </c>
      <c r="N310" s="2" t="n">
        <v>0</v>
      </c>
      <c r="O310" s="2" t="n">
        <v>0</v>
      </c>
      <c r="P310" s="2" t="n">
        <v>0</v>
      </c>
      <c r="Q310" s="2" t="n">
        <v>0</v>
      </c>
      <c r="R310" s="30">
        <f>IF(AND($C$5&lt;&gt;"",$A310=$C$5),1,"")</f>
        <v/>
      </c>
      <c r="S310" s="21">
        <f>IF(AND($C$5&lt;&gt;"",$A310=$C$5),SUMIFS($G$8:$G$715,$A$8:$A$715,$C$5,$B$8:$B$715,"&lt;="&amp;$B310),"")</f>
        <v/>
      </c>
      <c r="T310" s="24" t="n"/>
      <c r="U310" s="24" t="n"/>
    </row>
    <row r="311">
      <c r="A311" s="2" t="inlineStr">
        <is>
          <t>IND-39</t>
        </is>
      </c>
      <c r="B311" s="2" t="n">
        <v>22</v>
      </c>
      <c r="C311" s="2" t="inlineStr">
        <is>
          <t>IMP00312</t>
        </is>
      </c>
      <c r="D311" s="2" t="inlineStr">
        <is>
          <t>Central Enterprises Ltd</t>
        </is>
      </c>
      <c r="E311" s="2" t="n">
        <v>1</v>
      </c>
      <c r="F311" s="27" t="n">
        <v>2354960.28</v>
      </c>
      <c r="G311" s="28" t="n">
        <v>0.0049</v>
      </c>
      <c r="H311" s="19" t="n">
        <v>1.006</v>
      </c>
      <c r="I311" s="29" t="n">
        <v>0</v>
      </c>
      <c r="J311" s="2" t="inlineStr">
        <is>
          <t>EXP0008</t>
        </is>
      </c>
      <c r="K311" s="2" t="n">
        <v>7</v>
      </c>
      <c r="L311" s="2" t="inlineStr">
        <is>
          <t>BRK071</t>
        </is>
      </c>
      <c r="M311" s="2" t="inlineStr">
        <is>
          <t>LAND1</t>
        </is>
      </c>
      <c r="N311" s="2" t="n">
        <v>0</v>
      </c>
      <c r="O311" s="2" t="n">
        <v>0</v>
      </c>
      <c r="P311" s="2" t="n">
        <v>0</v>
      </c>
      <c r="Q311" s="2" t="n">
        <v>0</v>
      </c>
      <c r="R311" s="30">
        <f>IF(AND($C$5&lt;&gt;"",$A311=$C$5),1,"")</f>
        <v/>
      </c>
      <c r="S311" s="21">
        <f>IF(AND($C$5&lt;&gt;"",$A311=$C$5),SUMIFS($G$8:$G$715,$A$8:$A$715,$C$5,$B$8:$B$715,"&lt;="&amp;$B311),"")</f>
        <v/>
      </c>
      <c r="T311" s="24" t="n"/>
      <c r="U311" s="24" t="n"/>
    </row>
    <row r="312">
      <c r="A312" s="2" t="inlineStr">
        <is>
          <t>IND-39</t>
        </is>
      </c>
      <c r="B312" s="2" t="n">
        <v>23</v>
      </c>
      <c r="C312" s="2" t="inlineStr">
        <is>
          <t>IMP00183</t>
        </is>
      </c>
      <c r="D312" s="2" t="inlineStr">
        <is>
          <t>Metro Pack International Ltd</t>
        </is>
      </c>
      <c r="E312" s="2" t="n">
        <v>5</v>
      </c>
      <c r="F312" s="27" t="n">
        <v>2171270.25</v>
      </c>
      <c r="G312" s="28" t="n">
        <v>0.0046</v>
      </c>
      <c r="H312" s="19" t="n">
        <v>0.859</v>
      </c>
      <c r="I312" s="29" t="n">
        <v>0</v>
      </c>
      <c r="J312" s="2" t="inlineStr">
        <is>
          <t>EXP0161</t>
        </is>
      </c>
      <c r="K312" s="2" t="n">
        <v>2</v>
      </c>
      <c r="L312" s="2" t="inlineStr">
        <is>
          <t>BRK048</t>
        </is>
      </c>
      <c r="M312" s="2" t="inlineStr">
        <is>
          <t>PORT2</t>
        </is>
      </c>
      <c r="N312" s="2" t="n">
        <v>1</v>
      </c>
      <c r="O312" s="2" t="n">
        <v>0</v>
      </c>
      <c r="P312" s="2" t="n">
        <v>0</v>
      </c>
      <c r="Q312" s="2" t="n">
        <v>0</v>
      </c>
      <c r="R312" s="30">
        <f>IF(AND($C$5&lt;&gt;"",$A312=$C$5),1,"")</f>
        <v/>
      </c>
      <c r="S312" s="21">
        <f>IF(AND($C$5&lt;&gt;"",$A312=$C$5),SUMIFS($G$8:$G$715,$A$8:$A$715,$C$5,$B$8:$B$715,"&lt;="&amp;$B312),"")</f>
        <v/>
      </c>
      <c r="T312" s="24" t="n"/>
      <c r="U312" s="24" t="n"/>
    </row>
    <row r="313">
      <c r="A313" s="2" t="inlineStr">
        <is>
          <t>IND-39</t>
        </is>
      </c>
      <c r="B313" s="2" t="n">
        <v>24</v>
      </c>
      <c r="C313" s="2" t="inlineStr">
        <is>
          <t>IMP01484</t>
        </is>
      </c>
      <c r="D313" s="2" t="inlineStr">
        <is>
          <t>Horizon Mobile Limited</t>
        </is>
      </c>
      <c r="E313" s="2" t="n">
        <v>2</v>
      </c>
      <c r="F313" s="27" t="n">
        <v>1348275.88</v>
      </c>
      <c r="G313" s="28" t="n">
        <v>0.0028</v>
      </c>
      <c r="H313" s="19" t="n">
        <v>0.9215</v>
      </c>
      <c r="I313" s="29" t="n">
        <v>0</v>
      </c>
      <c r="J313" s="2" t="inlineStr">
        <is>
          <t>EXP0123</t>
        </is>
      </c>
      <c r="K313" s="2" t="n">
        <v>7</v>
      </c>
      <c r="L313" s="2" t="inlineStr">
        <is>
          <t>BRK021</t>
        </is>
      </c>
      <c r="M313" s="2" t="inlineStr">
        <is>
          <t>LAND4</t>
        </is>
      </c>
      <c r="N313" s="2" t="n">
        <v>0</v>
      </c>
      <c r="O313" s="2" t="n">
        <v>0</v>
      </c>
      <c r="P313" s="2" t="n">
        <v>0</v>
      </c>
      <c r="Q313" s="2" t="n">
        <v>0</v>
      </c>
      <c r="R313" s="30">
        <f>IF(AND($C$5&lt;&gt;"",$A313=$C$5),1,"")</f>
        <v/>
      </c>
      <c r="S313" s="21">
        <f>IF(AND($C$5&lt;&gt;"",$A313=$C$5),SUMIFS($G$8:$G$715,$A$8:$A$715,$C$5,$B$8:$B$715,"&lt;="&amp;$B313),"")</f>
        <v/>
      </c>
      <c r="T313" s="24" t="n"/>
      <c r="U313" s="24" t="n"/>
    </row>
    <row r="314">
      <c r="A314" s="2" t="inlineStr">
        <is>
          <t>IND-39</t>
        </is>
      </c>
      <c r="B314" s="2" t="n">
        <v>25</v>
      </c>
      <c r="C314" s="2" t="inlineStr">
        <is>
          <t>IMP00429</t>
        </is>
      </c>
      <c r="D314" s="2" t="inlineStr">
        <is>
          <t>Meridian Glow Co.</t>
        </is>
      </c>
      <c r="E314" s="2" t="n">
        <v>2</v>
      </c>
      <c r="F314" s="27" t="n">
        <v>1329214.06</v>
      </c>
      <c r="G314" s="28" t="n">
        <v>0.0028</v>
      </c>
      <c r="H314" s="19" t="n">
        <v>0.9765</v>
      </c>
      <c r="I314" s="29" t="n">
        <v>0.5</v>
      </c>
      <c r="J314" s="2" t="inlineStr">
        <is>
          <t>EXP0403</t>
        </is>
      </c>
      <c r="K314" s="2" t="n">
        <v>8</v>
      </c>
      <c r="L314" s="2" t="inlineStr">
        <is>
          <t>BRK057</t>
        </is>
      </c>
      <c r="M314" s="2" t="inlineStr">
        <is>
          <t>PORT2</t>
        </is>
      </c>
      <c r="N314" s="2" t="n">
        <v>0</v>
      </c>
      <c r="O314" s="2" t="n">
        <v>0</v>
      </c>
      <c r="P314" s="2" t="n">
        <v>0</v>
      </c>
      <c r="Q314" s="2" t="n">
        <v>0</v>
      </c>
      <c r="R314" s="30">
        <f>IF(AND($C$5&lt;&gt;"",$A314=$C$5),1,"")</f>
        <v/>
      </c>
      <c r="S314" s="21">
        <f>IF(AND($C$5&lt;&gt;"",$A314=$C$5),SUMIFS($G$8:$G$715,$A$8:$A$715,$C$5,$B$8:$B$715,"&lt;="&amp;$B314),"")</f>
        <v/>
      </c>
      <c r="T314" s="24" t="n"/>
      <c r="U314" s="24" t="n"/>
    </row>
    <row r="315">
      <c r="A315" s="2" t="inlineStr">
        <is>
          <t>IND-39</t>
        </is>
      </c>
      <c r="B315" s="2" t="n">
        <v>26</v>
      </c>
      <c r="C315" s="2" t="inlineStr">
        <is>
          <t>IMP01011</t>
        </is>
      </c>
      <c r="D315" s="2" t="inlineStr">
        <is>
          <t>Phoenix Steel International Ltd</t>
        </is>
      </c>
      <c r="E315" s="2" t="n">
        <v>3</v>
      </c>
      <c r="F315" s="27" t="n">
        <v>1249021.4</v>
      </c>
      <c r="G315" s="28" t="n">
        <v>0.0026</v>
      </c>
      <c r="H315" s="19" t="n">
        <v>0.823</v>
      </c>
      <c r="I315" s="29" t="n">
        <v>0</v>
      </c>
      <c r="J315" s="2" t="inlineStr">
        <is>
          <t>EXP0102</t>
        </is>
      </c>
      <c r="K315" s="2" t="n">
        <v>6</v>
      </c>
      <c r="L315" s="2" t="inlineStr">
        <is>
          <t>BRK023</t>
        </is>
      </c>
      <c r="M315" s="2" t="inlineStr">
        <is>
          <t>PORT2</t>
        </is>
      </c>
      <c r="N315" s="2" t="n">
        <v>0</v>
      </c>
      <c r="O315" s="2" t="n">
        <v>0</v>
      </c>
      <c r="P315" s="2" t="n">
        <v>0</v>
      </c>
      <c r="Q315" s="2" t="n">
        <v>0</v>
      </c>
      <c r="R315" s="30">
        <f>IF(AND($C$5&lt;&gt;"",$A315=$C$5),1,"")</f>
        <v/>
      </c>
      <c r="S315" s="21">
        <f>IF(AND($C$5&lt;&gt;"",$A315=$C$5),SUMIFS($G$8:$G$715,$A$8:$A$715,$C$5,$B$8:$B$715,"&lt;="&amp;$B315),"")</f>
        <v/>
      </c>
      <c r="T315" s="24" t="n"/>
      <c r="U315" s="24" t="n"/>
    </row>
    <row r="316">
      <c r="A316" s="2" t="inlineStr">
        <is>
          <t>IND-39</t>
        </is>
      </c>
      <c r="B316" s="2" t="n">
        <v>27</v>
      </c>
      <c r="C316" s="2" t="inlineStr">
        <is>
          <t>IMP00073</t>
        </is>
      </c>
      <c r="D316" s="2" t="inlineStr">
        <is>
          <t>Global Pack &amp; Sons</t>
        </is>
      </c>
      <c r="E316" s="2" t="n">
        <v>2</v>
      </c>
      <c r="F316" s="27" t="n">
        <v>1219173.44</v>
      </c>
      <c r="G316" s="28" t="n">
        <v>0.0026</v>
      </c>
      <c r="H316" s="19" t="n">
        <v>0.9360000000000001</v>
      </c>
      <c r="I316" s="29" t="n">
        <v>0</v>
      </c>
      <c r="J316" s="2" t="inlineStr">
        <is>
          <t>EXP0008</t>
        </is>
      </c>
      <c r="K316" s="2" t="n">
        <v>7</v>
      </c>
      <c r="L316" s="2" t="inlineStr">
        <is>
          <t>BRK065</t>
        </is>
      </c>
      <c r="M316" s="2" t="inlineStr">
        <is>
          <t>PORT3</t>
        </is>
      </c>
      <c r="N316" s="2" t="n">
        <v>0</v>
      </c>
      <c r="O316" s="2" t="n">
        <v>0</v>
      </c>
      <c r="P316" s="2" t="n">
        <v>0</v>
      </c>
      <c r="Q316" s="2" t="n">
        <v>0</v>
      </c>
      <c r="R316" s="30">
        <f>IF(AND($C$5&lt;&gt;"",$A316=$C$5),1,"")</f>
        <v/>
      </c>
      <c r="S316" s="21">
        <f>IF(AND($C$5&lt;&gt;"",$A316=$C$5),SUMIFS($G$8:$G$715,$A$8:$A$715,$C$5,$B$8:$B$715,"&lt;="&amp;$B316),"")</f>
        <v/>
      </c>
      <c r="T316" s="24" t="n"/>
      <c r="U316" s="24" t="n"/>
    </row>
    <row r="317">
      <c r="A317" s="2" t="inlineStr">
        <is>
          <t>IND-39</t>
        </is>
      </c>
      <c r="B317" s="2" t="n">
        <v>28</v>
      </c>
      <c r="C317" s="2" t="inlineStr">
        <is>
          <t>IMP00009</t>
        </is>
      </c>
      <c r="D317" s="2" t="inlineStr">
        <is>
          <t>Green Valley Imports Group Ltd</t>
        </is>
      </c>
      <c r="E317" s="2" t="n">
        <v>1</v>
      </c>
      <c r="F317" s="27" t="n">
        <v>756862.01</v>
      </c>
      <c r="G317" s="28" t="n">
        <v>0.0016</v>
      </c>
      <c r="H317" s="19" t="n">
        <v>1.104</v>
      </c>
      <c r="I317" s="29" t="n">
        <v>0</v>
      </c>
      <c r="J317" s="2" t="inlineStr">
        <is>
          <t>EXP0379</t>
        </is>
      </c>
      <c r="K317" s="2" t="n">
        <v>6</v>
      </c>
      <c r="L317" s="2" t="inlineStr">
        <is>
          <t>BRK055</t>
        </is>
      </c>
      <c r="M317" s="2" t="inlineStr">
        <is>
          <t>AIR1</t>
        </is>
      </c>
      <c r="N317" s="2" t="n">
        <v>0</v>
      </c>
      <c r="O317" s="2" t="n">
        <v>0</v>
      </c>
      <c r="P317" s="2" t="n">
        <v>0</v>
      </c>
      <c r="Q317" s="2" t="n">
        <v>0</v>
      </c>
      <c r="R317" s="30">
        <f>IF(AND($C$5&lt;&gt;"",$A317=$C$5),1,"")</f>
        <v/>
      </c>
      <c r="S317" s="21">
        <f>IF(AND($C$5&lt;&gt;"",$A317=$C$5),SUMIFS($G$8:$G$715,$A$8:$A$715,$C$5,$B$8:$B$715,"&lt;="&amp;$B317),"")</f>
        <v/>
      </c>
      <c r="T317" s="24" t="n"/>
      <c r="U317" s="24" t="n"/>
    </row>
    <row r="318">
      <c r="A318" s="2" t="inlineStr">
        <is>
          <t>IND-39</t>
        </is>
      </c>
      <c r="B318" s="2" t="n">
        <v>29</v>
      </c>
      <c r="C318" s="2" t="inlineStr">
        <is>
          <t>IMP00531</t>
        </is>
      </c>
      <c r="D318" s="2" t="inlineStr">
        <is>
          <t>Inverness Distribution Co., Ltd</t>
        </is>
      </c>
      <c r="E318" s="2" t="n">
        <v>2</v>
      </c>
      <c r="F318" s="27" t="n">
        <v>743875.4300000001</v>
      </c>
      <c r="G318" s="28" t="n">
        <v>0.0016</v>
      </c>
      <c r="H318" s="19" t="n">
        <v>0.947</v>
      </c>
      <c r="I318" s="29" t="n">
        <v>0</v>
      </c>
      <c r="J318" s="2" t="inlineStr">
        <is>
          <t>EXP0019</t>
        </is>
      </c>
      <c r="K318" s="2" t="n">
        <v>7</v>
      </c>
      <c r="L318" s="2" t="inlineStr">
        <is>
          <t>BRK060</t>
        </is>
      </c>
      <c r="M318" s="2" t="inlineStr">
        <is>
          <t>PORT2</t>
        </is>
      </c>
      <c r="N318" s="2" t="n">
        <v>0</v>
      </c>
      <c r="O318" s="2" t="n">
        <v>0</v>
      </c>
      <c r="P318" s="2" t="n">
        <v>0</v>
      </c>
      <c r="Q318" s="2" t="n">
        <v>0</v>
      </c>
      <c r="R318" s="30">
        <f>IF(AND($C$5&lt;&gt;"",$A318=$C$5),1,"")</f>
        <v/>
      </c>
      <c r="S318" s="21">
        <f>IF(AND($C$5&lt;&gt;"",$A318=$C$5),SUMIFS($G$8:$G$715,$A$8:$A$715,$C$5,$B$8:$B$715,"&lt;="&amp;$B318),"")</f>
        <v/>
      </c>
      <c r="T318" s="24" t="n"/>
      <c r="U318" s="24" t="n"/>
    </row>
    <row r="319">
      <c r="A319" s="2" t="inlineStr">
        <is>
          <t>IND-39</t>
        </is>
      </c>
      <c r="B319" s="2" t="n">
        <v>30</v>
      </c>
      <c r="C319" s="2" t="inlineStr">
        <is>
          <t>IMP00317</t>
        </is>
      </c>
      <c r="D319" s="2" t="inlineStr">
        <is>
          <t>Pacific Agro Holdings Ltd</t>
        </is>
      </c>
      <c r="E319" s="2" t="n">
        <v>1</v>
      </c>
      <c r="F319" s="27" t="n">
        <v>692425.29</v>
      </c>
      <c r="G319" s="28" t="n">
        <v>0.0015</v>
      </c>
      <c r="H319" s="19" t="n">
        <v>0.785</v>
      </c>
      <c r="I319" s="29" t="n">
        <v>0</v>
      </c>
      <c r="J319" s="2" t="inlineStr">
        <is>
          <t>EXP0477</t>
        </is>
      </c>
      <c r="K319" s="2" t="n">
        <v>8</v>
      </c>
      <c r="L319" s="2" t="inlineStr">
        <is>
          <t>BRK024</t>
        </is>
      </c>
      <c r="M319" s="2" t="inlineStr">
        <is>
          <t>LAND2</t>
        </is>
      </c>
      <c r="N319" s="2" t="n">
        <v>0</v>
      </c>
      <c r="O319" s="2" t="n">
        <v>0</v>
      </c>
      <c r="P319" s="2" t="n">
        <v>0</v>
      </c>
      <c r="Q319" s="2" t="n">
        <v>0</v>
      </c>
      <c r="R319" s="30">
        <f>IF(AND($C$5&lt;&gt;"",$A319=$C$5),1,"")</f>
        <v/>
      </c>
      <c r="S319" s="21">
        <f>IF(AND($C$5&lt;&gt;"",$A319=$C$5),SUMIFS($G$8:$G$715,$A$8:$A$715,$C$5,$B$8:$B$715,"&lt;="&amp;$B319),"")</f>
        <v/>
      </c>
      <c r="T319" s="24" t="n"/>
      <c r="U319" s="24" t="n"/>
    </row>
    <row r="320">
      <c r="A320" s="2" t="inlineStr">
        <is>
          <t>IND-39</t>
        </is>
      </c>
      <c r="B320" s="2" t="n">
        <v>31</v>
      </c>
      <c r="C320" s="2" t="inlineStr">
        <is>
          <t>IMP00882</t>
        </is>
      </c>
      <c r="D320" s="2" t="inlineStr">
        <is>
          <t>Ashcombe Medical International Ltd</t>
        </is>
      </c>
      <c r="E320" s="2" t="n">
        <v>1</v>
      </c>
      <c r="F320" s="27" t="n">
        <v>628410.71</v>
      </c>
      <c r="G320" s="28" t="n">
        <v>0.0013</v>
      </c>
      <c r="H320" s="19" t="n">
        <v>0.867</v>
      </c>
      <c r="I320" s="29" t="n">
        <v>0</v>
      </c>
      <c r="J320" s="2" t="inlineStr">
        <is>
          <t>EXP0008</t>
        </is>
      </c>
      <c r="K320" s="2" t="n">
        <v>7</v>
      </c>
      <c r="L320" s="2" t="inlineStr">
        <is>
          <t>BRK043</t>
        </is>
      </c>
      <c r="M320" s="2" t="inlineStr">
        <is>
          <t>PORT3</t>
        </is>
      </c>
      <c r="N320" s="2" t="n">
        <v>0</v>
      </c>
      <c r="O320" s="2" t="n">
        <v>0</v>
      </c>
      <c r="P320" s="2" t="n">
        <v>0</v>
      </c>
      <c r="Q320" s="2" t="n">
        <v>0</v>
      </c>
      <c r="R320" s="30">
        <f>IF(AND($C$5&lt;&gt;"",$A320=$C$5),1,"")</f>
        <v/>
      </c>
      <c r="S320" s="21">
        <f>IF(AND($C$5&lt;&gt;"",$A320=$C$5),SUMIFS($G$8:$G$715,$A$8:$A$715,$C$5,$B$8:$B$715,"&lt;="&amp;$B320),"")</f>
        <v/>
      </c>
      <c r="T320" s="24" t="n"/>
      <c r="U320" s="24" t="n"/>
    </row>
    <row r="321">
      <c r="A321" s="2" t="inlineStr">
        <is>
          <t>IND-39</t>
        </is>
      </c>
      <c r="B321" s="2" t="n">
        <v>32</v>
      </c>
      <c r="C321" s="2" t="inlineStr">
        <is>
          <t>IMP00701</t>
        </is>
      </c>
      <c r="D321" s="2" t="inlineStr">
        <is>
          <t>Golden Imports Enterprises</t>
        </is>
      </c>
      <c r="E321" s="2" t="n">
        <v>3</v>
      </c>
      <c r="F321" s="27" t="n">
        <v>550448.21</v>
      </c>
      <c r="G321" s="28" t="n">
        <v>0.0012</v>
      </c>
      <c r="H321" s="19" t="n">
        <v>0.842</v>
      </c>
      <c r="I321" s="29" t="n">
        <v>0.3333</v>
      </c>
      <c r="J321" s="2" t="inlineStr">
        <is>
          <t>EXP0087</t>
        </is>
      </c>
      <c r="K321" s="2" t="n">
        <v>9</v>
      </c>
      <c r="L321" s="2" t="inlineStr">
        <is>
          <t>BRK039</t>
        </is>
      </c>
      <c r="M321" s="2" t="inlineStr">
        <is>
          <t>LAND7</t>
        </is>
      </c>
      <c r="N321" s="2" t="n">
        <v>0</v>
      </c>
      <c r="O321" s="2" t="n">
        <v>0</v>
      </c>
      <c r="P321" s="2" t="n">
        <v>0</v>
      </c>
      <c r="Q321" s="2" t="n">
        <v>0</v>
      </c>
      <c r="R321" s="30">
        <f>IF(AND($C$5&lt;&gt;"",$A321=$C$5),1,"")</f>
        <v/>
      </c>
      <c r="S321" s="21">
        <f>IF(AND($C$5&lt;&gt;"",$A321=$C$5),SUMIFS($G$8:$G$715,$A$8:$A$715,$C$5,$B$8:$B$715,"&lt;="&amp;$B321),"")</f>
        <v/>
      </c>
      <c r="T321" s="24" t="n"/>
      <c r="U321" s="24" t="n"/>
    </row>
    <row r="322">
      <c r="A322" s="2" t="inlineStr">
        <is>
          <t>IND-39</t>
        </is>
      </c>
      <c r="B322" s="2" t="n">
        <v>33</v>
      </c>
      <c r="C322" s="2" t="inlineStr">
        <is>
          <t>IMP00875</t>
        </is>
      </c>
      <c r="D322" s="2" t="inlineStr">
        <is>
          <t>Green Valley Imports Enterprises</t>
        </is>
      </c>
      <c r="E322" s="2" t="n">
        <v>1</v>
      </c>
      <c r="F322" s="27" t="n">
        <v>376062.88</v>
      </c>
      <c r="G322" s="28" t="n">
        <v>0.0008</v>
      </c>
      <c r="H322" s="19" t="n">
        <v>1</v>
      </c>
      <c r="I322" s="29" t="n">
        <v>0</v>
      </c>
      <c r="J322" s="2" t="inlineStr">
        <is>
          <t>EXP0449</t>
        </is>
      </c>
      <c r="K322" s="2" t="n">
        <v>5</v>
      </c>
      <c r="L322" s="2" t="inlineStr">
        <is>
          <t>BRK012</t>
        </is>
      </c>
      <c r="M322" s="2" t="inlineStr">
        <is>
          <t>PORT1</t>
        </is>
      </c>
      <c r="N322" s="2" t="n">
        <v>0</v>
      </c>
      <c r="O322" s="2" t="n">
        <v>0</v>
      </c>
      <c r="P322" s="2" t="n">
        <v>0</v>
      </c>
      <c r="Q322" s="2" t="n">
        <v>0</v>
      </c>
      <c r="R322" s="30">
        <f>IF(AND($C$5&lt;&gt;"",$A322=$C$5),1,"")</f>
        <v/>
      </c>
      <c r="S322" s="21">
        <f>IF(AND($C$5&lt;&gt;"",$A322=$C$5),SUMIFS($G$8:$G$715,$A$8:$A$715,$C$5,$B$8:$B$715,"&lt;="&amp;$B322),"")</f>
        <v/>
      </c>
      <c r="T322" s="24" t="n"/>
      <c r="U322" s="24" t="n"/>
    </row>
    <row r="323">
      <c r="A323" s="2" t="inlineStr">
        <is>
          <t>IND-39</t>
        </is>
      </c>
      <c r="B323" s="2" t="n">
        <v>34</v>
      </c>
      <c r="C323" s="2" t="inlineStr">
        <is>
          <t>IMP00566</t>
        </is>
      </c>
      <c r="D323" s="2" t="inlineStr">
        <is>
          <t>Prime Mobile Co., Ltd</t>
        </is>
      </c>
      <c r="E323" s="2" t="n">
        <v>1</v>
      </c>
      <c r="F323" s="27" t="n">
        <v>371658.95</v>
      </c>
      <c r="G323" s="28" t="n">
        <v>0.0008</v>
      </c>
      <c r="H323" s="19" t="n">
        <v>0.911</v>
      </c>
      <c r="I323" s="29" t="n">
        <v>0</v>
      </c>
      <c r="J323" s="2" t="inlineStr">
        <is>
          <t>EXP0379</t>
        </is>
      </c>
      <c r="K323" s="2" t="n">
        <v>6</v>
      </c>
      <c r="L323" s="2" t="inlineStr">
        <is>
          <t>BRK051</t>
        </is>
      </c>
      <c r="M323" s="2" t="inlineStr">
        <is>
          <t>AIR1</t>
        </is>
      </c>
      <c r="N323" s="2" t="n">
        <v>0</v>
      </c>
      <c r="O323" s="2" t="n">
        <v>0</v>
      </c>
      <c r="P323" s="2" t="n">
        <v>0</v>
      </c>
      <c r="Q323" s="2" t="n">
        <v>0</v>
      </c>
      <c r="R323" s="30">
        <f>IF(AND($C$5&lt;&gt;"",$A323=$C$5),1,"")</f>
        <v/>
      </c>
      <c r="S323" s="21">
        <f>IF(AND($C$5&lt;&gt;"",$A323=$C$5),SUMIFS($G$8:$G$715,$A$8:$A$715,$C$5,$B$8:$B$715,"&lt;="&amp;$B323),"")</f>
        <v/>
      </c>
      <c r="T323" s="24" t="n"/>
      <c r="U323" s="24" t="n"/>
    </row>
    <row r="324">
      <c r="A324" s="2" t="inlineStr">
        <is>
          <t>IND-39</t>
        </is>
      </c>
      <c r="B324" s="2" t="n">
        <v>35</v>
      </c>
      <c r="C324" s="2" t="inlineStr">
        <is>
          <t>IMP01455</t>
        </is>
      </c>
      <c r="D324" s="2" t="inlineStr">
        <is>
          <t>Prime Trading Enterprises</t>
        </is>
      </c>
      <c r="E324" s="2" t="n">
        <v>1</v>
      </c>
      <c r="F324" s="27" t="n">
        <v>293088.47</v>
      </c>
      <c r="G324" s="28" t="n">
        <v>0.0005999999999999999</v>
      </c>
      <c r="H324" s="19" t="n">
        <v>0.707</v>
      </c>
      <c r="I324" s="29" t="n">
        <v>1</v>
      </c>
      <c r="J324" s="2" t="inlineStr">
        <is>
          <t>EXP0102</t>
        </is>
      </c>
      <c r="K324" s="2" t="n">
        <v>6</v>
      </c>
      <c r="L324" s="2" t="inlineStr">
        <is>
          <t>BRK040</t>
        </is>
      </c>
      <c r="M324" s="2" t="inlineStr">
        <is>
          <t>PORT1</t>
        </is>
      </c>
      <c r="N324" s="2" t="n">
        <v>0</v>
      </c>
      <c r="O324" s="2" t="n">
        <v>0</v>
      </c>
      <c r="P324" s="2" t="n">
        <v>0</v>
      </c>
      <c r="Q324" s="2" t="n">
        <v>0</v>
      </c>
      <c r="R324" s="30">
        <f>IF(AND($C$5&lt;&gt;"",$A324=$C$5),1,"")</f>
        <v/>
      </c>
      <c r="S324" s="21">
        <f>IF(AND($C$5&lt;&gt;"",$A324=$C$5),SUMIFS($G$8:$G$715,$A$8:$A$715,$C$5,$B$8:$B$715,"&lt;="&amp;$B324),"")</f>
        <v/>
      </c>
      <c r="T324" s="24" t="n"/>
      <c r="U324" s="24" t="n"/>
    </row>
    <row r="325">
      <c r="A325" s="2" t="inlineStr">
        <is>
          <t>IND-39</t>
        </is>
      </c>
      <c r="B325" s="2" t="n">
        <v>36</v>
      </c>
      <c r="C325" s="2" t="inlineStr">
        <is>
          <t>IMP00192</t>
        </is>
      </c>
      <c r="D325" s="2" t="inlineStr">
        <is>
          <t>Saffron Trading Co.</t>
        </is>
      </c>
      <c r="E325" s="2" t="n">
        <v>1</v>
      </c>
      <c r="F325" s="27" t="n">
        <v>249193.34</v>
      </c>
      <c r="G325" s="28" t="n">
        <v>0.0005</v>
      </c>
      <c r="H325" s="19" t="n">
        <v>0.754</v>
      </c>
      <c r="I325" s="29" t="n">
        <v>0</v>
      </c>
      <c r="J325" s="2" t="inlineStr">
        <is>
          <t>EXP0588</t>
        </is>
      </c>
      <c r="K325" s="2" t="n">
        <v>7</v>
      </c>
      <c r="L325" s="2" t="inlineStr">
        <is>
          <t>BRK043</t>
        </is>
      </c>
      <c r="M325" s="2" t="inlineStr">
        <is>
          <t>PORT2</t>
        </is>
      </c>
      <c r="N325" s="2" t="n">
        <v>0</v>
      </c>
      <c r="O325" s="2" t="n">
        <v>0</v>
      </c>
      <c r="P325" s="2" t="n">
        <v>0</v>
      </c>
      <c r="Q325" s="2" t="n">
        <v>0</v>
      </c>
      <c r="R325" s="30">
        <f>IF(AND($C$5&lt;&gt;"",$A325=$C$5),1,"")</f>
        <v/>
      </c>
      <c r="S325" s="21">
        <f>IF(AND($C$5&lt;&gt;"",$A325=$C$5),SUMIFS($G$8:$G$715,$A$8:$A$715,$C$5,$B$8:$B$715,"&lt;="&amp;$B325),"")</f>
        <v/>
      </c>
      <c r="T325" s="24" t="n"/>
      <c r="U325" s="24" t="n"/>
    </row>
    <row r="326">
      <c r="A326" s="2" t="inlineStr">
        <is>
          <t>IND-39</t>
        </is>
      </c>
      <c r="B326" s="2" t="n">
        <v>37</v>
      </c>
      <c r="C326" s="2" t="inlineStr">
        <is>
          <t>IMP00970</t>
        </is>
      </c>
      <c r="D326" s="2" t="inlineStr">
        <is>
          <t>Blue Ocean Agro Holdings Ltd</t>
        </is>
      </c>
      <c r="E326" s="2" t="n">
        <v>1</v>
      </c>
      <c r="F326" s="27" t="n">
        <v>238967.67</v>
      </c>
      <c r="G326" s="28" t="n">
        <v>0.0005</v>
      </c>
      <c r="H326" s="19" t="n">
        <v>0.916</v>
      </c>
      <c r="I326" s="29" t="n">
        <v>0</v>
      </c>
      <c r="J326" s="2" t="inlineStr">
        <is>
          <t>EXP0555</t>
        </is>
      </c>
      <c r="K326" s="2" t="n">
        <v>11</v>
      </c>
      <c r="L326" s="2" t="inlineStr">
        <is>
          <t>BRK055</t>
        </is>
      </c>
      <c r="M326" s="2" t="inlineStr">
        <is>
          <t>LAND5</t>
        </is>
      </c>
      <c r="N326" s="2" t="n">
        <v>0</v>
      </c>
      <c r="O326" s="2" t="n">
        <v>0</v>
      </c>
      <c r="P326" s="2" t="n">
        <v>0</v>
      </c>
      <c r="Q326" s="2" t="n">
        <v>0</v>
      </c>
      <c r="R326" s="30">
        <f>IF(AND($C$5&lt;&gt;"",$A326=$C$5),1,"")</f>
        <v/>
      </c>
      <c r="S326" s="21">
        <f>IF(AND($C$5&lt;&gt;"",$A326=$C$5),SUMIFS($G$8:$G$715,$A$8:$A$715,$C$5,$B$8:$B$715,"&lt;="&amp;$B326),"")</f>
        <v/>
      </c>
      <c r="T326" s="24" t="n"/>
      <c r="U326" s="24" t="n"/>
    </row>
    <row r="327">
      <c r="A327" s="2" t="inlineStr">
        <is>
          <t>IND-39</t>
        </is>
      </c>
      <c r="B327" s="2" t="n">
        <v>38</v>
      </c>
      <c r="C327" s="2" t="inlineStr">
        <is>
          <t>IMP01075</t>
        </is>
      </c>
      <c r="D327" s="2" t="inlineStr">
        <is>
          <t>Silk Road Steel International Ltd</t>
        </is>
      </c>
      <c r="E327" s="2" t="n">
        <v>1</v>
      </c>
      <c r="F327" s="27" t="n">
        <v>198166.01</v>
      </c>
      <c r="G327" s="28" t="n">
        <v>0.0004</v>
      </c>
      <c r="H327" s="19" t="n">
        <v>0.788</v>
      </c>
      <c r="I327" s="29" t="n">
        <v>0</v>
      </c>
      <c r="J327" s="2" t="inlineStr">
        <is>
          <t>EXP0477</t>
        </is>
      </c>
      <c r="K327" s="2" t="n">
        <v>8</v>
      </c>
      <c r="L327" s="2" t="inlineStr">
        <is>
          <t>BRK020</t>
        </is>
      </c>
      <c r="M327" s="2" t="inlineStr">
        <is>
          <t>PORT1</t>
        </is>
      </c>
      <c r="N327" s="2" t="n">
        <v>0</v>
      </c>
      <c r="O327" s="2" t="n">
        <v>0</v>
      </c>
      <c r="P327" s="2" t="n">
        <v>0</v>
      </c>
      <c r="Q327" s="2" t="n">
        <v>0</v>
      </c>
      <c r="R327" s="30">
        <f>IF(AND($C$5&lt;&gt;"",$A327=$C$5),1,"")</f>
        <v/>
      </c>
      <c r="S327" s="21">
        <f>IF(AND($C$5&lt;&gt;"",$A327=$C$5),SUMIFS($G$8:$G$715,$A$8:$A$715,$C$5,$B$8:$B$715,"&lt;="&amp;$B327),"")</f>
        <v/>
      </c>
      <c r="T327" s="24" t="n"/>
      <c r="U327" s="24" t="n"/>
    </row>
    <row r="328">
      <c r="A328" s="2" t="inlineStr">
        <is>
          <t>IND-39</t>
        </is>
      </c>
      <c r="B328" s="2" t="n">
        <v>39</v>
      </c>
      <c r="C328" s="2" t="inlineStr">
        <is>
          <t>IMP00761</t>
        </is>
      </c>
      <c r="D328" s="2" t="inlineStr">
        <is>
          <t>Phoenix Motors Ltd</t>
        </is>
      </c>
      <c r="E328" s="2" t="n">
        <v>1</v>
      </c>
      <c r="F328" s="27" t="n">
        <v>95430</v>
      </c>
      <c r="G328" s="28" t="n">
        <v>0.0002</v>
      </c>
      <c r="H328" s="19" t="n">
        <v>0.468</v>
      </c>
      <c r="I328" s="29" t="n">
        <v>1</v>
      </c>
      <c r="J328" s="2" t="inlineStr">
        <is>
          <t>EXP0555</t>
        </is>
      </c>
      <c r="K328" s="2" t="n">
        <v>11</v>
      </c>
      <c r="L328" s="2" t="inlineStr">
        <is>
          <t>BRK007</t>
        </is>
      </c>
      <c r="M328" s="2" t="inlineStr">
        <is>
          <t>AIR2</t>
        </is>
      </c>
      <c r="N328" s="2" t="n">
        <v>0</v>
      </c>
      <c r="O328" s="2" t="n">
        <v>0</v>
      </c>
      <c r="P328" s="2" t="n">
        <v>0</v>
      </c>
      <c r="Q328" s="2" t="n">
        <v>0</v>
      </c>
      <c r="R328" s="30">
        <f>IF(AND($C$5&lt;&gt;"",$A328=$C$5),1,"")</f>
        <v/>
      </c>
      <c r="S328" s="21">
        <f>IF(AND($C$5&lt;&gt;"",$A328=$C$5),SUMIFS($G$8:$G$715,$A$8:$A$715,$C$5,$B$8:$B$715,"&lt;="&amp;$B328),"")</f>
        <v/>
      </c>
      <c r="T328" s="24" t="n"/>
      <c r="U328" s="24" t="n"/>
    </row>
    <row r="329">
      <c r="A329" s="2" t="inlineStr">
        <is>
          <t>IND-52</t>
        </is>
      </c>
      <c r="B329" s="2" t="n">
        <v>1</v>
      </c>
      <c r="C329" s="2" t="inlineStr">
        <is>
          <t>IMP00753</t>
        </is>
      </c>
      <c r="D329" s="2" t="inlineStr">
        <is>
          <t>Phoenix Glow Limited</t>
        </is>
      </c>
      <c r="E329" s="2" t="n">
        <v>119</v>
      </c>
      <c r="F329" s="27" t="n">
        <v>56714342.95</v>
      </c>
      <c r="G329" s="28" t="n">
        <v>0.2267</v>
      </c>
      <c r="H329" s="19" t="n">
        <v>0.6005</v>
      </c>
      <c r="I329" s="29" t="n">
        <v>0.5881999999999999</v>
      </c>
      <c r="J329" s="2" t="inlineStr">
        <is>
          <t>EXP0472</t>
        </is>
      </c>
      <c r="K329" s="2" t="n">
        <v>8</v>
      </c>
      <c r="L329" s="2" t="inlineStr">
        <is>
          <t>BRK017</t>
        </is>
      </c>
      <c r="M329" s="2" t="inlineStr">
        <is>
          <t>AIR1</t>
        </is>
      </c>
      <c r="N329" s="2" t="n">
        <v>0</v>
      </c>
      <c r="O329" s="2" t="n">
        <v>0</v>
      </c>
      <c r="P329" s="2" t="n">
        <v>0</v>
      </c>
      <c r="Q329" s="2" t="n">
        <v>0</v>
      </c>
      <c r="R329" s="30">
        <f>IF(AND($C$5&lt;&gt;"",$A329=$C$5),1,"")</f>
        <v/>
      </c>
      <c r="S329" s="21">
        <f>IF(AND($C$5&lt;&gt;"",$A329=$C$5),SUMIFS($G$8:$G$715,$A$8:$A$715,$C$5,$B$8:$B$715,"&lt;="&amp;$B329),"")</f>
        <v/>
      </c>
      <c r="T329" s="24" t="n"/>
      <c r="U329" s="24" t="n"/>
    </row>
    <row r="330">
      <c r="A330" s="2" t="inlineStr">
        <is>
          <t>IND-52</t>
        </is>
      </c>
      <c r="B330" s="2" t="n">
        <v>2</v>
      </c>
      <c r="C330" s="2" t="inlineStr">
        <is>
          <t>IMP00679</t>
        </is>
      </c>
      <c r="D330" s="2" t="inlineStr">
        <is>
          <t>Coral Pack Group Ltd</t>
        </is>
      </c>
      <c r="E330" s="2" t="n">
        <v>94</v>
      </c>
      <c r="F330" s="27" t="n">
        <v>48142400.64</v>
      </c>
      <c r="G330" s="28" t="n">
        <v>0.1924</v>
      </c>
      <c r="H330" s="19" t="n">
        <v>0.634</v>
      </c>
      <c r="I330" s="29" t="n">
        <v>0.5851</v>
      </c>
      <c r="J330" s="2" t="inlineStr">
        <is>
          <t>EXP0327</t>
        </is>
      </c>
      <c r="K330" s="2" t="n">
        <v>14</v>
      </c>
      <c r="L330" s="2" t="inlineStr">
        <is>
          <t>BRK011</t>
        </is>
      </c>
      <c r="M330" s="2" t="inlineStr">
        <is>
          <t>PORT3</t>
        </is>
      </c>
      <c r="N330" s="2" t="n">
        <v>0</v>
      </c>
      <c r="O330" s="2" t="n">
        <v>0</v>
      </c>
      <c r="P330" s="2" t="n">
        <v>0</v>
      </c>
      <c r="Q330" s="2" t="n">
        <v>0</v>
      </c>
      <c r="R330" s="30">
        <f>IF(AND($C$5&lt;&gt;"",$A330=$C$5),1,"")</f>
        <v/>
      </c>
      <c r="S330" s="21">
        <f>IF(AND($C$5&lt;&gt;"",$A330=$C$5),SUMIFS($G$8:$G$715,$A$8:$A$715,$C$5,$B$8:$B$715,"&lt;="&amp;$B330),"")</f>
        <v/>
      </c>
      <c r="T330" s="24" t="n"/>
      <c r="U330" s="24" t="n"/>
    </row>
    <row r="331">
      <c r="A331" s="2" t="inlineStr">
        <is>
          <t>IND-52</t>
        </is>
      </c>
      <c r="B331" s="2" t="n">
        <v>3</v>
      </c>
      <c r="C331" s="2" t="inlineStr">
        <is>
          <t>IMP00660</t>
        </is>
      </c>
      <c r="D331" s="2" t="inlineStr">
        <is>
          <t>Aldergate Fruits International Ltd</t>
        </is>
      </c>
      <c r="E331" s="2" t="n">
        <v>39</v>
      </c>
      <c r="F331" s="27" t="n">
        <v>22344925.77</v>
      </c>
      <c r="G331" s="28" t="n">
        <v>0.0893</v>
      </c>
      <c r="H331" s="19" t="n">
        <v>0.606</v>
      </c>
      <c r="I331" s="29" t="n">
        <v>0.6667</v>
      </c>
      <c r="J331" s="2" t="inlineStr">
        <is>
          <t>EXP0472</t>
        </is>
      </c>
      <c r="K331" s="2" t="n">
        <v>8</v>
      </c>
      <c r="L331" s="2" t="inlineStr">
        <is>
          <t>BRK075</t>
        </is>
      </c>
      <c r="M331" s="2" t="inlineStr">
        <is>
          <t>AIR2</t>
        </is>
      </c>
      <c r="N331" s="2" t="n">
        <v>0</v>
      </c>
      <c r="O331" s="2" t="n">
        <v>0</v>
      </c>
      <c r="P331" s="2" t="n">
        <v>0</v>
      </c>
      <c r="Q331" s="2" t="n">
        <v>0</v>
      </c>
      <c r="R331" s="30">
        <f>IF(AND($C$5&lt;&gt;"",$A331=$C$5),1,"")</f>
        <v/>
      </c>
      <c r="S331" s="21">
        <f>IF(AND($C$5&lt;&gt;"",$A331=$C$5),SUMIFS($G$8:$G$715,$A$8:$A$715,$C$5,$B$8:$B$715,"&lt;="&amp;$B331),"")</f>
        <v/>
      </c>
      <c r="T331" s="24" t="n"/>
      <c r="U331" s="24" t="n"/>
    </row>
    <row r="332">
      <c r="A332" s="2" t="inlineStr">
        <is>
          <t>IND-52</t>
        </is>
      </c>
      <c r="B332" s="2" t="n">
        <v>4</v>
      </c>
      <c r="C332" s="2" t="inlineStr">
        <is>
          <t>IMP01183</t>
        </is>
      </c>
      <c r="D332" s="2" t="inlineStr">
        <is>
          <t>Carrick Motors Ltd</t>
        </is>
      </c>
      <c r="E332" s="2" t="n">
        <v>26</v>
      </c>
      <c r="F332" s="27" t="n">
        <v>13262945.33</v>
      </c>
      <c r="G332" s="28" t="n">
        <v>0.053</v>
      </c>
      <c r="H332" s="19" t="n">
        <v>0.626</v>
      </c>
      <c r="I332" s="29" t="n">
        <v>0.6153999999999999</v>
      </c>
      <c r="J332" s="2" t="inlineStr">
        <is>
          <t>EXP0327</t>
        </is>
      </c>
      <c r="K332" s="2" t="n">
        <v>14</v>
      </c>
      <c r="L332" s="2" t="inlineStr">
        <is>
          <t>BRK052</t>
        </is>
      </c>
      <c r="M332" s="2" t="inlineStr">
        <is>
          <t>PORT1</t>
        </is>
      </c>
      <c r="N332" s="2" t="n">
        <v>0</v>
      </c>
      <c r="O332" s="2" t="n">
        <v>0</v>
      </c>
      <c r="P332" s="2" t="n">
        <v>0</v>
      </c>
      <c r="Q332" s="2" t="n">
        <v>0</v>
      </c>
      <c r="R332" s="30">
        <f>IF(AND($C$5&lt;&gt;"",$A332=$C$5),1,"")</f>
        <v/>
      </c>
      <c r="S332" s="21">
        <f>IF(AND($C$5&lt;&gt;"",$A332=$C$5),SUMIFS($G$8:$G$715,$A$8:$A$715,$C$5,$B$8:$B$715,"&lt;="&amp;$B332),"")</f>
        <v/>
      </c>
      <c r="T332" s="24" t="n"/>
      <c r="U332" s="24" t="n"/>
    </row>
    <row r="333">
      <c r="A333" s="2" t="inlineStr">
        <is>
          <t>IND-52</t>
        </is>
      </c>
      <c r="B333" s="2" t="n">
        <v>5</v>
      </c>
      <c r="C333" s="2" t="inlineStr">
        <is>
          <t>IMP01478</t>
        </is>
      </c>
      <c r="D333" s="2" t="inlineStr">
        <is>
          <t>Ocean Industries Limited</t>
        </is>
      </c>
      <c r="E333" s="2" t="n">
        <v>21</v>
      </c>
      <c r="F333" s="27" t="n">
        <v>11490225.74</v>
      </c>
      <c r="G333" s="28" t="n">
        <v>0.0459</v>
      </c>
      <c r="H333" s="19" t="n">
        <v>0.6375</v>
      </c>
      <c r="I333" s="29" t="n">
        <v>0.619</v>
      </c>
      <c r="J333" s="2" t="inlineStr">
        <is>
          <t>EXP0440</t>
        </is>
      </c>
      <c r="K333" s="2" t="n">
        <v>9</v>
      </c>
      <c r="L333" s="2" t="inlineStr">
        <is>
          <t>BRK046</t>
        </is>
      </c>
      <c r="M333" s="2" t="inlineStr">
        <is>
          <t>PORT3</t>
        </is>
      </c>
      <c r="N333" s="2" t="n">
        <v>0</v>
      </c>
      <c r="O333" s="2" t="n">
        <v>0</v>
      </c>
      <c r="P333" s="2" t="n">
        <v>0</v>
      </c>
      <c r="Q333" s="2" t="n">
        <v>1</v>
      </c>
      <c r="R333" s="30">
        <f>IF(AND($C$5&lt;&gt;"",$A333=$C$5),1,"")</f>
        <v/>
      </c>
      <c r="S333" s="21">
        <f>IF(AND($C$5&lt;&gt;"",$A333=$C$5),SUMIFS($G$8:$G$715,$A$8:$A$715,$C$5,$B$8:$B$715,"&lt;="&amp;$B333),"")</f>
        <v/>
      </c>
      <c r="T333" s="24" t="n"/>
      <c r="U333" s="24" t="n"/>
    </row>
    <row r="334">
      <c r="A334" s="2" t="inlineStr">
        <is>
          <t>IND-52</t>
        </is>
      </c>
      <c r="B334" s="2" t="n">
        <v>6</v>
      </c>
      <c r="C334" s="2" t="inlineStr">
        <is>
          <t>IMP01024</t>
        </is>
      </c>
      <c r="D334" s="2" t="inlineStr">
        <is>
          <t>Aldergate Living Co., Ltd</t>
        </is>
      </c>
      <c r="E334" s="2" t="n">
        <v>13</v>
      </c>
      <c r="F334" s="27" t="n">
        <v>8720287.529999999</v>
      </c>
      <c r="G334" s="28" t="n">
        <v>0.0349</v>
      </c>
      <c r="H334" s="19" t="n">
        <v>0.6879999999999999</v>
      </c>
      <c r="I334" s="29" t="n">
        <v>0.5385</v>
      </c>
      <c r="J334" s="2" t="inlineStr">
        <is>
          <t>EXP0327</t>
        </is>
      </c>
      <c r="K334" s="2" t="n">
        <v>14</v>
      </c>
      <c r="L334" s="2" t="inlineStr">
        <is>
          <t>BRK020</t>
        </is>
      </c>
      <c r="M334" s="2" t="inlineStr">
        <is>
          <t>AIR1</t>
        </is>
      </c>
      <c r="N334" s="2" t="n">
        <v>0</v>
      </c>
      <c r="O334" s="2" t="n">
        <v>0</v>
      </c>
      <c r="P334" s="2" t="n">
        <v>0</v>
      </c>
      <c r="Q334" s="2" t="n">
        <v>0</v>
      </c>
      <c r="R334" s="30">
        <f>IF(AND($C$5&lt;&gt;"",$A334=$C$5),1,"")</f>
        <v/>
      </c>
      <c r="S334" s="21">
        <f>IF(AND($C$5&lt;&gt;"",$A334=$C$5),SUMIFS($G$8:$G$715,$A$8:$A$715,$C$5,$B$8:$B$715,"&lt;="&amp;$B334),"")</f>
        <v/>
      </c>
      <c r="T334" s="24" t="n"/>
      <c r="U334" s="24" t="n"/>
    </row>
    <row r="335">
      <c r="A335" s="2" t="inlineStr">
        <is>
          <t>IND-52</t>
        </is>
      </c>
      <c r="B335" s="2" t="n">
        <v>7</v>
      </c>
      <c r="C335" s="2" t="inlineStr">
        <is>
          <t>IMP00453</t>
        </is>
      </c>
      <c r="D335" s="2" t="inlineStr">
        <is>
          <t>Sunrise Steel &amp; Sons</t>
        </is>
      </c>
      <c r="E335" s="2" t="n">
        <v>23</v>
      </c>
      <c r="F335" s="27" t="n">
        <v>8090404.94</v>
      </c>
      <c r="G335" s="28" t="n">
        <v>0.0323</v>
      </c>
      <c r="H335" s="19" t="n">
        <v>0.5639999999999999</v>
      </c>
      <c r="I335" s="29" t="n">
        <v>0.6087</v>
      </c>
      <c r="J335" s="2" t="inlineStr">
        <is>
          <t>EXP0472</t>
        </is>
      </c>
      <c r="K335" s="2" t="n">
        <v>8</v>
      </c>
      <c r="L335" s="2" t="inlineStr">
        <is>
          <t>BRK047</t>
        </is>
      </c>
      <c r="M335" s="2" t="inlineStr">
        <is>
          <t>LAND1</t>
        </is>
      </c>
      <c r="N335" s="2" t="n">
        <v>0</v>
      </c>
      <c r="O335" s="2" t="n">
        <v>0</v>
      </c>
      <c r="P335" s="2" t="n">
        <v>0</v>
      </c>
      <c r="Q335" s="2" t="n">
        <v>0</v>
      </c>
      <c r="R335" s="30">
        <f>IF(AND($C$5&lt;&gt;"",$A335=$C$5),1,"")</f>
        <v/>
      </c>
      <c r="S335" s="21">
        <f>IF(AND($C$5&lt;&gt;"",$A335=$C$5),SUMIFS($G$8:$G$715,$A$8:$A$715,$C$5,$B$8:$B$715,"&lt;="&amp;$B335),"")</f>
        <v/>
      </c>
      <c r="T335" s="24" t="n"/>
      <c r="U335" s="24" t="n"/>
    </row>
    <row r="336">
      <c r="A336" s="2" t="inlineStr">
        <is>
          <t>IND-52</t>
        </is>
      </c>
      <c r="B336" s="2" t="n">
        <v>8</v>
      </c>
      <c r="C336" s="2" t="inlineStr">
        <is>
          <t>IMP00353</t>
        </is>
      </c>
      <c r="D336" s="2" t="inlineStr">
        <is>
          <t>Twin Rivers Logistics Holdings Ltd</t>
        </is>
      </c>
      <c r="E336" s="2" t="n">
        <v>7</v>
      </c>
      <c r="F336" s="27" t="n">
        <v>7548579.05</v>
      </c>
      <c r="G336" s="28" t="n">
        <v>0.0302</v>
      </c>
      <c r="H336" s="19" t="n">
        <v>0.8080000000000001</v>
      </c>
      <c r="I336" s="29" t="n">
        <v>0.4286</v>
      </c>
      <c r="J336" s="2" t="inlineStr">
        <is>
          <t>EXP0440</t>
        </is>
      </c>
      <c r="K336" s="2" t="n">
        <v>9</v>
      </c>
      <c r="L336" s="2" t="inlineStr">
        <is>
          <t>BRK010</t>
        </is>
      </c>
      <c r="M336" s="2" t="inlineStr">
        <is>
          <t>PORT1</t>
        </is>
      </c>
      <c r="N336" s="2" t="n">
        <v>0</v>
      </c>
      <c r="O336" s="2" t="n">
        <v>0</v>
      </c>
      <c r="P336" s="2" t="n">
        <v>0</v>
      </c>
      <c r="Q336" s="2" t="n">
        <v>0</v>
      </c>
      <c r="R336" s="30">
        <f>IF(AND($C$5&lt;&gt;"",$A336=$C$5),1,"")</f>
        <v/>
      </c>
      <c r="S336" s="21">
        <f>IF(AND($C$5&lt;&gt;"",$A336=$C$5),SUMIFS($G$8:$G$715,$A$8:$A$715,$C$5,$B$8:$B$715,"&lt;="&amp;$B336),"")</f>
        <v/>
      </c>
      <c r="T336" s="24" t="n"/>
      <c r="U336" s="24" t="n"/>
    </row>
    <row r="337">
      <c r="A337" s="2" t="inlineStr">
        <is>
          <t>IND-52</t>
        </is>
      </c>
      <c r="B337" s="2" t="n">
        <v>9</v>
      </c>
      <c r="C337" s="2" t="inlineStr">
        <is>
          <t>IMP01277</t>
        </is>
      </c>
      <c r="D337" s="2" t="inlineStr">
        <is>
          <t>Ashcombe Agro Group Ltd</t>
        </is>
      </c>
      <c r="E337" s="2" t="n">
        <v>17</v>
      </c>
      <c r="F337" s="27" t="n">
        <v>7034802.36</v>
      </c>
      <c r="G337" s="28" t="n">
        <v>0.0281</v>
      </c>
      <c r="H337" s="19" t="n">
        <v>0.66</v>
      </c>
      <c r="I337" s="29" t="n">
        <v>0.5294</v>
      </c>
      <c r="J337" s="2" t="inlineStr">
        <is>
          <t>EXP0440</t>
        </is>
      </c>
      <c r="K337" s="2" t="n">
        <v>9</v>
      </c>
      <c r="L337" s="2" t="inlineStr">
        <is>
          <t>BRK055</t>
        </is>
      </c>
      <c r="M337" s="2" t="inlineStr">
        <is>
          <t>PORT2</t>
        </is>
      </c>
      <c r="N337" s="2" t="n">
        <v>0</v>
      </c>
      <c r="O337" s="2" t="n">
        <v>0</v>
      </c>
      <c r="P337" s="2" t="n">
        <v>0</v>
      </c>
      <c r="Q337" s="2" t="n">
        <v>0</v>
      </c>
      <c r="R337" s="30">
        <f>IF(AND($C$5&lt;&gt;"",$A337=$C$5),1,"")</f>
        <v/>
      </c>
      <c r="S337" s="21">
        <f>IF(AND($C$5&lt;&gt;"",$A337=$C$5),SUMIFS($G$8:$G$715,$A$8:$A$715,$C$5,$B$8:$B$715,"&lt;="&amp;$B337),"")</f>
        <v/>
      </c>
      <c r="T337" s="24" t="n"/>
      <c r="U337" s="24" t="n"/>
    </row>
    <row r="338">
      <c r="A338" s="2" t="inlineStr">
        <is>
          <t>IND-52</t>
        </is>
      </c>
      <c r="B338" s="2" t="n">
        <v>10</v>
      </c>
      <c r="C338" s="2" t="inlineStr">
        <is>
          <t>IMP00646</t>
        </is>
      </c>
      <c r="D338" s="2" t="inlineStr">
        <is>
          <t>Jade Imports Holdings Ltd</t>
        </is>
      </c>
      <c r="E338" s="2" t="n">
        <v>13</v>
      </c>
      <c r="F338" s="27" t="n">
        <v>6824601.83</v>
      </c>
      <c r="G338" s="28" t="n">
        <v>0.0273</v>
      </c>
      <c r="H338" s="19" t="n">
        <v>0.717</v>
      </c>
      <c r="I338" s="29" t="n">
        <v>0.4615</v>
      </c>
      <c r="J338" s="2" t="inlineStr">
        <is>
          <t>EXP0327</t>
        </is>
      </c>
      <c r="K338" s="2" t="n">
        <v>14</v>
      </c>
      <c r="L338" s="2" t="inlineStr">
        <is>
          <t>BRK052</t>
        </is>
      </c>
      <c r="M338" s="2" t="inlineStr">
        <is>
          <t>PORT2</t>
        </is>
      </c>
      <c r="N338" s="2" t="n">
        <v>0</v>
      </c>
      <c r="O338" s="2" t="n">
        <v>0</v>
      </c>
      <c r="P338" s="2" t="n">
        <v>0</v>
      </c>
      <c r="Q338" s="2" t="n">
        <v>0</v>
      </c>
      <c r="R338" s="30">
        <f>IF(AND($C$5&lt;&gt;"",$A338=$C$5),1,"")</f>
        <v/>
      </c>
      <c r="S338" s="21">
        <f>IF(AND($C$5&lt;&gt;"",$A338=$C$5),SUMIFS($G$8:$G$715,$A$8:$A$715,$C$5,$B$8:$B$715,"&lt;="&amp;$B338),"")</f>
        <v/>
      </c>
      <c r="T338" s="24" t="n"/>
      <c r="U338" s="24" t="n"/>
    </row>
    <row r="339">
      <c r="A339" s="2" t="inlineStr">
        <is>
          <t>IND-52</t>
        </is>
      </c>
      <c r="B339" s="2" t="n">
        <v>11</v>
      </c>
      <c r="C339" s="2" t="inlineStr">
        <is>
          <t>IMP00592</t>
        </is>
      </c>
      <c r="D339" s="2" t="inlineStr">
        <is>
          <t>Crown Fruits Partners Ltd</t>
        </is>
      </c>
      <c r="E339" s="2" t="n">
        <v>18</v>
      </c>
      <c r="F339" s="27" t="n">
        <v>6749511.09</v>
      </c>
      <c r="G339" s="28" t="n">
        <v>0.027</v>
      </c>
      <c r="H339" s="19" t="n">
        <v>0.669</v>
      </c>
      <c r="I339" s="29" t="n">
        <v>0.5556</v>
      </c>
      <c r="J339" s="2" t="inlineStr">
        <is>
          <t>EXP0327</t>
        </is>
      </c>
      <c r="K339" s="2" t="n">
        <v>14</v>
      </c>
      <c r="L339" s="2" t="inlineStr">
        <is>
          <t>BRK044</t>
        </is>
      </c>
      <c r="M339" s="2" t="inlineStr">
        <is>
          <t>PORT1</t>
        </is>
      </c>
      <c r="N339" s="2" t="n">
        <v>0</v>
      </c>
      <c r="O339" s="2" t="n">
        <v>0</v>
      </c>
      <c r="P339" s="2" t="n">
        <v>0</v>
      </c>
      <c r="Q339" s="2" t="n">
        <v>0</v>
      </c>
      <c r="R339" s="30">
        <f>IF(AND($C$5&lt;&gt;"",$A339=$C$5),1,"")</f>
        <v/>
      </c>
      <c r="S339" s="21">
        <f>IF(AND($C$5&lt;&gt;"",$A339=$C$5),SUMIFS($G$8:$G$715,$A$8:$A$715,$C$5,$B$8:$B$715,"&lt;="&amp;$B339),"")</f>
        <v/>
      </c>
      <c r="T339" s="24" t="n"/>
      <c r="U339" s="24" t="n"/>
    </row>
    <row r="340">
      <c r="A340" s="2" t="inlineStr">
        <is>
          <t>IND-52</t>
        </is>
      </c>
      <c r="B340" s="2" t="n">
        <v>12</v>
      </c>
      <c r="C340" s="2" t="inlineStr">
        <is>
          <t>IMP00842</t>
        </is>
      </c>
      <c r="D340" s="2" t="inlineStr">
        <is>
          <t>Pacific Medical &amp; Sons</t>
        </is>
      </c>
      <c r="E340" s="2" t="n">
        <v>9</v>
      </c>
      <c r="F340" s="27" t="n">
        <v>6655652.98</v>
      </c>
      <c r="G340" s="28" t="n">
        <v>0.0266</v>
      </c>
      <c r="H340" s="19" t="n">
        <v>0.737</v>
      </c>
      <c r="I340" s="29" t="n">
        <v>0.4444</v>
      </c>
      <c r="J340" s="2" t="inlineStr">
        <is>
          <t>EXP0440</t>
        </is>
      </c>
      <c r="K340" s="2" t="n">
        <v>9</v>
      </c>
      <c r="L340" s="2" t="inlineStr">
        <is>
          <t>BRK056</t>
        </is>
      </c>
      <c r="M340" s="2" t="inlineStr">
        <is>
          <t>AIR1</t>
        </is>
      </c>
      <c r="N340" s="2" t="n">
        <v>0</v>
      </c>
      <c r="O340" s="2" t="n">
        <v>1</v>
      </c>
      <c r="P340" s="2" t="n">
        <v>0</v>
      </c>
      <c r="Q340" s="2" t="n">
        <v>0</v>
      </c>
      <c r="R340" s="30">
        <f>IF(AND($C$5&lt;&gt;"",$A340=$C$5),1,"")</f>
        <v/>
      </c>
      <c r="S340" s="21">
        <f>IF(AND($C$5&lt;&gt;"",$A340=$C$5),SUMIFS($G$8:$G$715,$A$8:$A$715,$C$5,$B$8:$B$715,"&lt;="&amp;$B340),"")</f>
        <v/>
      </c>
      <c r="T340" s="24" t="n"/>
      <c r="U340" s="24" t="n"/>
    </row>
    <row r="341">
      <c r="A341" s="2" t="inlineStr">
        <is>
          <t>IND-52</t>
        </is>
      </c>
      <c r="B341" s="2" t="n">
        <v>13</v>
      </c>
      <c r="C341" s="2" t="inlineStr">
        <is>
          <t>IMP01273</t>
        </is>
      </c>
      <c r="D341" s="2" t="inlineStr">
        <is>
          <t>Meridian Supply Limited</t>
        </is>
      </c>
      <c r="E341" s="2" t="n">
        <v>14</v>
      </c>
      <c r="F341" s="27" t="n">
        <v>6648382.05</v>
      </c>
      <c r="G341" s="28" t="n">
        <v>0.0266</v>
      </c>
      <c r="H341" s="19" t="n">
        <v>0.675</v>
      </c>
      <c r="I341" s="29" t="n">
        <v>0.5</v>
      </c>
      <c r="J341" s="2" t="inlineStr">
        <is>
          <t>EXP0327</t>
        </is>
      </c>
      <c r="K341" s="2" t="n">
        <v>14</v>
      </c>
      <c r="L341" s="2" t="inlineStr">
        <is>
          <t>BRK074</t>
        </is>
      </c>
      <c r="M341" s="2" t="inlineStr">
        <is>
          <t>PORT3</t>
        </is>
      </c>
      <c r="N341" s="2" t="n">
        <v>0</v>
      </c>
      <c r="O341" s="2" t="n">
        <v>0</v>
      </c>
      <c r="P341" s="2" t="n">
        <v>0</v>
      </c>
      <c r="Q341" s="2" t="n">
        <v>1</v>
      </c>
      <c r="R341" s="30">
        <f>IF(AND($C$5&lt;&gt;"",$A341=$C$5),1,"")</f>
        <v/>
      </c>
      <c r="S341" s="21">
        <f>IF(AND($C$5&lt;&gt;"",$A341=$C$5),SUMIFS($G$8:$G$715,$A$8:$A$715,$C$5,$B$8:$B$715,"&lt;="&amp;$B341),"")</f>
        <v/>
      </c>
      <c r="T341" s="24" t="n"/>
      <c r="U341" s="24" t="n"/>
    </row>
    <row r="342">
      <c r="A342" s="2" t="inlineStr">
        <is>
          <t>IND-52</t>
        </is>
      </c>
      <c r="B342" s="2" t="n">
        <v>14</v>
      </c>
      <c r="C342" s="2" t="inlineStr">
        <is>
          <t>IMP01494</t>
        </is>
      </c>
      <c r="D342" s="2" t="inlineStr">
        <is>
          <t>Harmony Medical Co., Ltd</t>
        </is>
      </c>
      <c r="E342" s="2" t="n">
        <v>17</v>
      </c>
      <c r="F342" s="27" t="n">
        <v>5900425.37</v>
      </c>
      <c r="G342" s="28" t="n">
        <v>0.0236</v>
      </c>
      <c r="H342" s="19" t="n">
        <v>0.628</v>
      </c>
      <c r="I342" s="29" t="n">
        <v>0.7059</v>
      </c>
      <c r="J342" s="2" t="inlineStr">
        <is>
          <t>EXP0472</t>
        </is>
      </c>
      <c r="K342" s="2" t="n">
        <v>8</v>
      </c>
      <c r="L342" s="2" t="inlineStr">
        <is>
          <t>BRK065</t>
        </is>
      </c>
      <c r="M342" s="2" t="inlineStr">
        <is>
          <t>PORT2</t>
        </is>
      </c>
      <c r="N342" s="2" t="n">
        <v>0</v>
      </c>
      <c r="O342" s="2" t="n">
        <v>0</v>
      </c>
      <c r="P342" s="2" t="n">
        <v>0</v>
      </c>
      <c r="Q342" s="2" t="n">
        <v>0</v>
      </c>
      <c r="R342" s="30">
        <f>IF(AND($C$5&lt;&gt;"",$A342=$C$5),1,"")</f>
        <v/>
      </c>
      <c r="S342" s="21">
        <f>IF(AND($C$5&lt;&gt;"",$A342=$C$5),SUMIFS($G$8:$G$715,$A$8:$A$715,$C$5,$B$8:$B$715,"&lt;="&amp;$B342),"")</f>
        <v/>
      </c>
      <c r="T342" s="24" t="n"/>
      <c r="U342" s="24" t="n"/>
    </row>
    <row r="343">
      <c r="A343" s="2" t="inlineStr">
        <is>
          <t>IND-52</t>
        </is>
      </c>
      <c r="B343" s="2" t="n">
        <v>15</v>
      </c>
      <c r="C343" s="2" t="inlineStr">
        <is>
          <t>IMP00820</t>
        </is>
      </c>
      <c r="D343" s="2" t="inlineStr">
        <is>
          <t>Metro Industries &amp; Sons</t>
        </is>
      </c>
      <c r="E343" s="2" t="n">
        <v>3</v>
      </c>
      <c r="F343" s="27" t="n">
        <v>5792988.12</v>
      </c>
      <c r="G343" s="28" t="n">
        <v>0.0232</v>
      </c>
      <c r="H343" s="19" t="n">
        <v>0.534</v>
      </c>
      <c r="I343" s="29" t="n">
        <v>0.6667</v>
      </c>
      <c r="J343" s="2" t="inlineStr">
        <is>
          <t>EXP0327</t>
        </is>
      </c>
      <c r="K343" s="2" t="n">
        <v>14</v>
      </c>
      <c r="L343" s="2" t="inlineStr">
        <is>
          <t>BRK079</t>
        </is>
      </c>
      <c r="M343" s="2" t="inlineStr">
        <is>
          <t>AIR1</t>
        </is>
      </c>
      <c r="N343" s="2" t="n">
        <v>0</v>
      </c>
      <c r="O343" s="2" t="n">
        <v>0</v>
      </c>
      <c r="P343" s="2" t="n">
        <v>0</v>
      </c>
      <c r="Q343" s="2" t="n">
        <v>0</v>
      </c>
      <c r="R343" s="30">
        <f>IF(AND($C$5&lt;&gt;"",$A343=$C$5),1,"")</f>
        <v/>
      </c>
      <c r="S343" s="21">
        <f>IF(AND($C$5&lt;&gt;"",$A343=$C$5),SUMIFS($G$8:$G$715,$A$8:$A$715,$C$5,$B$8:$B$715,"&lt;="&amp;$B343),"")</f>
        <v/>
      </c>
      <c r="T343" s="24" t="n"/>
      <c r="U343" s="24" t="n"/>
    </row>
    <row r="344">
      <c r="A344" s="2" t="inlineStr">
        <is>
          <t>IND-52</t>
        </is>
      </c>
      <c r="B344" s="2" t="n">
        <v>16</v>
      </c>
      <c r="C344" s="2" t="inlineStr">
        <is>
          <t>IMP00273</t>
        </is>
      </c>
      <c r="D344" s="2" t="inlineStr">
        <is>
          <t>Dunmore Steel Holdings Ltd</t>
        </is>
      </c>
      <c r="E344" s="2" t="n">
        <v>9</v>
      </c>
      <c r="F344" s="27" t="n">
        <v>3893211.89</v>
      </c>
      <c r="G344" s="28" t="n">
        <v>0.0156</v>
      </c>
      <c r="H344" s="19" t="n">
        <v>0.705</v>
      </c>
      <c r="I344" s="29" t="n">
        <v>0.6667</v>
      </c>
      <c r="J344" s="2" t="inlineStr">
        <is>
          <t>EXP0472</t>
        </is>
      </c>
      <c r="K344" s="2" t="n">
        <v>8</v>
      </c>
      <c r="L344" s="2" t="inlineStr">
        <is>
          <t>BRK014</t>
        </is>
      </c>
      <c r="M344" s="2" t="inlineStr">
        <is>
          <t>AIR1</t>
        </is>
      </c>
      <c r="N344" s="2" t="n">
        <v>0</v>
      </c>
      <c r="O344" s="2" t="n">
        <v>0</v>
      </c>
      <c r="P344" s="2" t="n">
        <v>0</v>
      </c>
      <c r="Q344" s="2" t="n">
        <v>1</v>
      </c>
      <c r="R344" s="30">
        <f>IF(AND($C$5&lt;&gt;"",$A344=$C$5),1,"")</f>
        <v/>
      </c>
      <c r="S344" s="21">
        <f>IF(AND($C$5&lt;&gt;"",$A344=$C$5),SUMIFS($G$8:$G$715,$A$8:$A$715,$C$5,$B$8:$B$715,"&lt;="&amp;$B344),"")</f>
        <v/>
      </c>
      <c r="T344" s="24" t="n"/>
      <c r="U344" s="24" t="n"/>
    </row>
    <row r="345">
      <c r="A345" s="2" t="inlineStr">
        <is>
          <t>IND-52</t>
        </is>
      </c>
      <c r="B345" s="2" t="n">
        <v>17</v>
      </c>
      <c r="C345" s="2" t="inlineStr">
        <is>
          <t>IMP01026</t>
        </is>
      </c>
      <c r="D345" s="2" t="inlineStr">
        <is>
          <t>Orchid Electronics Holdings Ltd</t>
        </is>
      </c>
      <c r="E345" s="2" t="n">
        <v>5</v>
      </c>
      <c r="F345" s="27" t="n">
        <v>3302177.32</v>
      </c>
      <c r="G345" s="28" t="n">
        <v>0.0132</v>
      </c>
      <c r="H345" s="19" t="n">
        <v>0.659</v>
      </c>
      <c r="I345" s="29" t="n">
        <v>0.6</v>
      </c>
      <c r="J345" s="2" t="inlineStr">
        <is>
          <t>EXP0472</t>
        </is>
      </c>
      <c r="K345" s="2" t="n">
        <v>8</v>
      </c>
      <c r="L345" s="2" t="inlineStr">
        <is>
          <t>BRK047</t>
        </is>
      </c>
      <c r="M345" s="2" t="inlineStr">
        <is>
          <t>LAND6</t>
        </is>
      </c>
      <c r="N345" s="2" t="n">
        <v>0</v>
      </c>
      <c r="O345" s="2" t="n">
        <v>0</v>
      </c>
      <c r="P345" s="2" t="n">
        <v>0</v>
      </c>
      <c r="Q345" s="2" t="n">
        <v>0</v>
      </c>
      <c r="R345" s="30">
        <f>IF(AND($C$5&lt;&gt;"",$A345=$C$5),1,"")</f>
        <v/>
      </c>
      <c r="S345" s="21">
        <f>IF(AND($C$5&lt;&gt;"",$A345=$C$5),SUMIFS($G$8:$G$715,$A$8:$A$715,$C$5,$B$8:$B$715,"&lt;="&amp;$B345),"")</f>
        <v/>
      </c>
      <c r="T345" s="24" t="n"/>
      <c r="U345" s="24" t="n"/>
    </row>
    <row r="346">
      <c r="A346" s="2" t="inlineStr">
        <is>
          <t>IND-52</t>
        </is>
      </c>
      <c r="B346" s="2" t="n">
        <v>18</v>
      </c>
      <c r="C346" s="2" t="inlineStr">
        <is>
          <t>IMP00614</t>
        </is>
      </c>
      <c r="D346" s="2" t="inlineStr">
        <is>
          <t>Silk Road Enterprises Holdings Ltd</t>
        </is>
      </c>
      <c r="E346" s="2" t="n">
        <v>7</v>
      </c>
      <c r="F346" s="27" t="n">
        <v>2860568.39</v>
      </c>
      <c r="G346" s="28" t="n">
        <v>0.0114</v>
      </c>
      <c r="H346" s="19" t="n">
        <v>0.829</v>
      </c>
      <c r="I346" s="29" t="n">
        <v>0.4286</v>
      </c>
      <c r="J346" s="2" t="inlineStr">
        <is>
          <t>EXP0440</t>
        </is>
      </c>
      <c r="K346" s="2" t="n">
        <v>9</v>
      </c>
      <c r="L346" s="2" t="inlineStr">
        <is>
          <t>BRK009</t>
        </is>
      </c>
      <c r="M346" s="2" t="inlineStr">
        <is>
          <t>LAND3</t>
        </is>
      </c>
      <c r="N346" s="2" t="n">
        <v>0</v>
      </c>
      <c r="O346" s="2" t="n">
        <v>0</v>
      </c>
      <c r="P346" s="2" t="n">
        <v>0</v>
      </c>
      <c r="Q346" s="2" t="n">
        <v>0</v>
      </c>
      <c r="R346" s="30">
        <f>IF(AND($C$5&lt;&gt;"",$A346=$C$5),1,"")</f>
        <v/>
      </c>
      <c r="S346" s="21">
        <f>IF(AND($C$5&lt;&gt;"",$A346=$C$5),SUMIFS($G$8:$G$715,$A$8:$A$715,$C$5,$B$8:$B$715,"&lt;="&amp;$B346),"")</f>
        <v/>
      </c>
      <c r="T346" s="24" t="n"/>
      <c r="U346" s="24" t="n"/>
    </row>
    <row r="347">
      <c r="A347" s="2" t="inlineStr">
        <is>
          <t>IND-52</t>
        </is>
      </c>
      <c r="B347" s="2" t="n">
        <v>19</v>
      </c>
      <c r="C347" s="2" t="inlineStr">
        <is>
          <t>IMP00761</t>
        </is>
      </c>
      <c r="D347" s="2" t="inlineStr">
        <is>
          <t>Phoenix Motors Ltd</t>
        </is>
      </c>
      <c r="E347" s="2" t="n">
        <v>4</v>
      </c>
      <c r="F347" s="27" t="n">
        <v>2703747.36</v>
      </c>
      <c r="G347" s="28" t="n">
        <v>0.0108</v>
      </c>
      <c r="H347" s="19" t="n">
        <v>1.1405</v>
      </c>
      <c r="I347" s="29" t="n">
        <v>0.25</v>
      </c>
      <c r="J347" s="2" t="inlineStr">
        <is>
          <t>EXP0440</t>
        </is>
      </c>
      <c r="K347" s="2" t="n">
        <v>9</v>
      </c>
      <c r="L347" s="2" t="inlineStr">
        <is>
          <t>BRK007</t>
        </is>
      </c>
      <c r="M347" s="2" t="inlineStr">
        <is>
          <t>PORT1</t>
        </is>
      </c>
      <c r="N347" s="2" t="n">
        <v>0</v>
      </c>
      <c r="O347" s="2" t="n">
        <v>0</v>
      </c>
      <c r="P347" s="2" t="n">
        <v>0</v>
      </c>
      <c r="Q347" s="2" t="n">
        <v>0</v>
      </c>
      <c r="R347" s="30">
        <f>IF(AND($C$5&lt;&gt;"",$A347=$C$5),1,"")</f>
        <v/>
      </c>
      <c r="S347" s="21">
        <f>IF(AND($C$5&lt;&gt;"",$A347=$C$5),SUMIFS($G$8:$G$715,$A$8:$A$715,$C$5,$B$8:$B$715,"&lt;="&amp;$B347),"")</f>
        <v/>
      </c>
      <c r="T347" s="24" t="n"/>
      <c r="U347" s="24" t="n"/>
    </row>
    <row r="348">
      <c r="A348" s="2" t="inlineStr">
        <is>
          <t>IND-52</t>
        </is>
      </c>
      <c r="B348" s="2" t="n">
        <v>20</v>
      </c>
      <c r="C348" s="2" t="inlineStr">
        <is>
          <t>IMP00823</t>
        </is>
      </c>
      <c r="D348" s="2" t="inlineStr">
        <is>
          <t>Lotus Living Partners Ltd</t>
        </is>
      </c>
      <c r="E348" s="2" t="n">
        <v>5</v>
      </c>
      <c r="F348" s="27" t="n">
        <v>2581037.65</v>
      </c>
      <c r="G348" s="28" t="n">
        <v>0.0103</v>
      </c>
      <c r="H348" s="19" t="n">
        <v>0.888</v>
      </c>
      <c r="I348" s="29" t="n">
        <v>0.2</v>
      </c>
      <c r="J348" s="2" t="inlineStr">
        <is>
          <t>EXP0327</t>
        </is>
      </c>
      <c r="K348" s="2" t="n">
        <v>14</v>
      </c>
      <c r="L348" s="2" t="inlineStr">
        <is>
          <t>BRK080</t>
        </is>
      </c>
      <c r="M348" s="2" t="inlineStr">
        <is>
          <t>AIR1</t>
        </is>
      </c>
      <c r="N348" s="2" t="n">
        <v>0</v>
      </c>
      <c r="O348" s="2" t="n">
        <v>0</v>
      </c>
      <c r="P348" s="2" t="n">
        <v>0</v>
      </c>
      <c r="Q348" s="2" t="n">
        <v>0</v>
      </c>
      <c r="R348" s="30">
        <f>IF(AND($C$5&lt;&gt;"",$A348=$C$5),1,"")</f>
        <v/>
      </c>
      <c r="S348" s="21">
        <f>IF(AND($C$5&lt;&gt;"",$A348=$C$5),SUMIFS($G$8:$G$715,$A$8:$A$715,$C$5,$B$8:$B$715,"&lt;="&amp;$B348),"")</f>
        <v/>
      </c>
      <c r="T348" s="24" t="n"/>
      <c r="U348" s="24" t="n"/>
    </row>
    <row r="349">
      <c r="A349" s="2" t="inlineStr">
        <is>
          <t>IND-52</t>
        </is>
      </c>
      <c r="B349" s="2" t="n">
        <v>21</v>
      </c>
      <c r="C349" s="2" t="inlineStr">
        <is>
          <t>IMP00283</t>
        </is>
      </c>
      <c r="D349" s="2" t="inlineStr">
        <is>
          <t>Carrick Electronics &amp; Sons</t>
        </is>
      </c>
      <c r="E349" s="2" t="n">
        <v>7</v>
      </c>
      <c r="F349" s="27" t="n">
        <v>2406549.68</v>
      </c>
      <c r="G349" s="28" t="n">
        <v>0.009599999999999999</v>
      </c>
      <c r="H349" s="19" t="n">
        <v>0.624</v>
      </c>
      <c r="I349" s="29" t="n">
        <v>0.7143</v>
      </c>
      <c r="J349" s="2" t="inlineStr">
        <is>
          <t>EXP0327</t>
        </is>
      </c>
      <c r="K349" s="2" t="n">
        <v>14</v>
      </c>
      <c r="L349" s="2" t="inlineStr">
        <is>
          <t>BRK014</t>
        </is>
      </c>
      <c r="M349" s="2" t="inlineStr">
        <is>
          <t>PORT1</t>
        </is>
      </c>
      <c r="N349" s="2" t="n">
        <v>0</v>
      </c>
      <c r="O349" s="2" t="n">
        <v>0</v>
      </c>
      <c r="P349" s="2" t="n">
        <v>0</v>
      </c>
      <c r="Q349" s="2" t="n">
        <v>0</v>
      </c>
      <c r="R349" s="30">
        <f>IF(AND($C$5&lt;&gt;"",$A349=$C$5),1,"")</f>
        <v/>
      </c>
      <c r="S349" s="21">
        <f>IF(AND($C$5&lt;&gt;"",$A349=$C$5),SUMIFS($G$8:$G$715,$A$8:$A$715,$C$5,$B$8:$B$715,"&lt;="&amp;$B349),"")</f>
        <v/>
      </c>
      <c r="T349" s="24" t="n"/>
      <c r="U349" s="24" t="n"/>
    </row>
    <row r="350">
      <c r="A350" s="2" t="inlineStr">
        <is>
          <t>IND-52</t>
        </is>
      </c>
      <c r="B350" s="2" t="n">
        <v>22</v>
      </c>
      <c r="C350" s="2" t="inlineStr">
        <is>
          <t>IMP00793</t>
        </is>
      </c>
      <c r="D350" s="2" t="inlineStr">
        <is>
          <t>Lotus Enterprises Ltd</t>
        </is>
      </c>
      <c r="E350" s="2" t="n">
        <v>8</v>
      </c>
      <c r="F350" s="27" t="n">
        <v>2364086.39</v>
      </c>
      <c r="G350" s="28" t="n">
        <v>0.0094</v>
      </c>
      <c r="H350" s="19" t="n">
        <v>0.677</v>
      </c>
      <c r="I350" s="29" t="n">
        <v>0.625</v>
      </c>
      <c r="J350" s="2" t="inlineStr">
        <is>
          <t>EXP0327</t>
        </is>
      </c>
      <c r="K350" s="2" t="n">
        <v>14</v>
      </c>
      <c r="L350" s="2" t="inlineStr">
        <is>
          <t>BRK049</t>
        </is>
      </c>
      <c r="M350" s="2" t="inlineStr">
        <is>
          <t>PORT1</t>
        </is>
      </c>
      <c r="N350" s="2" t="n">
        <v>0</v>
      </c>
      <c r="O350" s="2" t="n">
        <v>0</v>
      </c>
      <c r="P350" s="2" t="n">
        <v>0</v>
      </c>
      <c r="Q350" s="2" t="n">
        <v>0</v>
      </c>
      <c r="R350" s="30">
        <f>IF(AND($C$5&lt;&gt;"",$A350=$C$5),1,"")</f>
        <v/>
      </c>
      <c r="S350" s="21">
        <f>IF(AND($C$5&lt;&gt;"",$A350=$C$5),SUMIFS($G$8:$G$715,$A$8:$A$715,$C$5,$B$8:$B$715,"&lt;="&amp;$B350),"")</f>
        <v/>
      </c>
      <c r="T350" s="24" t="n"/>
      <c r="U350" s="24" t="n"/>
    </row>
    <row r="351">
      <c r="A351" s="2" t="inlineStr">
        <is>
          <t>IND-52</t>
        </is>
      </c>
      <c r="B351" s="2" t="n">
        <v>23</v>
      </c>
      <c r="C351" s="2" t="inlineStr">
        <is>
          <t>IMP00629</t>
        </is>
      </c>
      <c r="D351" s="2" t="inlineStr">
        <is>
          <t>Phoenix Enterprises International Ltd</t>
        </is>
      </c>
      <c r="E351" s="2" t="n">
        <v>4</v>
      </c>
      <c r="F351" s="27" t="n">
        <v>1559907.67</v>
      </c>
      <c r="G351" s="28" t="n">
        <v>0.0062</v>
      </c>
      <c r="H351" s="19" t="n">
        <v>0.5615</v>
      </c>
      <c r="I351" s="29" t="n">
        <v>0.75</v>
      </c>
      <c r="J351" s="2" t="inlineStr">
        <is>
          <t>EXP0440</t>
        </is>
      </c>
      <c r="K351" s="2" t="n">
        <v>9</v>
      </c>
      <c r="L351" s="2" t="inlineStr">
        <is>
          <t>BRK070</t>
        </is>
      </c>
      <c r="M351" s="2" t="inlineStr">
        <is>
          <t>PORT2</t>
        </is>
      </c>
      <c r="N351" s="2" t="n">
        <v>0</v>
      </c>
      <c r="O351" s="2" t="n">
        <v>0</v>
      </c>
      <c r="P351" s="2" t="n">
        <v>0</v>
      </c>
      <c r="Q351" s="2" t="n">
        <v>0</v>
      </c>
      <c r="R351" s="30">
        <f>IF(AND($C$5&lt;&gt;"",$A351=$C$5),1,"")</f>
        <v/>
      </c>
      <c r="S351" s="21">
        <f>IF(AND($C$5&lt;&gt;"",$A351=$C$5),SUMIFS($G$8:$G$715,$A$8:$A$715,$C$5,$B$8:$B$715,"&lt;="&amp;$B351),"")</f>
        <v/>
      </c>
      <c r="T351" s="24" t="n"/>
      <c r="U351" s="24" t="n"/>
    </row>
    <row r="352">
      <c r="A352" s="2" t="inlineStr">
        <is>
          <t>IND-52</t>
        </is>
      </c>
      <c r="B352" s="2" t="n">
        <v>24</v>
      </c>
      <c r="C352" s="2" t="inlineStr">
        <is>
          <t>IMP00178</t>
        </is>
      </c>
      <c r="D352" s="2" t="inlineStr">
        <is>
          <t>Delta Logistics Co., Ltd</t>
        </is>
      </c>
      <c r="E352" s="2" t="n">
        <v>4</v>
      </c>
      <c r="F352" s="27" t="n">
        <v>1494003.12</v>
      </c>
      <c r="G352" s="28" t="n">
        <v>0.006</v>
      </c>
      <c r="H352" s="19" t="n">
        <v>0.536</v>
      </c>
      <c r="I352" s="29" t="n">
        <v>0.75</v>
      </c>
      <c r="J352" s="2" t="inlineStr">
        <is>
          <t>EXP0327</t>
        </is>
      </c>
      <c r="K352" s="2" t="n">
        <v>14</v>
      </c>
      <c r="L352" s="2" t="inlineStr">
        <is>
          <t>BRK014</t>
        </is>
      </c>
      <c r="M352" s="2" t="inlineStr">
        <is>
          <t>LAND2</t>
        </is>
      </c>
      <c r="N352" s="2" t="n">
        <v>0</v>
      </c>
      <c r="O352" s="2" t="n">
        <v>0</v>
      </c>
      <c r="P352" s="2" t="n">
        <v>0</v>
      </c>
      <c r="Q352" s="2" t="n">
        <v>0</v>
      </c>
      <c r="R352" s="30">
        <f>IF(AND($C$5&lt;&gt;"",$A352=$C$5),1,"")</f>
        <v/>
      </c>
      <c r="S352" s="21">
        <f>IF(AND($C$5&lt;&gt;"",$A352=$C$5),SUMIFS($G$8:$G$715,$A$8:$A$715,$C$5,$B$8:$B$715,"&lt;="&amp;$B352),"")</f>
        <v/>
      </c>
      <c r="T352" s="24" t="n"/>
      <c r="U352" s="24" t="n"/>
    </row>
    <row r="353">
      <c r="A353" s="2" t="inlineStr">
        <is>
          <t>IND-52</t>
        </is>
      </c>
      <c r="B353" s="2" t="n">
        <v>25</v>
      </c>
      <c r="C353" s="2" t="inlineStr">
        <is>
          <t>IMP01384</t>
        </is>
      </c>
      <c r="D353" s="2" t="inlineStr">
        <is>
          <t>Horizon Steel Enterprises</t>
        </is>
      </c>
      <c r="E353" s="2" t="n">
        <v>2</v>
      </c>
      <c r="F353" s="27" t="n">
        <v>1237368.97</v>
      </c>
      <c r="G353" s="28" t="n">
        <v>0.0049</v>
      </c>
      <c r="H353" s="19" t="n">
        <v>0.588</v>
      </c>
      <c r="I353" s="29" t="n">
        <v>1</v>
      </c>
      <c r="J353" s="2" t="inlineStr">
        <is>
          <t>EXP0327</t>
        </is>
      </c>
      <c r="K353" s="2" t="n">
        <v>14</v>
      </c>
      <c r="L353" s="2" t="inlineStr">
        <is>
          <t>BRK063</t>
        </is>
      </c>
      <c r="M353" s="2" t="inlineStr">
        <is>
          <t>LAND1</t>
        </is>
      </c>
      <c r="N353" s="2" t="n">
        <v>0</v>
      </c>
      <c r="O353" s="2" t="n">
        <v>1</v>
      </c>
      <c r="P353" s="2" t="n">
        <v>0</v>
      </c>
      <c r="Q353" s="2" t="n">
        <v>0</v>
      </c>
      <c r="R353" s="30">
        <f>IF(AND($C$5&lt;&gt;"",$A353=$C$5),1,"")</f>
        <v/>
      </c>
      <c r="S353" s="21">
        <f>IF(AND($C$5&lt;&gt;"",$A353=$C$5),SUMIFS($G$8:$G$715,$A$8:$A$715,$C$5,$B$8:$B$715,"&lt;="&amp;$B353),"")</f>
        <v/>
      </c>
      <c r="T353" s="24" t="n"/>
      <c r="U353" s="24" t="n"/>
    </row>
    <row r="354">
      <c r="A354" s="2" t="inlineStr">
        <is>
          <t>IND-52</t>
        </is>
      </c>
      <c r="B354" s="2" t="n">
        <v>26</v>
      </c>
      <c r="C354" s="2" t="inlineStr">
        <is>
          <t>IMP01083</t>
        </is>
      </c>
      <c r="D354" s="2" t="inlineStr">
        <is>
          <t>Cobalt Motors Co.</t>
        </is>
      </c>
      <c r="E354" s="2" t="n">
        <v>2</v>
      </c>
      <c r="F354" s="27" t="n">
        <v>1194909.32</v>
      </c>
      <c r="G354" s="28" t="n">
        <v>0.0048</v>
      </c>
      <c r="H354" s="19" t="n">
        <v>1.4405</v>
      </c>
      <c r="I354" s="29" t="n">
        <v>0</v>
      </c>
      <c r="J354" s="2" t="inlineStr">
        <is>
          <t>EXP0472</t>
        </is>
      </c>
      <c r="K354" s="2" t="n">
        <v>8</v>
      </c>
      <c r="L354" s="2" t="inlineStr">
        <is>
          <t>BRK009</t>
        </is>
      </c>
      <c r="M354" s="2" t="inlineStr">
        <is>
          <t>LAND1</t>
        </is>
      </c>
      <c r="N354" s="2" t="n">
        <v>0</v>
      </c>
      <c r="O354" s="2" t="n">
        <v>0</v>
      </c>
      <c r="P354" s="2" t="n">
        <v>0</v>
      </c>
      <c r="Q354" s="2" t="n">
        <v>0</v>
      </c>
      <c r="R354" s="30">
        <f>IF(AND($C$5&lt;&gt;"",$A354=$C$5),1,"")</f>
        <v/>
      </c>
      <c r="S354" s="21">
        <f>IF(AND($C$5&lt;&gt;"",$A354=$C$5),SUMIFS($G$8:$G$715,$A$8:$A$715,$C$5,$B$8:$B$715,"&lt;="&amp;$B354),"")</f>
        <v/>
      </c>
      <c r="T354" s="24" t="n"/>
      <c r="U354" s="24" t="n"/>
    </row>
    <row r="355">
      <c r="A355" s="2" t="inlineStr">
        <is>
          <t>IND-52</t>
        </is>
      </c>
      <c r="B355" s="2" t="n">
        <v>27</v>
      </c>
      <c r="C355" s="2" t="inlineStr">
        <is>
          <t>IMP00868</t>
        </is>
      </c>
      <c r="D355" s="2" t="inlineStr">
        <is>
          <t>Prescott Motors International Ltd</t>
        </is>
      </c>
      <c r="E355" s="2" t="n">
        <v>1</v>
      </c>
      <c r="F355" s="27" t="n">
        <v>772408.0600000001</v>
      </c>
      <c r="G355" s="28" t="n">
        <v>0.0031</v>
      </c>
      <c r="H355" s="19" t="n">
        <v>1.089</v>
      </c>
      <c r="I355" s="29" t="n">
        <v>0</v>
      </c>
      <c r="J355" s="2" t="inlineStr">
        <is>
          <t>EXP0588</t>
        </is>
      </c>
      <c r="K355" s="2" t="n">
        <v>1</v>
      </c>
      <c r="L355" s="2" t="inlineStr">
        <is>
          <t>BRK068</t>
        </is>
      </c>
      <c r="M355" s="2" t="inlineStr">
        <is>
          <t>PORT2</t>
        </is>
      </c>
      <c r="N355" s="2" t="n">
        <v>0</v>
      </c>
      <c r="O355" s="2" t="n">
        <v>0</v>
      </c>
      <c r="P355" s="2" t="n">
        <v>0</v>
      </c>
      <c r="Q355" s="2" t="n">
        <v>0</v>
      </c>
      <c r="R355" s="30">
        <f>IF(AND($C$5&lt;&gt;"",$A355=$C$5),1,"")</f>
        <v/>
      </c>
      <c r="S355" s="21">
        <f>IF(AND($C$5&lt;&gt;"",$A355=$C$5),SUMIFS($G$8:$G$715,$A$8:$A$715,$C$5,$B$8:$B$715,"&lt;="&amp;$B355),"")</f>
        <v/>
      </c>
      <c r="T355" s="24" t="n"/>
      <c r="U355" s="24" t="n"/>
    </row>
    <row r="356">
      <c r="A356" s="2" t="inlineStr">
        <is>
          <t>IND-52</t>
        </is>
      </c>
      <c r="B356" s="2" t="n">
        <v>28</v>
      </c>
      <c r="C356" s="2" t="inlineStr">
        <is>
          <t>IMP00473</t>
        </is>
      </c>
      <c r="D356" s="2" t="inlineStr">
        <is>
          <t>Pacific Electronics Ltd</t>
        </is>
      </c>
      <c r="E356" s="2" t="n">
        <v>2</v>
      </c>
      <c r="F356" s="27" t="n">
        <v>487936.58</v>
      </c>
      <c r="G356" s="28" t="n">
        <v>0.002</v>
      </c>
      <c r="H356" s="19" t="n">
        <v>0.914</v>
      </c>
      <c r="I356" s="29" t="n">
        <v>0</v>
      </c>
      <c r="J356" s="2" t="inlineStr">
        <is>
          <t>EXP0440</t>
        </is>
      </c>
      <c r="K356" s="2" t="n">
        <v>9</v>
      </c>
      <c r="L356" s="2" t="inlineStr">
        <is>
          <t>BRK003</t>
        </is>
      </c>
      <c r="M356" s="2" t="inlineStr">
        <is>
          <t>LAND7</t>
        </is>
      </c>
      <c r="N356" s="2" t="n">
        <v>0</v>
      </c>
      <c r="O356" s="2" t="n">
        <v>0</v>
      </c>
      <c r="P356" s="2" t="n">
        <v>0</v>
      </c>
      <c r="Q356" s="2" t="n">
        <v>0</v>
      </c>
      <c r="R356" s="30">
        <f>IF(AND($C$5&lt;&gt;"",$A356=$C$5),1,"")</f>
        <v/>
      </c>
      <c r="S356" s="21">
        <f>IF(AND($C$5&lt;&gt;"",$A356=$C$5),SUMIFS($G$8:$G$715,$A$8:$A$715,$C$5,$B$8:$B$715,"&lt;="&amp;$B356),"")</f>
        <v/>
      </c>
      <c r="T356" s="24" t="n"/>
      <c r="U356" s="24" t="n"/>
    </row>
    <row r="357">
      <c r="A357" s="2" t="inlineStr">
        <is>
          <t>IND-52</t>
        </is>
      </c>
      <c r="B357" s="2" t="n">
        <v>29</v>
      </c>
      <c r="C357" s="2" t="inlineStr">
        <is>
          <t>IMP00082</t>
        </is>
      </c>
      <c r="D357" s="2" t="inlineStr">
        <is>
          <t>Harmony Textiles &amp; Sons</t>
        </is>
      </c>
      <c r="E357" s="2" t="n">
        <v>1</v>
      </c>
      <c r="F357" s="27" t="n">
        <v>481358.39</v>
      </c>
      <c r="G357" s="28" t="n">
        <v>0.0019</v>
      </c>
      <c r="H357" s="19" t="n">
        <v>0.882</v>
      </c>
      <c r="I357" s="29" t="n">
        <v>0</v>
      </c>
      <c r="J357" s="2" t="inlineStr">
        <is>
          <t>EXP0327</t>
        </is>
      </c>
      <c r="K357" s="2" t="n">
        <v>14</v>
      </c>
      <c r="L357" s="2" t="inlineStr">
        <is>
          <t>BRK014</t>
        </is>
      </c>
      <c r="M357" s="2" t="inlineStr">
        <is>
          <t>PORT3</t>
        </is>
      </c>
      <c r="N357" s="2" t="n">
        <v>0</v>
      </c>
      <c r="O357" s="2" t="n">
        <v>0</v>
      </c>
      <c r="P357" s="2" t="n">
        <v>0</v>
      </c>
      <c r="Q357" s="2" t="n">
        <v>0</v>
      </c>
      <c r="R357" s="30">
        <f>IF(AND($C$5&lt;&gt;"",$A357=$C$5),1,"")</f>
        <v/>
      </c>
      <c r="S357" s="21">
        <f>IF(AND($C$5&lt;&gt;"",$A357=$C$5),SUMIFS($G$8:$G$715,$A$8:$A$715,$C$5,$B$8:$B$715,"&lt;="&amp;$B357),"")</f>
        <v/>
      </c>
      <c r="T357" s="24" t="n"/>
      <c r="U357" s="24" t="n"/>
    </row>
    <row r="358">
      <c r="A358" s="2" t="inlineStr">
        <is>
          <t>IND-52</t>
        </is>
      </c>
      <c r="B358" s="2" t="n">
        <v>30</v>
      </c>
      <c r="C358" s="2" t="inlineStr">
        <is>
          <t>IMP00478</t>
        </is>
      </c>
      <c r="D358" s="2" t="inlineStr">
        <is>
          <t>Pacific Pack Group Ltd</t>
        </is>
      </c>
      <c r="E358" s="2" t="n">
        <v>1</v>
      </c>
      <c r="F358" s="27" t="n">
        <v>474153.83</v>
      </c>
      <c r="G358" s="28" t="n">
        <v>0.0019</v>
      </c>
      <c r="H358" s="19" t="n">
        <v>0.542</v>
      </c>
      <c r="I358" s="29" t="n">
        <v>1</v>
      </c>
      <c r="J358" s="2" t="inlineStr">
        <is>
          <t>EXP0327</t>
        </is>
      </c>
      <c r="K358" s="2" t="n">
        <v>14</v>
      </c>
      <c r="L358" s="2" t="inlineStr">
        <is>
          <t>BRK060</t>
        </is>
      </c>
      <c r="M358" s="2" t="inlineStr">
        <is>
          <t>AIR1</t>
        </is>
      </c>
      <c r="N358" s="2" t="n">
        <v>0</v>
      </c>
      <c r="O358" s="2" t="n">
        <v>0</v>
      </c>
      <c r="P358" s="2" t="n">
        <v>0</v>
      </c>
      <c r="Q358" s="2" t="n">
        <v>0</v>
      </c>
      <c r="R358" s="30">
        <f>IF(AND($C$5&lt;&gt;"",$A358=$C$5),1,"")</f>
        <v/>
      </c>
      <c r="S358" s="21">
        <f>IF(AND($C$5&lt;&gt;"",$A358=$C$5),SUMIFS($G$8:$G$715,$A$8:$A$715,$C$5,$B$8:$B$715,"&lt;="&amp;$B358),"")</f>
        <v/>
      </c>
      <c r="T358" s="24" t="n"/>
      <c r="U358" s="24" t="n"/>
    </row>
    <row r="359">
      <c r="A359" s="2" t="inlineStr">
        <is>
          <t>IND-52</t>
        </is>
      </c>
      <c r="B359" s="2" t="n">
        <v>31</v>
      </c>
      <c r="C359" s="2" t="inlineStr">
        <is>
          <t>IMP00290</t>
        </is>
      </c>
      <c r="D359" s="2" t="inlineStr">
        <is>
          <t>Carrick Motors &amp; Sons</t>
        </is>
      </c>
      <c r="E359" s="2" t="n">
        <v>1</v>
      </c>
      <c r="F359" s="27" t="n">
        <v>282537.29</v>
      </c>
      <c r="G359" s="28" t="n">
        <v>0.0011</v>
      </c>
      <c r="H359" s="19" t="n">
        <v>0.949</v>
      </c>
      <c r="I359" s="29" t="n">
        <v>0</v>
      </c>
      <c r="J359" s="2" t="inlineStr">
        <is>
          <t>EXP0440</t>
        </is>
      </c>
      <c r="K359" s="2" t="n">
        <v>9</v>
      </c>
      <c r="L359" s="2" t="inlineStr">
        <is>
          <t>BRK008</t>
        </is>
      </c>
      <c r="M359" s="2" t="inlineStr">
        <is>
          <t>LAND7</t>
        </is>
      </c>
      <c r="N359" s="2" t="n">
        <v>0</v>
      </c>
      <c r="O359" s="2" t="n">
        <v>0</v>
      </c>
      <c r="P359" s="2" t="n">
        <v>0</v>
      </c>
      <c r="Q359" s="2" t="n">
        <v>0</v>
      </c>
      <c r="R359" s="30">
        <f>IF(AND($C$5&lt;&gt;"",$A359=$C$5),1,"")</f>
        <v/>
      </c>
      <c r="S359" s="21">
        <f>IF(AND($C$5&lt;&gt;"",$A359=$C$5),SUMIFS($G$8:$G$715,$A$8:$A$715,$C$5,$B$8:$B$715,"&lt;="&amp;$B359),"")</f>
        <v/>
      </c>
      <c r="T359" s="24" t="n"/>
      <c r="U359" s="24" t="n"/>
    </row>
    <row r="360">
      <c r="A360" s="2" t="inlineStr">
        <is>
          <t>IND-52</t>
        </is>
      </c>
      <c r="B360" s="2" t="n">
        <v>32</v>
      </c>
      <c r="C360" s="2" t="inlineStr">
        <is>
          <t>IMP01287</t>
        </is>
      </c>
      <c r="D360" s="2" t="inlineStr">
        <is>
          <t>Inverness Fruits Group Ltd</t>
        </is>
      </c>
      <c r="E360" s="2" t="n">
        <v>1</v>
      </c>
      <c r="F360" s="27" t="n">
        <v>170698.67</v>
      </c>
      <c r="G360" s="28" t="n">
        <v>0.0007</v>
      </c>
      <c r="H360" s="19" t="n">
        <v>0.587</v>
      </c>
      <c r="I360" s="29" t="n">
        <v>1</v>
      </c>
      <c r="J360" s="2" t="inlineStr">
        <is>
          <t>EXP0472</t>
        </is>
      </c>
      <c r="K360" s="2" t="n">
        <v>8</v>
      </c>
      <c r="L360" s="2" t="inlineStr">
        <is>
          <t>BRK018</t>
        </is>
      </c>
      <c r="M360" s="2" t="inlineStr">
        <is>
          <t>PORT1</t>
        </is>
      </c>
      <c r="N360" s="2" t="n">
        <v>0</v>
      </c>
      <c r="O360" s="2" t="n">
        <v>0</v>
      </c>
      <c r="P360" s="2" t="n">
        <v>0</v>
      </c>
      <c r="Q360" s="2" t="n">
        <v>0</v>
      </c>
      <c r="R360" s="30">
        <f>IF(AND($C$5&lt;&gt;"",$A360=$C$5),1,"")</f>
        <v/>
      </c>
      <c r="S360" s="21">
        <f>IF(AND($C$5&lt;&gt;"",$A360=$C$5),SUMIFS($G$8:$G$715,$A$8:$A$715,$C$5,$B$8:$B$715,"&lt;="&amp;$B360),"")</f>
        <v/>
      </c>
      <c r="T360" s="24" t="n"/>
      <c r="U360" s="24" t="n"/>
    </row>
    <row r="361">
      <c r="A361" s="2" t="inlineStr">
        <is>
          <t>IND-61</t>
        </is>
      </c>
      <c r="B361" s="2" t="n">
        <v>1</v>
      </c>
      <c r="C361" s="2" t="inlineStr">
        <is>
          <t>IMP00753</t>
        </is>
      </c>
      <c r="D361" s="2" t="inlineStr">
        <is>
          <t>Phoenix Glow Limited</t>
        </is>
      </c>
      <c r="E361" s="2" t="n">
        <v>69</v>
      </c>
      <c r="F361" s="27" t="n">
        <v>30697574.03</v>
      </c>
      <c r="G361" s="28" t="n">
        <v>0.1641</v>
      </c>
      <c r="H361" s="19" t="n">
        <v>0.506</v>
      </c>
      <c r="I361" s="29" t="n">
        <v>0.913</v>
      </c>
      <c r="J361" s="2" t="inlineStr">
        <is>
          <t>EXP0472</t>
        </is>
      </c>
      <c r="K361" s="2" t="n">
        <v>8</v>
      </c>
      <c r="L361" s="2" t="inlineStr">
        <is>
          <t>BRK017</t>
        </is>
      </c>
      <c r="M361" s="2" t="inlineStr">
        <is>
          <t>AIR1</t>
        </is>
      </c>
      <c r="N361" s="2" t="n">
        <v>0</v>
      </c>
      <c r="O361" s="2" t="n">
        <v>0</v>
      </c>
      <c r="P361" s="2" t="n">
        <v>0</v>
      </c>
      <c r="Q361" s="2" t="n">
        <v>1</v>
      </c>
      <c r="R361" s="30">
        <f>IF(AND($C$5&lt;&gt;"",$A361=$C$5),1,"")</f>
        <v/>
      </c>
      <c r="S361" s="21">
        <f>IF(AND($C$5&lt;&gt;"",$A361=$C$5),SUMIFS($G$8:$G$715,$A$8:$A$715,$C$5,$B$8:$B$715,"&lt;="&amp;$B361),"")</f>
        <v/>
      </c>
      <c r="T361" s="24" t="n"/>
      <c r="U361" s="24" t="n"/>
    </row>
    <row r="362">
      <c r="A362" s="2" t="inlineStr">
        <is>
          <t>IND-61</t>
        </is>
      </c>
      <c r="B362" s="2" t="n">
        <v>2</v>
      </c>
      <c r="C362" s="2" t="inlineStr">
        <is>
          <t>IMP00679</t>
        </is>
      </c>
      <c r="D362" s="2" t="inlineStr">
        <is>
          <t>Coral Pack Group Ltd</t>
        </is>
      </c>
      <c r="E362" s="2" t="n">
        <v>60</v>
      </c>
      <c r="F362" s="27" t="n">
        <v>29250777.82</v>
      </c>
      <c r="G362" s="28" t="n">
        <v>0.1564</v>
      </c>
      <c r="H362" s="19" t="n">
        <v>0.5415</v>
      </c>
      <c r="I362" s="29" t="n">
        <v>0.85</v>
      </c>
      <c r="J362" s="2" t="inlineStr">
        <is>
          <t>EXP0327</t>
        </is>
      </c>
      <c r="K362" s="2" t="n">
        <v>15</v>
      </c>
      <c r="L362" s="2" t="inlineStr">
        <is>
          <t>BRK011</t>
        </is>
      </c>
      <c r="M362" s="2" t="inlineStr">
        <is>
          <t>PORT3</t>
        </is>
      </c>
      <c r="N362" s="2" t="n">
        <v>0</v>
      </c>
      <c r="O362" s="2" t="n">
        <v>0</v>
      </c>
      <c r="P362" s="2" t="n">
        <v>0</v>
      </c>
      <c r="Q362" s="2" t="n">
        <v>0</v>
      </c>
      <c r="R362" s="30">
        <f>IF(AND($C$5&lt;&gt;"",$A362=$C$5),1,"")</f>
        <v/>
      </c>
      <c r="S362" s="21">
        <f>IF(AND($C$5&lt;&gt;"",$A362=$C$5),SUMIFS($G$8:$G$715,$A$8:$A$715,$C$5,$B$8:$B$715,"&lt;="&amp;$B362),"")</f>
        <v/>
      </c>
      <c r="T362" s="24" t="n"/>
      <c r="U362" s="24" t="n"/>
    </row>
    <row r="363">
      <c r="A363" s="2" t="inlineStr">
        <is>
          <t>IND-61</t>
        </is>
      </c>
      <c r="B363" s="2" t="n">
        <v>3</v>
      </c>
      <c r="C363" s="2" t="inlineStr">
        <is>
          <t>IMP00660</t>
        </is>
      </c>
      <c r="D363" s="2" t="inlineStr">
        <is>
          <t>Aldergate Fruits International Ltd</t>
        </is>
      </c>
      <c r="E363" s="2" t="n">
        <v>48</v>
      </c>
      <c r="F363" s="27" t="n">
        <v>25085639.3</v>
      </c>
      <c r="G363" s="28" t="n">
        <v>0.1341</v>
      </c>
      <c r="H363" s="19" t="n">
        <v>0.522</v>
      </c>
      <c r="I363" s="29" t="n">
        <v>0.8542</v>
      </c>
      <c r="J363" s="2" t="inlineStr">
        <is>
          <t>EXP0472</t>
        </is>
      </c>
      <c r="K363" s="2" t="n">
        <v>8</v>
      </c>
      <c r="L363" s="2" t="inlineStr">
        <is>
          <t>BRK075</t>
        </is>
      </c>
      <c r="M363" s="2" t="inlineStr">
        <is>
          <t>AIR2</t>
        </is>
      </c>
      <c r="N363" s="2" t="n">
        <v>0</v>
      </c>
      <c r="O363" s="2" t="n">
        <v>0</v>
      </c>
      <c r="P363" s="2" t="n">
        <v>0</v>
      </c>
      <c r="Q363" s="2" t="n">
        <v>0</v>
      </c>
      <c r="R363" s="30">
        <f>IF(AND($C$5&lt;&gt;"",$A363=$C$5),1,"")</f>
        <v/>
      </c>
      <c r="S363" s="21">
        <f>IF(AND($C$5&lt;&gt;"",$A363=$C$5),SUMIFS($G$8:$G$715,$A$8:$A$715,$C$5,$B$8:$B$715,"&lt;="&amp;$B363),"")</f>
        <v/>
      </c>
      <c r="T363" s="24" t="n"/>
      <c r="U363" s="24" t="n"/>
    </row>
    <row r="364">
      <c r="A364" s="2" t="inlineStr">
        <is>
          <t>IND-61</t>
        </is>
      </c>
      <c r="B364" s="2" t="n">
        <v>4</v>
      </c>
      <c r="C364" s="2" t="inlineStr">
        <is>
          <t>IMP00141</t>
        </is>
      </c>
      <c r="D364" s="2" t="inlineStr">
        <is>
          <t>Global Fruits Limited</t>
        </is>
      </c>
      <c r="E364" s="2" t="n">
        <v>17</v>
      </c>
      <c r="F364" s="27" t="n">
        <v>10634998.76</v>
      </c>
      <c r="G364" s="28" t="n">
        <v>0.0569</v>
      </c>
      <c r="H364" s="19" t="n">
        <v>0.99</v>
      </c>
      <c r="I364" s="29" t="n">
        <v>0.0588</v>
      </c>
      <c r="J364" s="2" t="inlineStr">
        <is>
          <t>EXP0379</t>
        </is>
      </c>
      <c r="K364" s="2" t="n">
        <v>2</v>
      </c>
      <c r="L364" s="2" t="inlineStr">
        <is>
          <t>BRK078</t>
        </is>
      </c>
      <c r="M364" s="2" t="inlineStr">
        <is>
          <t>PORT3</t>
        </is>
      </c>
      <c r="N364" s="2" t="n">
        <v>0</v>
      </c>
      <c r="O364" s="2" t="n">
        <v>0</v>
      </c>
      <c r="P364" s="2" t="n">
        <v>0</v>
      </c>
      <c r="Q364" s="2" t="n">
        <v>0</v>
      </c>
      <c r="R364" s="30">
        <f>IF(AND($C$5&lt;&gt;"",$A364=$C$5),1,"")</f>
        <v/>
      </c>
      <c r="S364" s="21">
        <f>IF(AND($C$5&lt;&gt;"",$A364=$C$5),SUMIFS($G$8:$G$715,$A$8:$A$715,$C$5,$B$8:$B$715,"&lt;="&amp;$B364),"")</f>
        <v/>
      </c>
      <c r="T364" s="24" t="n"/>
      <c r="U364" s="24" t="n"/>
    </row>
    <row r="365">
      <c r="A365" s="2" t="inlineStr">
        <is>
          <t>IND-61</t>
        </is>
      </c>
      <c r="B365" s="2" t="n">
        <v>5</v>
      </c>
      <c r="C365" s="2" t="inlineStr">
        <is>
          <t>IMP01024</t>
        </is>
      </c>
      <c r="D365" s="2" t="inlineStr">
        <is>
          <t>Aldergate Living Co., Ltd</t>
        </is>
      </c>
      <c r="E365" s="2" t="n">
        <v>13</v>
      </c>
      <c r="F365" s="27" t="n">
        <v>6996628.93</v>
      </c>
      <c r="G365" s="28" t="n">
        <v>0.0374</v>
      </c>
      <c r="H365" s="19" t="n">
        <v>0.54</v>
      </c>
      <c r="I365" s="29" t="n">
        <v>0.8462</v>
      </c>
      <c r="J365" s="2" t="inlineStr">
        <is>
          <t>EXP0327</t>
        </is>
      </c>
      <c r="K365" s="2" t="n">
        <v>15</v>
      </c>
      <c r="L365" s="2" t="inlineStr">
        <is>
          <t>BRK020</t>
        </is>
      </c>
      <c r="M365" s="2" t="inlineStr">
        <is>
          <t>AIR1</t>
        </is>
      </c>
      <c r="N365" s="2" t="n">
        <v>0</v>
      </c>
      <c r="O365" s="2" t="n">
        <v>0</v>
      </c>
      <c r="P365" s="2" t="n">
        <v>0</v>
      </c>
      <c r="Q365" s="2" t="n">
        <v>0</v>
      </c>
      <c r="R365" s="30">
        <f>IF(AND($C$5&lt;&gt;"",$A365=$C$5),1,"")</f>
        <v/>
      </c>
      <c r="S365" s="21">
        <f>IF(AND($C$5&lt;&gt;"",$A365=$C$5),SUMIFS($G$8:$G$715,$A$8:$A$715,$C$5,$B$8:$B$715,"&lt;="&amp;$B365),"")</f>
        <v/>
      </c>
      <c r="T365" s="24" t="n"/>
      <c r="U365" s="24" t="n"/>
    </row>
    <row r="366">
      <c r="A366" s="2" t="inlineStr">
        <is>
          <t>IND-61</t>
        </is>
      </c>
      <c r="B366" s="2" t="n">
        <v>6</v>
      </c>
      <c r="C366" s="2" t="inlineStr">
        <is>
          <t>IMP00501</t>
        </is>
      </c>
      <c r="D366" s="2" t="inlineStr">
        <is>
          <t>Arden Electronics Co., Ltd</t>
        </is>
      </c>
      <c r="E366" s="2" t="n">
        <v>1</v>
      </c>
      <c r="F366" s="27" t="n">
        <v>6778523.45</v>
      </c>
      <c r="G366" s="28" t="n">
        <v>0.0362</v>
      </c>
      <c r="H366" s="19" t="n">
        <v>2.452</v>
      </c>
      <c r="I366" s="29" t="n">
        <v>0</v>
      </c>
      <c r="J366" s="2" t="inlineStr">
        <is>
          <t>EXP0186</t>
        </is>
      </c>
      <c r="K366" s="2" t="n">
        <v>1</v>
      </c>
      <c r="L366" s="2" t="inlineStr">
        <is>
          <t>BRK016</t>
        </is>
      </c>
      <c r="M366" s="2" t="inlineStr">
        <is>
          <t>LAND4</t>
        </is>
      </c>
      <c r="N366" s="2" t="n">
        <v>0</v>
      </c>
      <c r="O366" s="2" t="n">
        <v>0</v>
      </c>
      <c r="P366" s="2" t="n">
        <v>0</v>
      </c>
      <c r="Q366" s="2" t="n">
        <v>0</v>
      </c>
      <c r="R366" s="30">
        <f>IF(AND($C$5&lt;&gt;"",$A366=$C$5),1,"")</f>
        <v/>
      </c>
      <c r="S366" s="21">
        <f>IF(AND($C$5&lt;&gt;"",$A366=$C$5),SUMIFS($G$8:$G$715,$A$8:$A$715,$C$5,$B$8:$B$715,"&lt;="&amp;$B366),"")</f>
        <v/>
      </c>
      <c r="T366" s="24" t="n"/>
      <c r="U366" s="24" t="n"/>
    </row>
    <row r="367">
      <c r="A367" s="2" t="inlineStr">
        <is>
          <t>IND-61</t>
        </is>
      </c>
      <c r="B367" s="2" t="n">
        <v>7</v>
      </c>
      <c r="C367" s="2" t="inlineStr">
        <is>
          <t>IMP01277</t>
        </is>
      </c>
      <c r="D367" s="2" t="inlineStr">
        <is>
          <t>Ashcombe Agro Group Ltd</t>
        </is>
      </c>
      <c r="E367" s="2" t="n">
        <v>13</v>
      </c>
      <c r="F367" s="27" t="n">
        <v>6595127.47</v>
      </c>
      <c r="G367" s="28" t="n">
        <v>0.0353</v>
      </c>
      <c r="H367" s="19" t="n">
        <v>0.5570000000000001</v>
      </c>
      <c r="I367" s="29" t="n">
        <v>1</v>
      </c>
      <c r="J367" s="2" t="inlineStr">
        <is>
          <t>EXP0440</t>
        </is>
      </c>
      <c r="K367" s="2" t="n">
        <v>9</v>
      </c>
      <c r="L367" s="2" t="inlineStr">
        <is>
          <t>BRK055</t>
        </is>
      </c>
      <c r="M367" s="2" t="inlineStr">
        <is>
          <t>PORT2</t>
        </is>
      </c>
      <c r="N367" s="2" t="n">
        <v>0</v>
      </c>
      <c r="O367" s="2" t="n">
        <v>0</v>
      </c>
      <c r="P367" s="2" t="n">
        <v>0</v>
      </c>
      <c r="Q367" s="2" t="n">
        <v>0</v>
      </c>
      <c r="R367" s="30">
        <f>IF(AND($C$5&lt;&gt;"",$A367=$C$5),1,"")</f>
        <v/>
      </c>
      <c r="S367" s="21">
        <f>IF(AND($C$5&lt;&gt;"",$A367=$C$5),SUMIFS($G$8:$G$715,$A$8:$A$715,$C$5,$B$8:$B$715,"&lt;="&amp;$B367),"")</f>
        <v/>
      </c>
      <c r="T367" s="24" t="n"/>
      <c r="U367" s="24" t="n"/>
    </row>
    <row r="368">
      <c r="A368" s="2" t="inlineStr">
        <is>
          <t>IND-61</t>
        </is>
      </c>
      <c r="B368" s="2" t="n">
        <v>8</v>
      </c>
      <c r="C368" s="2" t="inlineStr">
        <is>
          <t>IMP00273</t>
        </is>
      </c>
      <c r="D368" s="2" t="inlineStr">
        <is>
          <t>Dunmore Steel Holdings Ltd</t>
        </is>
      </c>
      <c r="E368" s="2" t="n">
        <v>13</v>
      </c>
      <c r="F368" s="27" t="n">
        <v>6541873.69</v>
      </c>
      <c r="G368" s="28" t="n">
        <v>0.035</v>
      </c>
      <c r="H368" s="19" t="n">
        <v>0.526</v>
      </c>
      <c r="I368" s="29" t="n">
        <v>0.8462</v>
      </c>
      <c r="J368" s="2" t="inlineStr">
        <is>
          <t>EXP0472</t>
        </is>
      </c>
      <c r="K368" s="2" t="n">
        <v>8</v>
      </c>
      <c r="L368" s="2" t="inlineStr">
        <is>
          <t>BRK014</t>
        </is>
      </c>
      <c r="M368" s="2" t="inlineStr">
        <is>
          <t>AIR1</t>
        </is>
      </c>
      <c r="N368" s="2" t="n">
        <v>0</v>
      </c>
      <c r="O368" s="2" t="n">
        <v>0</v>
      </c>
      <c r="P368" s="2" t="n">
        <v>0</v>
      </c>
      <c r="Q368" s="2" t="n">
        <v>1</v>
      </c>
      <c r="R368" s="30">
        <f>IF(AND($C$5&lt;&gt;"",$A368=$C$5),1,"")</f>
        <v/>
      </c>
      <c r="S368" s="21">
        <f>IF(AND($C$5&lt;&gt;"",$A368=$C$5),SUMIFS($G$8:$G$715,$A$8:$A$715,$C$5,$B$8:$B$715,"&lt;="&amp;$B368),"")</f>
        <v/>
      </c>
      <c r="T368" s="24" t="n"/>
      <c r="U368" s="24" t="n"/>
    </row>
    <row r="369">
      <c r="A369" s="2" t="inlineStr">
        <is>
          <t>IND-61</t>
        </is>
      </c>
      <c r="B369" s="2" t="n">
        <v>9</v>
      </c>
      <c r="C369" s="2" t="inlineStr">
        <is>
          <t>IMP00823</t>
        </is>
      </c>
      <c r="D369" s="2" t="inlineStr">
        <is>
          <t>Lotus Living Partners Ltd</t>
        </is>
      </c>
      <c r="E369" s="2" t="n">
        <v>6</v>
      </c>
      <c r="F369" s="27" t="n">
        <v>6275742.54</v>
      </c>
      <c r="G369" s="28" t="n">
        <v>0.0335</v>
      </c>
      <c r="H369" s="19" t="n">
        <v>0.519</v>
      </c>
      <c r="I369" s="29" t="n">
        <v>0.8333</v>
      </c>
      <c r="J369" s="2" t="inlineStr">
        <is>
          <t>EXP0327</t>
        </is>
      </c>
      <c r="K369" s="2" t="n">
        <v>15</v>
      </c>
      <c r="L369" s="2" t="inlineStr">
        <is>
          <t>BRK080</t>
        </is>
      </c>
      <c r="M369" s="2" t="inlineStr">
        <is>
          <t>AIR1</t>
        </is>
      </c>
      <c r="N369" s="2" t="n">
        <v>0</v>
      </c>
      <c r="O369" s="2" t="n">
        <v>0</v>
      </c>
      <c r="P369" s="2" t="n">
        <v>0</v>
      </c>
      <c r="Q369" s="2" t="n">
        <v>0</v>
      </c>
      <c r="R369" s="30">
        <f>IF(AND($C$5&lt;&gt;"",$A369=$C$5),1,"")</f>
        <v/>
      </c>
      <c r="S369" s="21">
        <f>IF(AND($C$5&lt;&gt;"",$A369=$C$5),SUMIFS($G$8:$G$715,$A$8:$A$715,$C$5,$B$8:$B$715,"&lt;="&amp;$B369),"")</f>
        <v/>
      </c>
      <c r="T369" s="24" t="n"/>
      <c r="U369" s="24" t="n"/>
    </row>
    <row r="370">
      <c r="A370" s="2" t="inlineStr">
        <is>
          <t>IND-61</t>
        </is>
      </c>
      <c r="B370" s="2" t="n">
        <v>10</v>
      </c>
      <c r="C370" s="2" t="inlineStr">
        <is>
          <t>IMP01494</t>
        </is>
      </c>
      <c r="D370" s="2" t="inlineStr">
        <is>
          <t>Harmony Medical Co., Ltd</t>
        </is>
      </c>
      <c r="E370" s="2" t="n">
        <v>12</v>
      </c>
      <c r="F370" s="27" t="n">
        <v>6114942.5</v>
      </c>
      <c r="G370" s="28" t="n">
        <v>0.0327</v>
      </c>
      <c r="H370" s="19" t="n">
        <v>0.5495</v>
      </c>
      <c r="I370" s="29" t="n">
        <v>0.9167</v>
      </c>
      <c r="J370" s="2" t="inlineStr">
        <is>
          <t>EXP0472</t>
        </is>
      </c>
      <c r="K370" s="2" t="n">
        <v>8</v>
      </c>
      <c r="L370" s="2" t="inlineStr">
        <is>
          <t>BRK065</t>
        </is>
      </c>
      <c r="M370" s="2" t="inlineStr">
        <is>
          <t>LAND3</t>
        </is>
      </c>
      <c r="N370" s="2" t="n">
        <v>0</v>
      </c>
      <c r="O370" s="2" t="n">
        <v>0</v>
      </c>
      <c r="P370" s="2" t="n">
        <v>0</v>
      </c>
      <c r="Q370" s="2" t="n">
        <v>0</v>
      </c>
      <c r="R370" s="30">
        <f>IF(AND($C$5&lt;&gt;"",$A370=$C$5),1,"")</f>
        <v/>
      </c>
      <c r="S370" s="21">
        <f>IF(AND($C$5&lt;&gt;"",$A370=$C$5),SUMIFS($G$8:$G$715,$A$8:$A$715,$C$5,$B$8:$B$715,"&lt;="&amp;$B370),"")</f>
        <v/>
      </c>
      <c r="T370" s="24" t="n"/>
      <c r="U370" s="24" t="n"/>
    </row>
    <row r="371">
      <c r="A371" s="2" t="inlineStr">
        <is>
          <t>IND-61</t>
        </is>
      </c>
      <c r="B371" s="2" t="n">
        <v>11</v>
      </c>
      <c r="C371" s="2" t="inlineStr">
        <is>
          <t>IMP00453</t>
        </is>
      </c>
      <c r="D371" s="2" t="inlineStr">
        <is>
          <t>Sunrise Steel &amp; Sons</t>
        </is>
      </c>
      <c r="E371" s="2" t="n">
        <v>15</v>
      </c>
      <c r="F371" s="27" t="n">
        <v>5887666.9</v>
      </c>
      <c r="G371" s="28" t="n">
        <v>0.0315</v>
      </c>
      <c r="H371" s="19" t="n">
        <v>0.508</v>
      </c>
      <c r="I371" s="29" t="n">
        <v>0.9333</v>
      </c>
      <c r="J371" s="2" t="inlineStr">
        <is>
          <t>EXP0472</t>
        </is>
      </c>
      <c r="K371" s="2" t="n">
        <v>8</v>
      </c>
      <c r="L371" s="2" t="inlineStr">
        <is>
          <t>BRK047</t>
        </is>
      </c>
      <c r="M371" s="2" t="inlineStr">
        <is>
          <t>LAND1</t>
        </is>
      </c>
      <c r="N371" s="2" t="n">
        <v>0</v>
      </c>
      <c r="O371" s="2" t="n">
        <v>0</v>
      </c>
      <c r="P371" s="2" t="n">
        <v>0</v>
      </c>
      <c r="Q371" s="2" t="n">
        <v>0</v>
      </c>
      <c r="R371" s="30">
        <f>IF(AND($C$5&lt;&gt;"",$A371=$C$5),1,"")</f>
        <v/>
      </c>
      <c r="S371" s="21">
        <f>IF(AND($C$5&lt;&gt;"",$A371=$C$5),SUMIFS($G$8:$G$715,$A$8:$A$715,$C$5,$B$8:$B$715,"&lt;="&amp;$B371),"")</f>
        <v/>
      </c>
      <c r="T371" s="24" t="n"/>
      <c r="U371" s="24" t="n"/>
    </row>
    <row r="372">
      <c r="A372" s="2" t="inlineStr">
        <is>
          <t>IND-61</t>
        </is>
      </c>
      <c r="B372" s="2" t="n">
        <v>12</v>
      </c>
      <c r="C372" s="2" t="inlineStr">
        <is>
          <t>IMP01183</t>
        </is>
      </c>
      <c r="D372" s="2" t="inlineStr">
        <is>
          <t>Carrick Motors Ltd</t>
        </is>
      </c>
      <c r="E372" s="2" t="n">
        <v>14</v>
      </c>
      <c r="F372" s="27" t="n">
        <v>5508849.6</v>
      </c>
      <c r="G372" s="28" t="n">
        <v>0.0294</v>
      </c>
      <c r="H372" s="19" t="n">
        <v>0.523</v>
      </c>
      <c r="I372" s="29" t="n">
        <v>1</v>
      </c>
      <c r="J372" s="2" t="inlineStr">
        <is>
          <t>EXP0327</t>
        </is>
      </c>
      <c r="K372" s="2" t="n">
        <v>15</v>
      </c>
      <c r="L372" s="2" t="inlineStr">
        <is>
          <t>BRK052</t>
        </is>
      </c>
      <c r="M372" s="2" t="inlineStr">
        <is>
          <t>PORT1</t>
        </is>
      </c>
      <c r="N372" s="2" t="n">
        <v>0</v>
      </c>
      <c r="O372" s="2" t="n">
        <v>0</v>
      </c>
      <c r="P372" s="2" t="n">
        <v>0</v>
      </c>
      <c r="Q372" s="2" t="n">
        <v>0</v>
      </c>
      <c r="R372" s="30">
        <f>IF(AND($C$5&lt;&gt;"",$A372=$C$5),1,"")</f>
        <v/>
      </c>
      <c r="S372" s="21">
        <f>IF(AND($C$5&lt;&gt;"",$A372=$C$5),SUMIFS($G$8:$G$715,$A$8:$A$715,$C$5,$B$8:$B$715,"&lt;="&amp;$B372),"")</f>
        <v/>
      </c>
      <c r="T372" s="24" t="n"/>
      <c r="U372" s="24" t="n"/>
    </row>
    <row r="373">
      <c r="A373" s="2" t="inlineStr">
        <is>
          <t>IND-61</t>
        </is>
      </c>
      <c r="B373" s="2" t="n">
        <v>13</v>
      </c>
      <c r="C373" s="2" t="inlineStr">
        <is>
          <t>IMP01478</t>
        </is>
      </c>
      <c r="D373" s="2" t="inlineStr">
        <is>
          <t>Ocean Industries Limited</t>
        </is>
      </c>
      <c r="E373" s="2" t="n">
        <v>13</v>
      </c>
      <c r="F373" s="27" t="n">
        <v>5196620.39</v>
      </c>
      <c r="G373" s="28" t="n">
        <v>0.0278</v>
      </c>
      <c r="H373" s="19" t="n">
        <v>0.526</v>
      </c>
      <c r="I373" s="29" t="n">
        <v>0.9231</v>
      </c>
      <c r="J373" s="2" t="inlineStr">
        <is>
          <t>EXP0440</t>
        </is>
      </c>
      <c r="K373" s="2" t="n">
        <v>9</v>
      </c>
      <c r="L373" s="2" t="inlineStr">
        <is>
          <t>BRK046</t>
        </is>
      </c>
      <c r="M373" s="2" t="inlineStr">
        <is>
          <t>PORT1</t>
        </is>
      </c>
      <c r="N373" s="2" t="n">
        <v>0</v>
      </c>
      <c r="O373" s="2" t="n">
        <v>0</v>
      </c>
      <c r="P373" s="2" t="n">
        <v>0</v>
      </c>
      <c r="Q373" s="2" t="n">
        <v>0</v>
      </c>
      <c r="R373" s="30">
        <f>IF(AND($C$5&lt;&gt;"",$A373=$C$5),1,"")</f>
        <v/>
      </c>
      <c r="S373" s="21">
        <f>IF(AND($C$5&lt;&gt;"",$A373=$C$5),SUMIFS($G$8:$G$715,$A$8:$A$715,$C$5,$B$8:$B$715,"&lt;="&amp;$B373),"")</f>
        <v/>
      </c>
      <c r="T373" s="24" t="n"/>
      <c r="U373" s="24" t="n"/>
    </row>
    <row r="374">
      <c r="A374" s="2" t="inlineStr">
        <is>
          <t>IND-61</t>
        </is>
      </c>
      <c r="B374" s="2" t="n">
        <v>14</v>
      </c>
      <c r="C374" s="2" t="inlineStr">
        <is>
          <t>IMP00592</t>
        </is>
      </c>
      <c r="D374" s="2" t="inlineStr">
        <is>
          <t>Crown Fruits Partners Ltd</t>
        </is>
      </c>
      <c r="E374" s="2" t="n">
        <v>7</v>
      </c>
      <c r="F374" s="27" t="n">
        <v>3320004.24</v>
      </c>
      <c r="G374" s="28" t="n">
        <v>0.0177</v>
      </c>
      <c r="H374" s="19" t="n">
        <v>0.5649999999999999</v>
      </c>
      <c r="I374" s="29" t="n">
        <v>1</v>
      </c>
      <c r="J374" s="2" t="inlineStr">
        <is>
          <t>EXP0327</t>
        </is>
      </c>
      <c r="K374" s="2" t="n">
        <v>15</v>
      </c>
      <c r="L374" s="2" t="inlineStr">
        <is>
          <t>BRK044</t>
        </is>
      </c>
      <c r="M374" s="2" t="inlineStr">
        <is>
          <t>PORT1</t>
        </is>
      </c>
      <c r="N374" s="2" t="n">
        <v>0</v>
      </c>
      <c r="O374" s="2" t="n">
        <v>0</v>
      </c>
      <c r="P374" s="2" t="n">
        <v>0</v>
      </c>
      <c r="Q374" s="2" t="n">
        <v>0</v>
      </c>
      <c r="R374" s="30">
        <f>IF(AND($C$5&lt;&gt;"",$A374=$C$5),1,"")</f>
        <v/>
      </c>
      <c r="S374" s="21">
        <f>IF(AND($C$5&lt;&gt;"",$A374=$C$5),SUMIFS($G$8:$G$715,$A$8:$A$715,$C$5,$B$8:$B$715,"&lt;="&amp;$B374),"")</f>
        <v/>
      </c>
      <c r="T374" s="24" t="n"/>
      <c r="U374" s="24" t="n"/>
    </row>
    <row r="375">
      <c r="A375" s="2" t="inlineStr">
        <is>
          <t>IND-61</t>
        </is>
      </c>
      <c r="B375" s="2" t="n">
        <v>15</v>
      </c>
      <c r="C375" s="2" t="inlineStr">
        <is>
          <t>IMP01273</t>
        </is>
      </c>
      <c r="D375" s="2" t="inlineStr">
        <is>
          <t>Meridian Supply Limited</t>
        </is>
      </c>
      <c r="E375" s="2" t="n">
        <v>8</v>
      </c>
      <c r="F375" s="27" t="n">
        <v>2894310.39</v>
      </c>
      <c r="G375" s="28" t="n">
        <v>0.0155</v>
      </c>
      <c r="H375" s="19" t="n">
        <v>0.5555</v>
      </c>
      <c r="I375" s="29" t="n">
        <v>0.875</v>
      </c>
      <c r="J375" s="2" t="inlineStr">
        <is>
          <t>EXP0327</t>
        </is>
      </c>
      <c r="K375" s="2" t="n">
        <v>15</v>
      </c>
      <c r="L375" s="2" t="inlineStr">
        <is>
          <t>BRK074</t>
        </is>
      </c>
      <c r="M375" s="2" t="inlineStr">
        <is>
          <t>PORT2</t>
        </is>
      </c>
      <c r="N375" s="2" t="n">
        <v>0</v>
      </c>
      <c r="O375" s="2" t="n">
        <v>0</v>
      </c>
      <c r="P375" s="2" t="n">
        <v>0</v>
      </c>
      <c r="Q375" s="2" t="n">
        <v>1</v>
      </c>
      <c r="R375" s="30">
        <f>IF(AND($C$5&lt;&gt;"",$A375=$C$5),1,"")</f>
        <v/>
      </c>
      <c r="S375" s="21">
        <f>IF(AND($C$5&lt;&gt;"",$A375=$C$5),SUMIFS($G$8:$G$715,$A$8:$A$715,$C$5,$B$8:$B$715,"&lt;="&amp;$B375),"")</f>
        <v/>
      </c>
      <c r="T375" s="24" t="n"/>
      <c r="U375" s="24" t="n"/>
    </row>
    <row r="376">
      <c r="A376" s="2" t="inlineStr">
        <is>
          <t>IND-61</t>
        </is>
      </c>
      <c r="B376" s="2" t="n">
        <v>16</v>
      </c>
      <c r="C376" s="2" t="inlineStr">
        <is>
          <t>IMP00761</t>
        </is>
      </c>
      <c r="D376" s="2" t="inlineStr">
        <is>
          <t>Phoenix Motors Ltd</t>
        </is>
      </c>
      <c r="E376" s="2" t="n">
        <v>6</v>
      </c>
      <c r="F376" s="27" t="n">
        <v>2783766.1</v>
      </c>
      <c r="G376" s="28" t="n">
        <v>0.0149</v>
      </c>
      <c r="H376" s="19" t="n">
        <v>0.5175</v>
      </c>
      <c r="I376" s="29" t="n">
        <v>1</v>
      </c>
      <c r="J376" s="2" t="inlineStr">
        <is>
          <t>EXP0440</t>
        </is>
      </c>
      <c r="K376" s="2" t="n">
        <v>9</v>
      </c>
      <c r="L376" s="2" t="inlineStr">
        <is>
          <t>BRK007</t>
        </is>
      </c>
      <c r="M376" s="2" t="inlineStr">
        <is>
          <t>PORT1</t>
        </is>
      </c>
      <c r="N376" s="2" t="n">
        <v>0</v>
      </c>
      <c r="O376" s="2" t="n">
        <v>0</v>
      </c>
      <c r="P376" s="2" t="n">
        <v>0</v>
      </c>
      <c r="Q376" s="2" t="n">
        <v>0</v>
      </c>
      <c r="R376" s="30">
        <f>IF(AND($C$5&lt;&gt;"",$A376=$C$5),1,"")</f>
        <v/>
      </c>
      <c r="S376" s="21">
        <f>IF(AND($C$5&lt;&gt;"",$A376=$C$5),SUMIFS($G$8:$G$715,$A$8:$A$715,$C$5,$B$8:$B$715,"&lt;="&amp;$B376),"")</f>
        <v/>
      </c>
      <c r="T376" s="24" t="n"/>
      <c r="U376" s="24" t="n"/>
    </row>
    <row r="377">
      <c r="A377" s="2" t="inlineStr">
        <is>
          <t>IND-61</t>
        </is>
      </c>
      <c r="B377" s="2" t="n">
        <v>17</v>
      </c>
      <c r="C377" s="2" t="inlineStr">
        <is>
          <t>IMP00684</t>
        </is>
      </c>
      <c r="D377" s="2" t="inlineStr">
        <is>
          <t>United Pack Enterprises</t>
        </is>
      </c>
      <c r="E377" s="2" t="n">
        <v>5</v>
      </c>
      <c r="F377" s="27" t="n">
        <v>2615837.86</v>
      </c>
      <c r="G377" s="28" t="n">
        <v>0.014</v>
      </c>
      <c r="H377" s="19" t="n">
        <v>0.961</v>
      </c>
      <c r="I377" s="29" t="n">
        <v>0</v>
      </c>
      <c r="J377" s="2" t="inlineStr">
        <is>
          <t>EXP0379</t>
        </is>
      </c>
      <c r="K377" s="2" t="n">
        <v>2</v>
      </c>
      <c r="L377" s="2" t="inlineStr">
        <is>
          <t>BRK002</t>
        </is>
      </c>
      <c r="M377" s="2" t="inlineStr">
        <is>
          <t>PORT3</t>
        </is>
      </c>
      <c r="N377" s="2" t="n">
        <v>0</v>
      </c>
      <c r="O377" s="2" t="n">
        <v>0</v>
      </c>
      <c r="P377" s="2" t="n">
        <v>0</v>
      </c>
      <c r="Q377" s="2" t="n">
        <v>0</v>
      </c>
      <c r="R377" s="30">
        <f>IF(AND($C$5&lt;&gt;"",$A377=$C$5),1,"")</f>
        <v/>
      </c>
      <c r="S377" s="21">
        <f>IF(AND($C$5&lt;&gt;"",$A377=$C$5),SUMIFS($G$8:$G$715,$A$8:$A$715,$C$5,$B$8:$B$715,"&lt;="&amp;$B377),"")</f>
        <v/>
      </c>
      <c r="T377" s="24" t="n"/>
      <c r="U377" s="24" t="n"/>
    </row>
    <row r="378">
      <c r="A378" s="2" t="inlineStr">
        <is>
          <t>IND-61</t>
        </is>
      </c>
      <c r="B378" s="2" t="n">
        <v>18</v>
      </c>
      <c r="C378" s="2" t="inlineStr">
        <is>
          <t>IMP01026</t>
        </is>
      </c>
      <c r="D378" s="2" t="inlineStr">
        <is>
          <t>Orchid Electronics Holdings Ltd</t>
        </is>
      </c>
      <c r="E378" s="2" t="n">
        <v>7</v>
      </c>
      <c r="F378" s="27" t="n">
        <v>2357219.77</v>
      </c>
      <c r="G378" s="28" t="n">
        <v>0.0126</v>
      </c>
      <c r="H378" s="19" t="n">
        <v>0.554</v>
      </c>
      <c r="I378" s="29" t="n">
        <v>0.8571</v>
      </c>
      <c r="J378" s="2" t="inlineStr">
        <is>
          <t>EXP0472</t>
        </is>
      </c>
      <c r="K378" s="2" t="n">
        <v>8</v>
      </c>
      <c r="L378" s="2" t="inlineStr">
        <is>
          <t>BRK047</t>
        </is>
      </c>
      <c r="M378" s="2" t="inlineStr">
        <is>
          <t>LAND6</t>
        </is>
      </c>
      <c r="N378" s="2" t="n">
        <v>0</v>
      </c>
      <c r="O378" s="2" t="n">
        <v>0</v>
      </c>
      <c r="P378" s="2" t="n">
        <v>0</v>
      </c>
      <c r="Q378" s="2" t="n">
        <v>1</v>
      </c>
      <c r="R378" s="30">
        <f>IF(AND($C$5&lt;&gt;"",$A378=$C$5),1,"")</f>
        <v/>
      </c>
      <c r="S378" s="21">
        <f>IF(AND($C$5&lt;&gt;"",$A378=$C$5),SUMIFS($G$8:$G$715,$A$8:$A$715,$C$5,$B$8:$B$715,"&lt;="&amp;$B378),"")</f>
        <v/>
      </c>
      <c r="T378" s="24" t="n"/>
      <c r="U378" s="24" t="n"/>
    </row>
    <row r="379">
      <c r="A379" s="2" t="inlineStr">
        <is>
          <t>IND-61</t>
        </is>
      </c>
      <c r="B379" s="2" t="n">
        <v>19</v>
      </c>
      <c r="C379" s="2" t="inlineStr">
        <is>
          <t>IMP00353</t>
        </is>
      </c>
      <c r="D379" s="2" t="inlineStr">
        <is>
          <t>Twin Rivers Logistics Holdings Ltd</t>
        </is>
      </c>
      <c r="E379" s="2" t="n">
        <v>3</v>
      </c>
      <c r="F379" s="27" t="n">
        <v>2234445.77</v>
      </c>
      <c r="G379" s="28" t="n">
        <v>0.0119</v>
      </c>
      <c r="H379" s="19" t="n">
        <v>0.489</v>
      </c>
      <c r="I379" s="29" t="n">
        <v>1</v>
      </c>
      <c r="J379" s="2" t="inlineStr">
        <is>
          <t>EXP0440</t>
        </is>
      </c>
      <c r="K379" s="2" t="n">
        <v>9</v>
      </c>
      <c r="L379" s="2" t="inlineStr">
        <is>
          <t>BRK017</t>
        </is>
      </c>
      <c r="M379" s="2" t="inlineStr">
        <is>
          <t>PORT1</t>
        </is>
      </c>
      <c r="N379" s="2" t="n">
        <v>0</v>
      </c>
      <c r="O379" s="2" t="n">
        <v>0</v>
      </c>
      <c r="P379" s="2" t="n">
        <v>0</v>
      </c>
      <c r="Q379" s="2" t="n">
        <v>0</v>
      </c>
      <c r="R379" s="30">
        <f>IF(AND($C$5&lt;&gt;"",$A379=$C$5),1,"")</f>
        <v/>
      </c>
      <c r="S379" s="21">
        <f>IF(AND($C$5&lt;&gt;"",$A379=$C$5),SUMIFS($G$8:$G$715,$A$8:$A$715,$C$5,$B$8:$B$715,"&lt;="&amp;$B379),"")</f>
        <v/>
      </c>
      <c r="T379" s="24" t="n"/>
      <c r="U379" s="24" t="n"/>
    </row>
    <row r="380">
      <c r="A380" s="2" t="inlineStr">
        <is>
          <t>IND-61</t>
        </is>
      </c>
      <c r="B380" s="2" t="n">
        <v>20</v>
      </c>
      <c r="C380" s="2" t="inlineStr">
        <is>
          <t>IMP00952</t>
        </is>
      </c>
      <c r="D380" s="2" t="inlineStr">
        <is>
          <t>Harmony Logistics &amp; Sons</t>
        </is>
      </c>
      <c r="E380" s="2" t="n">
        <v>1</v>
      </c>
      <c r="F380" s="27" t="n">
        <v>2070874.42</v>
      </c>
      <c r="G380" s="28" t="n">
        <v>0.0111</v>
      </c>
      <c r="H380" s="19" t="n">
        <v>0.873</v>
      </c>
      <c r="I380" s="29" t="n">
        <v>0</v>
      </c>
      <c r="J380" s="2" t="inlineStr">
        <is>
          <t>EXP0449</t>
        </is>
      </c>
      <c r="K380" s="2" t="n">
        <v>1</v>
      </c>
      <c r="L380" s="2" t="inlineStr">
        <is>
          <t>BRK059</t>
        </is>
      </c>
      <c r="M380" s="2" t="inlineStr">
        <is>
          <t>LAND5</t>
        </is>
      </c>
      <c r="N380" s="2" t="n">
        <v>0</v>
      </c>
      <c r="O380" s="2" t="n">
        <v>0</v>
      </c>
      <c r="P380" s="2" t="n">
        <v>0</v>
      </c>
      <c r="Q380" s="2" t="n">
        <v>0</v>
      </c>
      <c r="R380" s="30">
        <f>IF(AND($C$5&lt;&gt;"",$A380=$C$5),1,"")</f>
        <v/>
      </c>
      <c r="S380" s="21">
        <f>IF(AND($C$5&lt;&gt;"",$A380=$C$5),SUMIFS($G$8:$G$715,$A$8:$A$715,$C$5,$B$8:$B$715,"&lt;="&amp;$B380),"")</f>
        <v/>
      </c>
      <c r="T380" s="24" t="n"/>
      <c r="U380" s="24" t="n"/>
    </row>
    <row r="381">
      <c r="A381" s="2" t="inlineStr">
        <is>
          <t>IND-61</t>
        </is>
      </c>
      <c r="B381" s="2" t="n">
        <v>21</v>
      </c>
      <c r="C381" s="2" t="inlineStr">
        <is>
          <t>IMP00793</t>
        </is>
      </c>
      <c r="D381" s="2" t="inlineStr">
        <is>
          <t>Lotus Enterprises Ltd</t>
        </is>
      </c>
      <c r="E381" s="2" t="n">
        <v>5</v>
      </c>
      <c r="F381" s="27" t="n">
        <v>2068625.55</v>
      </c>
      <c r="G381" s="28" t="n">
        <v>0.0111</v>
      </c>
      <c r="H381" s="19" t="n">
        <v>0.607</v>
      </c>
      <c r="I381" s="29" t="n">
        <v>0.6</v>
      </c>
      <c r="J381" s="2" t="inlineStr">
        <is>
          <t>EXP0327</t>
        </is>
      </c>
      <c r="K381" s="2" t="n">
        <v>15</v>
      </c>
      <c r="L381" s="2" t="inlineStr">
        <is>
          <t>BRK049</t>
        </is>
      </c>
      <c r="M381" s="2" t="inlineStr">
        <is>
          <t>PORT1</t>
        </is>
      </c>
      <c r="N381" s="2" t="n">
        <v>0</v>
      </c>
      <c r="O381" s="2" t="n">
        <v>0</v>
      </c>
      <c r="P381" s="2" t="n">
        <v>0</v>
      </c>
      <c r="Q381" s="2" t="n">
        <v>0</v>
      </c>
      <c r="R381" s="30">
        <f>IF(AND($C$5&lt;&gt;"",$A381=$C$5),1,"")</f>
        <v/>
      </c>
      <c r="S381" s="21">
        <f>IF(AND($C$5&lt;&gt;"",$A381=$C$5),SUMIFS($G$8:$G$715,$A$8:$A$715,$C$5,$B$8:$B$715,"&lt;="&amp;$B381),"")</f>
        <v/>
      </c>
      <c r="T381" s="24" t="n"/>
      <c r="U381" s="24" t="n"/>
    </row>
    <row r="382">
      <c r="A382" s="2" t="inlineStr">
        <is>
          <t>IND-61</t>
        </is>
      </c>
      <c r="B382" s="2" t="n">
        <v>22</v>
      </c>
      <c r="C382" s="2" t="inlineStr">
        <is>
          <t>IMP00290</t>
        </is>
      </c>
      <c r="D382" s="2" t="inlineStr">
        <is>
          <t>Carrick Motors &amp; Sons</t>
        </is>
      </c>
      <c r="E382" s="2" t="n">
        <v>1</v>
      </c>
      <c r="F382" s="27" t="n">
        <v>1874984.46</v>
      </c>
      <c r="G382" s="28" t="n">
        <v>0.01</v>
      </c>
      <c r="H382" s="19" t="n">
        <v>0.651</v>
      </c>
      <c r="I382" s="29" t="n">
        <v>1</v>
      </c>
      <c r="J382" s="2" t="inlineStr">
        <is>
          <t>EXP0440</t>
        </is>
      </c>
      <c r="K382" s="2" t="n">
        <v>9</v>
      </c>
      <c r="L382" s="2" t="inlineStr">
        <is>
          <t>BRK008</t>
        </is>
      </c>
      <c r="M382" s="2" t="inlineStr">
        <is>
          <t>PORT3</t>
        </is>
      </c>
      <c r="N382" s="2" t="n">
        <v>0</v>
      </c>
      <c r="O382" s="2" t="n">
        <v>0</v>
      </c>
      <c r="P382" s="2" t="n">
        <v>1</v>
      </c>
      <c r="Q382" s="2" t="n">
        <v>0</v>
      </c>
      <c r="R382" s="30">
        <f>IF(AND($C$5&lt;&gt;"",$A382=$C$5),1,"")</f>
        <v/>
      </c>
      <c r="S382" s="21">
        <f>IF(AND($C$5&lt;&gt;"",$A382=$C$5),SUMIFS($G$8:$G$715,$A$8:$A$715,$C$5,$B$8:$B$715,"&lt;="&amp;$B382),"")</f>
        <v/>
      </c>
      <c r="T382" s="24" t="n"/>
      <c r="U382" s="24" t="n"/>
    </row>
    <row r="383">
      <c r="A383" s="2" t="inlineStr">
        <is>
          <t>IND-61</t>
        </is>
      </c>
      <c r="B383" s="2" t="n">
        <v>23</v>
      </c>
      <c r="C383" s="2" t="inlineStr">
        <is>
          <t>IMP00646</t>
        </is>
      </c>
      <c r="D383" s="2" t="inlineStr">
        <is>
          <t>Jade Imports Holdings Ltd</t>
        </is>
      </c>
      <c r="E383" s="2" t="n">
        <v>5</v>
      </c>
      <c r="F383" s="27" t="n">
        <v>1774089.56</v>
      </c>
      <c r="G383" s="28" t="n">
        <v>0.0095</v>
      </c>
      <c r="H383" s="19" t="n">
        <v>0.579</v>
      </c>
      <c r="I383" s="29" t="n">
        <v>1</v>
      </c>
      <c r="J383" s="2" t="inlineStr">
        <is>
          <t>EXP0327</t>
        </is>
      </c>
      <c r="K383" s="2" t="n">
        <v>15</v>
      </c>
      <c r="L383" s="2" t="inlineStr">
        <is>
          <t>BRK052</t>
        </is>
      </c>
      <c r="M383" s="2" t="inlineStr">
        <is>
          <t>PORT2</t>
        </is>
      </c>
      <c r="N383" s="2" t="n">
        <v>0</v>
      </c>
      <c r="O383" s="2" t="n">
        <v>0</v>
      </c>
      <c r="P383" s="2" t="n">
        <v>0</v>
      </c>
      <c r="Q383" s="2" t="n">
        <v>0</v>
      </c>
      <c r="R383" s="30">
        <f>IF(AND($C$5&lt;&gt;"",$A383=$C$5),1,"")</f>
        <v/>
      </c>
      <c r="S383" s="21">
        <f>IF(AND($C$5&lt;&gt;"",$A383=$C$5),SUMIFS($G$8:$G$715,$A$8:$A$715,$C$5,$B$8:$B$715,"&lt;="&amp;$B383),"")</f>
        <v/>
      </c>
      <c r="T383" s="24" t="n"/>
      <c r="U383" s="24" t="n"/>
    </row>
    <row r="384">
      <c r="A384" s="2" t="inlineStr">
        <is>
          <t>IND-61</t>
        </is>
      </c>
      <c r="B384" s="2" t="n">
        <v>24</v>
      </c>
      <c r="C384" s="2" t="inlineStr">
        <is>
          <t>IMP01369</t>
        </is>
      </c>
      <c r="D384" s="2" t="inlineStr">
        <is>
          <t>Northern Motors Holdings Ltd</t>
        </is>
      </c>
      <c r="E384" s="2" t="n">
        <v>2</v>
      </c>
      <c r="F384" s="27" t="n">
        <v>1721155.09</v>
      </c>
      <c r="G384" s="28" t="n">
        <v>0.0092</v>
      </c>
      <c r="H384" s="19" t="n">
        <v>0.5135</v>
      </c>
      <c r="I384" s="29" t="n">
        <v>1</v>
      </c>
      <c r="J384" s="2" t="inlineStr">
        <is>
          <t>EXP0327</t>
        </is>
      </c>
      <c r="K384" s="2" t="n">
        <v>15</v>
      </c>
      <c r="L384" s="2" t="inlineStr">
        <is>
          <t>BRK062</t>
        </is>
      </c>
      <c r="M384" s="2" t="inlineStr">
        <is>
          <t>PORT2</t>
        </is>
      </c>
      <c r="N384" s="2" t="n">
        <v>0</v>
      </c>
      <c r="O384" s="2" t="n">
        <v>0</v>
      </c>
      <c r="P384" s="2" t="n">
        <v>0</v>
      </c>
      <c r="Q384" s="2" t="n">
        <v>0</v>
      </c>
      <c r="R384" s="30">
        <f>IF(AND($C$5&lt;&gt;"",$A384=$C$5),1,"")</f>
        <v/>
      </c>
      <c r="S384" s="21">
        <f>IF(AND($C$5&lt;&gt;"",$A384=$C$5),SUMIFS($G$8:$G$715,$A$8:$A$715,$C$5,$B$8:$B$715,"&lt;="&amp;$B384),"")</f>
        <v/>
      </c>
      <c r="T384" s="24" t="n"/>
      <c r="U384" s="24" t="n"/>
    </row>
    <row r="385">
      <c r="A385" s="2" t="inlineStr">
        <is>
          <t>IND-61</t>
        </is>
      </c>
      <c r="B385" s="2" t="n">
        <v>25</v>
      </c>
      <c r="C385" s="2" t="inlineStr">
        <is>
          <t>IMP00178</t>
        </is>
      </c>
      <c r="D385" s="2" t="inlineStr">
        <is>
          <t>Delta Logistics Co., Ltd</t>
        </is>
      </c>
      <c r="E385" s="2" t="n">
        <v>2</v>
      </c>
      <c r="F385" s="27" t="n">
        <v>1544730.7</v>
      </c>
      <c r="G385" s="28" t="n">
        <v>0.0083</v>
      </c>
      <c r="H385" s="19" t="n">
        <v>0.4755</v>
      </c>
      <c r="I385" s="29" t="n">
        <v>1</v>
      </c>
      <c r="J385" s="2" t="inlineStr">
        <is>
          <t>EXP0327</t>
        </is>
      </c>
      <c r="K385" s="2" t="n">
        <v>15</v>
      </c>
      <c r="L385" s="2" t="inlineStr">
        <is>
          <t>BRK014</t>
        </is>
      </c>
      <c r="M385" s="2" t="inlineStr">
        <is>
          <t>LAND2</t>
        </is>
      </c>
      <c r="N385" s="2" t="n">
        <v>0</v>
      </c>
      <c r="O385" s="2" t="n">
        <v>0</v>
      </c>
      <c r="P385" s="2" t="n">
        <v>0</v>
      </c>
      <c r="Q385" s="2" t="n">
        <v>0</v>
      </c>
      <c r="R385" s="30">
        <f>IF(AND($C$5&lt;&gt;"",$A385=$C$5),1,"")</f>
        <v/>
      </c>
      <c r="S385" s="21">
        <f>IF(AND($C$5&lt;&gt;"",$A385=$C$5),SUMIFS($G$8:$G$715,$A$8:$A$715,$C$5,$B$8:$B$715,"&lt;="&amp;$B385),"")</f>
        <v/>
      </c>
      <c r="T385" s="24" t="n"/>
      <c r="U385" s="24" t="n"/>
    </row>
    <row r="386">
      <c r="A386" s="2" t="inlineStr">
        <is>
          <t>IND-61</t>
        </is>
      </c>
      <c r="B386" s="2" t="n">
        <v>26</v>
      </c>
      <c r="C386" s="2" t="inlineStr">
        <is>
          <t>IMP00842</t>
        </is>
      </c>
      <c r="D386" s="2" t="inlineStr">
        <is>
          <t>Pacific Medical &amp; Sons</t>
        </is>
      </c>
      <c r="E386" s="2" t="n">
        <v>3</v>
      </c>
      <c r="F386" s="27" t="n">
        <v>1268010.59</v>
      </c>
      <c r="G386" s="28" t="n">
        <v>0.0068</v>
      </c>
      <c r="H386" s="19" t="n">
        <v>0.5570000000000001</v>
      </c>
      <c r="I386" s="29" t="n">
        <v>1</v>
      </c>
      <c r="J386" s="2" t="inlineStr">
        <is>
          <t>EXP0440</t>
        </is>
      </c>
      <c r="K386" s="2" t="n">
        <v>9</v>
      </c>
      <c r="L386" s="2" t="inlineStr">
        <is>
          <t>BRK056</t>
        </is>
      </c>
      <c r="M386" s="2" t="inlineStr">
        <is>
          <t>AIR1</t>
        </is>
      </c>
      <c r="N386" s="2" t="n">
        <v>0</v>
      </c>
      <c r="O386" s="2" t="n">
        <v>1</v>
      </c>
      <c r="P386" s="2" t="n">
        <v>0</v>
      </c>
      <c r="Q386" s="2" t="n">
        <v>0</v>
      </c>
      <c r="R386" s="30">
        <f>IF(AND($C$5&lt;&gt;"",$A386=$C$5),1,"")</f>
        <v/>
      </c>
      <c r="S386" s="21">
        <f>IF(AND($C$5&lt;&gt;"",$A386=$C$5),SUMIFS($G$8:$G$715,$A$8:$A$715,$C$5,$B$8:$B$715,"&lt;="&amp;$B386),"")</f>
        <v/>
      </c>
      <c r="T386" s="24" t="n"/>
      <c r="U386" s="24" t="n"/>
    </row>
    <row r="387">
      <c r="A387" s="2" t="inlineStr">
        <is>
          <t>IND-61</t>
        </is>
      </c>
      <c r="B387" s="2" t="n">
        <v>27</v>
      </c>
      <c r="C387" s="2" t="inlineStr">
        <is>
          <t>IMP01448</t>
        </is>
      </c>
      <c r="D387" s="2" t="inlineStr">
        <is>
          <t>Central Logistics Limited</t>
        </is>
      </c>
      <c r="E387" s="2" t="n">
        <v>1</v>
      </c>
      <c r="F387" s="27" t="n">
        <v>936493.77</v>
      </c>
      <c r="G387" s="28" t="n">
        <v>0.005</v>
      </c>
      <c r="H387" s="19" t="n">
        <v>0.768</v>
      </c>
      <c r="I387" s="29" t="n">
        <v>0</v>
      </c>
      <c r="J387" s="2" t="inlineStr">
        <is>
          <t>EXP0588</t>
        </is>
      </c>
      <c r="K387" s="2" t="n">
        <v>2</v>
      </c>
      <c r="L387" s="2" t="inlineStr">
        <is>
          <t>BRK058</t>
        </is>
      </c>
      <c r="M387" s="2" t="inlineStr">
        <is>
          <t>LAND3</t>
        </is>
      </c>
      <c r="N387" s="2" t="n">
        <v>0</v>
      </c>
      <c r="O387" s="2" t="n">
        <v>0</v>
      </c>
      <c r="P387" s="2" t="n">
        <v>0</v>
      </c>
      <c r="Q387" s="2" t="n">
        <v>0</v>
      </c>
      <c r="R387" s="30">
        <f>IF(AND($C$5&lt;&gt;"",$A387=$C$5),1,"")</f>
        <v/>
      </c>
      <c r="S387" s="21">
        <f>IF(AND($C$5&lt;&gt;"",$A387=$C$5),SUMIFS($G$8:$G$715,$A$8:$A$715,$C$5,$B$8:$B$715,"&lt;="&amp;$B387),"")</f>
        <v/>
      </c>
      <c r="T387" s="24" t="n"/>
      <c r="U387" s="24" t="n"/>
    </row>
    <row r="388">
      <c r="A388" s="2" t="inlineStr">
        <is>
          <t>IND-61</t>
        </is>
      </c>
      <c r="B388" s="2" t="n">
        <v>28</v>
      </c>
      <c r="C388" s="2" t="inlineStr">
        <is>
          <t>IMP00614</t>
        </is>
      </c>
      <c r="D388" s="2" t="inlineStr">
        <is>
          <t>Silk Road Enterprises Holdings Ltd</t>
        </is>
      </c>
      <c r="E388" s="2" t="n">
        <v>3</v>
      </c>
      <c r="F388" s="27" t="n">
        <v>859790.42</v>
      </c>
      <c r="G388" s="28" t="n">
        <v>0.0046</v>
      </c>
      <c r="H388" s="19" t="n">
        <v>0.468</v>
      </c>
      <c r="I388" s="29" t="n">
        <v>1</v>
      </c>
      <c r="J388" s="2" t="inlineStr">
        <is>
          <t>EXP0440</t>
        </is>
      </c>
      <c r="K388" s="2" t="n">
        <v>9</v>
      </c>
      <c r="L388" s="2" t="inlineStr">
        <is>
          <t>BRK009</t>
        </is>
      </c>
      <c r="M388" s="2" t="inlineStr">
        <is>
          <t>LAND1</t>
        </is>
      </c>
      <c r="N388" s="2" t="n">
        <v>0</v>
      </c>
      <c r="O388" s="2" t="n">
        <v>0</v>
      </c>
      <c r="P388" s="2" t="n">
        <v>0</v>
      </c>
      <c r="Q388" s="2" t="n">
        <v>0</v>
      </c>
      <c r="R388" s="30">
        <f>IF(AND($C$5&lt;&gt;"",$A388=$C$5),1,"")</f>
        <v/>
      </c>
      <c r="S388" s="21">
        <f>IF(AND($C$5&lt;&gt;"",$A388=$C$5),SUMIFS($G$8:$G$715,$A$8:$A$715,$C$5,$B$8:$B$715,"&lt;="&amp;$B388),"")</f>
        <v/>
      </c>
      <c r="T388" s="24" t="n"/>
      <c r="U388" s="24" t="n"/>
    </row>
    <row r="389">
      <c r="A389" s="2" t="inlineStr">
        <is>
          <t>IND-61</t>
        </is>
      </c>
      <c r="B389" s="2" t="n">
        <v>29</v>
      </c>
      <c r="C389" s="2" t="inlineStr">
        <is>
          <t>IMP00316</t>
        </is>
      </c>
      <c r="D389" s="2" t="inlineStr">
        <is>
          <t>Orchid Fruits Co.</t>
        </is>
      </c>
      <c r="E389" s="2" t="n">
        <v>1</v>
      </c>
      <c r="F389" s="27" t="n">
        <v>776477.21</v>
      </c>
      <c r="G389" s="28" t="n">
        <v>0.0042</v>
      </c>
      <c r="H389" s="19" t="n">
        <v>0.385</v>
      </c>
      <c r="I389" s="29" t="n">
        <v>1</v>
      </c>
      <c r="J389" s="2" t="inlineStr">
        <is>
          <t>EXP0327</t>
        </is>
      </c>
      <c r="K389" s="2" t="n">
        <v>15</v>
      </c>
      <c r="L389" s="2" t="inlineStr">
        <is>
          <t>BRK066</t>
        </is>
      </c>
      <c r="M389" s="2" t="inlineStr">
        <is>
          <t>LAND2</t>
        </is>
      </c>
      <c r="N389" s="2" t="n">
        <v>0</v>
      </c>
      <c r="O389" s="2" t="n">
        <v>0</v>
      </c>
      <c r="P389" s="2" t="n">
        <v>0</v>
      </c>
      <c r="Q389" s="2" t="n">
        <v>0</v>
      </c>
      <c r="R389" s="30">
        <f>IF(AND($C$5&lt;&gt;"",$A389=$C$5),1,"")</f>
        <v/>
      </c>
      <c r="S389" s="21">
        <f>IF(AND($C$5&lt;&gt;"",$A389=$C$5),SUMIFS($G$8:$G$715,$A$8:$A$715,$C$5,$B$8:$B$715,"&lt;="&amp;$B389),"")</f>
        <v/>
      </c>
      <c r="T389" s="24" t="n"/>
      <c r="U389" s="24" t="n"/>
    </row>
    <row r="390">
      <c r="A390" s="2" t="inlineStr">
        <is>
          <t>IND-61</t>
        </is>
      </c>
      <c r="B390" s="2" t="n">
        <v>30</v>
      </c>
      <c r="C390" s="2" t="inlineStr">
        <is>
          <t>IMP01384</t>
        </is>
      </c>
      <c r="D390" s="2" t="inlineStr">
        <is>
          <t>Horizon Steel Enterprises</t>
        </is>
      </c>
      <c r="E390" s="2" t="n">
        <v>3</v>
      </c>
      <c r="F390" s="27" t="n">
        <v>703495.61</v>
      </c>
      <c r="G390" s="28" t="n">
        <v>0.0038</v>
      </c>
      <c r="H390" s="19" t="n">
        <v>0.477</v>
      </c>
      <c r="I390" s="29" t="n">
        <v>1</v>
      </c>
      <c r="J390" s="2" t="inlineStr">
        <is>
          <t>EXP0327</t>
        </is>
      </c>
      <c r="K390" s="2" t="n">
        <v>15</v>
      </c>
      <c r="L390" s="2" t="inlineStr">
        <is>
          <t>BRK063</t>
        </is>
      </c>
      <c r="M390" s="2" t="inlineStr">
        <is>
          <t>LAND1</t>
        </is>
      </c>
      <c r="N390" s="2" t="n">
        <v>0</v>
      </c>
      <c r="O390" s="2" t="n">
        <v>1</v>
      </c>
      <c r="P390" s="2" t="n">
        <v>0</v>
      </c>
      <c r="Q390" s="2" t="n">
        <v>0</v>
      </c>
      <c r="R390" s="30">
        <f>IF(AND($C$5&lt;&gt;"",$A390=$C$5),1,"")</f>
        <v/>
      </c>
      <c r="S390" s="21">
        <f>IF(AND($C$5&lt;&gt;"",$A390=$C$5),SUMIFS($G$8:$G$715,$A$8:$A$715,$C$5,$B$8:$B$715,"&lt;="&amp;$B390),"")</f>
        <v/>
      </c>
      <c r="T390" s="24" t="n"/>
      <c r="U390" s="24" t="n"/>
    </row>
    <row r="391">
      <c r="A391" s="2" t="inlineStr">
        <is>
          <t>IND-61</t>
        </is>
      </c>
      <c r="B391" s="2" t="n">
        <v>31</v>
      </c>
      <c r="C391" s="2" t="inlineStr">
        <is>
          <t>IMP00855</t>
        </is>
      </c>
      <c r="D391" s="2" t="inlineStr">
        <is>
          <t>Northern Pack International Ltd</t>
        </is>
      </c>
      <c r="E391" s="2" t="n">
        <v>1</v>
      </c>
      <c r="F391" s="27" t="n">
        <v>595189.4</v>
      </c>
      <c r="G391" s="28" t="n">
        <v>0.0032</v>
      </c>
      <c r="H391" s="19" t="n">
        <v>0.766</v>
      </c>
      <c r="I391" s="29" t="n">
        <v>0</v>
      </c>
      <c r="J391" s="2" t="inlineStr">
        <is>
          <t>EXP0588</t>
        </is>
      </c>
      <c r="K391" s="2" t="n">
        <v>2</v>
      </c>
      <c r="L391" s="2" t="inlineStr">
        <is>
          <t>BRK022</t>
        </is>
      </c>
      <c r="M391" s="2" t="inlineStr">
        <is>
          <t>AIR2</t>
        </is>
      </c>
      <c r="N391" s="2" t="n">
        <v>0</v>
      </c>
      <c r="O391" s="2" t="n">
        <v>0</v>
      </c>
      <c r="P391" s="2" t="n">
        <v>0</v>
      </c>
      <c r="Q391" s="2" t="n">
        <v>0</v>
      </c>
      <c r="R391" s="30">
        <f>IF(AND($C$5&lt;&gt;"",$A391=$C$5),1,"")</f>
        <v/>
      </c>
      <c r="S391" s="21">
        <f>IF(AND($C$5&lt;&gt;"",$A391=$C$5),SUMIFS($G$8:$G$715,$A$8:$A$715,$C$5,$B$8:$B$715,"&lt;="&amp;$B391),"")</f>
        <v/>
      </c>
      <c r="T391" s="24" t="n"/>
      <c r="U391" s="24" t="n"/>
    </row>
    <row r="392">
      <c r="A392" s="2" t="inlineStr">
        <is>
          <t>IND-61</t>
        </is>
      </c>
      <c r="B392" s="2" t="n">
        <v>32</v>
      </c>
      <c r="C392" s="2" t="inlineStr">
        <is>
          <t>IMP00473</t>
        </is>
      </c>
      <c r="D392" s="2" t="inlineStr">
        <is>
          <t>Pacific Electronics Ltd</t>
        </is>
      </c>
      <c r="E392" s="2" t="n">
        <v>1</v>
      </c>
      <c r="F392" s="27" t="n">
        <v>511527.32</v>
      </c>
      <c r="G392" s="28" t="n">
        <v>0.0027</v>
      </c>
      <c r="H392" s="19" t="n">
        <v>0.461</v>
      </c>
      <c r="I392" s="29" t="n">
        <v>1</v>
      </c>
      <c r="J392" s="2" t="inlineStr">
        <is>
          <t>EXP0440</t>
        </is>
      </c>
      <c r="K392" s="2" t="n">
        <v>9</v>
      </c>
      <c r="L392" s="2" t="inlineStr">
        <is>
          <t>BRK003</t>
        </is>
      </c>
      <c r="M392" s="2" t="inlineStr">
        <is>
          <t>PORT2</t>
        </is>
      </c>
      <c r="N392" s="2" t="n">
        <v>0</v>
      </c>
      <c r="O392" s="2" t="n">
        <v>0</v>
      </c>
      <c r="P392" s="2" t="n">
        <v>0</v>
      </c>
      <c r="Q392" s="2" t="n">
        <v>0</v>
      </c>
      <c r="R392" s="30">
        <f>IF(AND($C$5&lt;&gt;"",$A392=$C$5),1,"")</f>
        <v/>
      </c>
      <c r="S392" s="21">
        <f>IF(AND($C$5&lt;&gt;"",$A392=$C$5),SUMIFS($G$8:$G$715,$A$8:$A$715,$C$5,$B$8:$B$715,"&lt;="&amp;$B392),"")</f>
        <v/>
      </c>
      <c r="T392" s="24" t="n"/>
      <c r="U392" s="24" t="n"/>
    </row>
    <row r="393">
      <c r="A393" s="2" t="inlineStr">
        <is>
          <t>IND-61</t>
        </is>
      </c>
      <c r="B393" s="2" t="n">
        <v>33</v>
      </c>
      <c r="C393" s="2" t="inlineStr">
        <is>
          <t>IMP00283</t>
        </is>
      </c>
      <c r="D393" s="2" t="inlineStr">
        <is>
          <t>Carrick Electronics &amp; Sons</t>
        </is>
      </c>
      <c r="E393" s="2" t="n">
        <v>2</v>
      </c>
      <c r="F393" s="27" t="n">
        <v>446842.28</v>
      </c>
      <c r="G393" s="28" t="n">
        <v>0.0024</v>
      </c>
      <c r="H393" s="19" t="n">
        <v>0.4335</v>
      </c>
      <c r="I393" s="29" t="n">
        <v>1</v>
      </c>
      <c r="J393" s="2" t="inlineStr">
        <is>
          <t>EXP0327</t>
        </is>
      </c>
      <c r="K393" s="2" t="n">
        <v>15</v>
      </c>
      <c r="L393" s="2" t="inlineStr">
        <is>
          <t>BRK014</t>
        </is>
      </c>
      <c r="M393" s="2" t="inlineStr">
        <is>
          <t>PORT1</t>
        </is>
      </c>
      <c r="N393" s="2" t="n">
        <v>0</v>
      </c>
      <c r="O393" s="2" t="n">
        <v>0</v>
      </c>
      <c r="P393" s="2" t="n">
        <v>0</v>
      </c>
      <c r="Q393" s="2" t="n">
        <v>0</v>
      </c>
      <c r="R393" s="30">
        <f>IF(AND($C$5&lt;&gt;"",$A393=$C$5),1,"")</f>
        <v/>
      </c>
      <c r="S393" s="21">
        <f>IF(AND($C$5&lt;&gt;"",$A393=$C$5),SUMIFS($G$8:$G$715,$A$8:$A$715,$C$5,$B$8:$B$715,"&lt;="&amp;$B393),"")</f>
        <v/>
      </c>
      <c r="T393" s="24" t="n"/>
      <c r="U393" s="24" t="n"/>
    </row>
    <row r="394">
      <c r="A394" s="2" t="inlineStr">
        <is>
          <t>IND-61</t>
        </is>
      </c>
      <c r="B394" s="2" t="n">
        <v>34</v>
      </c>
      <c r="C394" s="2" t="inlineStr">
        <is>
          <t>IMP01083</t>
        </is>
      </c>
      <c r="D394" s="2" t="inlineStr">
        <is>
          <t>Cobalt Motors Co.</t>
        </is>
      </c>
      <c r="E394" s="2" t="n">
        <v>2</v>
      </c>
      <c r="F394" s="27" t="n">
        <v>421801.47</v>
      </c>
      <c r="G394" s="28" t="n">
        <v>0.0023</v>
      </c>
      <c r="H394" s="19" t="n">
        <v>0.5305</v>
      </c>
      <c r="I394" s="29" t="n">
        <v>1</v>
      </c>
      <c r="J394" s="2" t="inlineStr">
        <is>
          <t>EXP0472</t>
        </is>
      </c>
      <c r="K394" s="2" t="n">
        <v>8</v>
      </c>
      <c r="L394" s="2" t="inlineStr">
        <is>
          <t>BRK009</t>
        </is>
      </c>
      <c r="M394" s="2" t="inlineStr">
        <is>
          <t>LAND1</t>
        </is>
      </c>
      <c r="N394" s="2" t="n">
        <v>0</v>
      </c>
      <c r="O394" s="2" t="n">
        <v>0</v>
      </c>
      <c r="P394" s="2" t="n">
        <v>0</v>
      </c>
      <c r="Q394" s="2" t="n">
        <v>0</v>
      </c>
      <c r="R394" s="30">
        <f>IF(AND($C$5&lt;&gt;"",$A394=$C$5),1,"")</f>
        <v/>
      </c>
      <c r="S394" s="21">
        <f>IF(AND($C$5&lt;&gt;"",$A394=$C$5),SUMIFS($G$8:$G$715,$A$8:$A$715,$C$5,$B$8:$B$715,"&lt;="&amp;$B394),"")</f>
        <v/>
      </c>
      <c r="T394" s="24" t="n"/>
      <c r="U394" s="24" t="n"/>
    </row>
    <row r="395">
      <c r="A395" s="2" t="inlineStr">
        <is>
          <t>IND-61</t>
        </is>
      </c>
      <c r="B395" s="2" t="n">
        <v>35</v>
      </c>
      <c r="C395" s="2" t="inlineStr">
        <is>
          <t>IMP00082</t>
        </is>
      </c>
      <c r="D395" s="2" t="inlineStr">
        <is>
          <t>Harmony Textiles &amp; Sons</t>
        </is>
      </c>
      <c r="E395" s="2" t="n">
        <v>1</v>
      </c>
      <c r="F395" s="27" t="n">
        <v>394205.45</v>
      </c>
      <c r="G395" s="28" t="n">
        <v>0.0021</v>
      </c>
      <c r="H395" s="19" t="n">
        <v>0.5570000000000001</v>
      </c>
      <c r="I395" s="29" t="n">
        <v>1</v>
      </c>
      <c r="J395" s="2" t="inlineStr">
        <is>
          <t>EXP0327</t>
        </is>
      </c>
      <c r="K395" s="2" t="n">
        <v>15</v>
      </c>
      <c r="L395" s="2" t="inlineStr">
        <is>
          <t>BRK014</t>
        </is>
      </c>
      <c r="M395" s="2" t="inlineStr">
        <is>
          <t>PORT3</t>
        </is>
      </c>
      <c r="N395" s="2" t="n">
        <v>0</v>
      </c>
      <c r="O395" s="2" t="n">
        <v>0</v>
      </c>
      <c r="P395" s="2" t="n">
        <v>0</v>
      </c>
      <c r="Q395" s="2" t="n">
        <v>0</v>
      </c>
      <c r="R395" s="30">
        <f>IF(AND($C$5&lt;&gt;"",$A395=$C$5),1,"")</f>
        <v/>
      </c>
      <c r="S395" s="21">
        <f>IF(AND($C$5&lt;&gt;"",$A395=$C$5),SUMIFS($G$8:$G$715,$A$8:$A$715,$C$5,$B$8:$B$715,"&lt;="&amp;$B395),"")</f>
        <v/>
      </c>
      <c r="T395" s="24" t="n"/>
      <c r="U395" s="24" t="n"/>
    </row>
    <row r="396">
      <c r="A396" s="2" t="inlineStr">
        <is>
          <t>IND-61</t>
        </is>
      </c>
      <c r="B396" s="2" t="n">
        <v>36</v>
      </c>
      <c r="C396" s="2" t="inlineStr">
        <is>
          <t>IMP01405</t>
        </is>
      </c>
      <c r="D396" s="2" t="inlineStr">
        <is>
          <t>Central Steel Holdings Ltd</t>
        </is>
      </c>
      <c r="E396" s="2" t="n">
        <v>1</v>
      </c>
      <c r="F396" s="27" t="n">
        <v>367216.14</v>
      </c>
      <c r="G396" s="28" t="n">
        <v>0.002</v>
      </c>
      <c r="H396" s="19" t="n">
        <v>0.742</v>
      </c>
      <c r="I396" s="29" t="n">
        <v>1</v>
      </c>
      <c r="J396" s="2" t="inlineStr">
        <is>
          <t>EXP0008</t>
        </is>
      </c>
      <c r="K396" s="2" t="n">
        <v>3</v>
      </c>
      <c r="L396" s="2" t="inlineStr">
        <is>
          <t>BRK064</t>
        </is>
      </c>
      <c r="M396" s="2" t="inlineStr">
        <is>
          <t>PORT2</t>
        </is>
      </c>
      <c r="N396" s="2" t="n">
        <v>0</v>
      </c>
      <c r="O396" s="2" t="n">
        <v>0</v>
      </c>
      <c r="P396" s="2" t="n">
        <v>0</v>
      </c>
      <c r="Q396" s="2" t="n">
        <v>0</v>
      </c>
      <c r="R396" s="30">
        <f>IF(AND($C$5&lt;&gt;"",$A396=$C$5),1,"")</f>
        <v/>
      </c>
      <c r="S396" s="21">
        <f>IF(AND($C$5&lt;&gt;"",$A396=$C$5),SUMIFS($G$8:$G$715,$A$8:$A$715,$C$5,$B$8:$B$715,"&lt;="&amp;$B396),"")</f>
        <v/>
      </c>
      <c r="T396" s="24" t="n"/>
      <c r="U396" s="24" t="n"/>
    </row>
    <row r="397">
      <c r="A397" s="2" t="inlineStr">
        <is>
          <t>IND-61</t>
        </is>
      </c>
      <c r="B397" s="2" t="n">
        <v>37</v>
      </c>
      <c r="C397" s="2" t="inlineStr">
        <is>
          <t>IMP00563</t>
        </is>
      </c>
      <c r="D397" s="2" t="inlineStr">
        <is>
          <t>Jade Agro Co.</t>
        </is>
      </c>
      <c r="E397" s="2" t="n">
        <v>1</v>
      </c>
      <c r="F397" s="27" t="n">
        <v>309938.88</v>
      </c>
      <c r="G397" s="28" t="n">
        <v>0.0017</v>
      </c>
      <c r="H397" s="19" t="n">
        <v>0.91</v>
      </c>
      <c r="I397" s="29" t="n">
        <v>0</v>
      </c>
      <c r="J397" s="2" t="inlineStr">
        <is>
          <t>EXP0067</t>
        </is>
      </c>
      <c r="K397" s="2" t="n">
        <v>2</v>
      </c>
      <c r="L397" s="2" t="inlineStr">
        <is>
          <t>BRK079</t>
        </is>
      </c>
      <c r="M397" s="2" t="inlineStr">
        <is>
          <t>AIR1</t>
        </is>
      </c>
      <c r="N397" s="2" t="n">
        <v>0</v>
      </c>
      <c r="O397" s="2" t="n">
        <v>0</v>
      </c>
      <c r="P397" s="2" t="n">
        <v>0</v>
      </c>
      <c r="Q397" s="2" t="n">
        <v>0</v>
      </c>
      <c r="R397" s="30">
        <f>IF(AND($C$5&lt;&gt;"",$A397=$C$5),1,"")</f>
        <v/>
      </c>
      <c r="S397" s="21">
        <f>IF(AND($C$5&lt;&gt;"",$A397=$C$5),SUMIFS($G$8:$G$715,$A$8:$A$715,$C$5,$B$8:$B$715,"&lt;="&amp;$B397),"")</f>
        <v/>
      </c>
      <c r="T397" s="24" t="n"/>
      <c r="U397" s="24" t="n"/>
    </row>
    <row r="398">
      <c r="A398" s="2" t="inlineStr">
        <is>
          <t>IND-61</t>
        </is>
      </c>
      <c r="B398" s="2" t="n">
        <v>38</v>
      </c>
      <c r="C398" s="2" t="inlineStr">
        <is>
          <t>IMP01287</t>
        </is>
      </c>
      <c r="D398" s="2" t="inlineStr">
        <is>
          <t>Inverness Fruits Group Ltd</t>
        </is>
      </c>
      <c r="E398" s="2" t="n">
        <v>1</v>
      </c>
      <c r="F398" s="27" t="n">
        <v>224383.43</v>
      </c>
      <c r="G398" s="28" t="n">
        <v>0.0012</v>
      </c>
      <c r="H398" s="19" t="n">
        <v>0.455</v>
      </c>
      <c r="I398" s="29" t="n">
        <v>1</v>
      </c>
      <c r="J398" s="2" t="inlineStr">
        <is>
          <t>EXP0472</t>
        </is>
      </c>
      <c r="K398" s="2" t="n">
        <v>8</v>
      </c>
      <c r="L398" s="2" t="inlineStr">
        <is>
          <t>BRK018</t>
        </is>
      </c>
      <c r="M398" s="2" t="inlineStr">
        <is>
          <t>PORT1</t>
        </is>
      </c>
      <c r="N398" s="2" t="n">
        <v>0</v>
      </c>
      <c r="O398" s="2" t="n">
        <v>0</v>
      </c>
      <c r="P398" s="2" t="n">
        <v>0</v>
      </c>
      <c r="Q398" s="2" t="n">
        <v>0</v>
      </c>
      <c r="R398" s="30">
        <f>IF(AND($C$5&lt;&gt;"",$A398=$C$5),1,"")</f>
        <v/>
      </c>
      <c r="S398" s="21">
        <f>IF(AND($C$5&lt;&gt;"",$A398=$C$5),SUMIFS($G$8:$G$715,$A$8:$A$715,$C$5,$B$8:$B$715,"&lt;="&amp;$B398),"")</f>
        <v/>
      </c>
      <c r="T398" s="24" t="n"/>
      <c r="U398" s="24" t="n"/>
    </row>
    <row r="399">
      <c r="A399" s="2" t="inlineStr">
        <is>
          <t>IND-61</t>
        </is>
      </c>
      <c r="B399" s="2" t="n">
        <v>39</v>
      </c>
      <c r="C399" s="2" t="inlineStr">
        <is>
          <t>IMP00331</t>
        </is>
      </c>
      <c r="D399" s="2" t="inlineStr">
        <is>
          <t>Phoenix Commercial Co., Ltd</t>
        </is>
      </c>
      <c r="E399" s="2" t="n">
        <v>1</v>
      </c>
      <c r="F399" s="27" t="n">
        <v>224339.64</v>
      </c>
      <c r="G399" s="28" t="n">
        <v>0.0012</v>
      </c>
      <c r="H399" s="19" t="n">
        <v>0.521</v>
      </c>
      <c r="I399" s="29" t="n">
        <v>1</v>
      </c>
      <c r="J399" s="2" t="inlineStr">
        <is>
          <t>EXP0327</t>
        </is>
      </c>
      <c r="K399" s="2" t="n">
        <v>15</v>
      </c>
      <c r="L399" s="2" t="inlineStr">
        <is>
          <t>BRK035</t>
        </is>
      </c>
      <c r="M399" s="2" t="inlineStr">
        <is>
          <t>PORT1</t>
        </is>
      </c>
      <c r="N399" s="2" t="n">
        <v>0</v>
      </c>
      <c r="O399" s="2" t="n">
        <v>1</v>
      </c>
      <c r="P399" s="2" t="n">
        <v>0</v>
      </c>
      <c r="Q399" s="2" t="n">
        <v>0</v>
      </c>
      <c r="R399" s="30">
        <f>IF(AND($C$5&lt;&gt;"",$A399=$C$5),1,"")</f>
        <v/>
      </c>
      <c r="S399" s="21">
        <f>IF(AND($C$5&lt;&gt;"",$A399=$C$5),SUMIFS($G$8:$G$715,$A$8:$A$715,$C$5,$B$8:$B$715,"&lt;="&amp;$B399),"")</f>
        <v/>
      </c>
      <c r="T399" s="24" t="n"/>
      <c r="U399" s="24" t="n"/>
    </row>
    <row r="400">
      <c r="A400" s="2" t="inlineStr">
        <is>
          <t>IND-61</t>
        </is>
      </c>
      <c r="B400" s="2" t="n">
        <v>40</v>
      </c>
      <c r="C400" s="2" t="inlineStr">
        <is>
          <t>IMP00629</t>
        </is>
      </c>
      <c r="D400" s="2" t="inlineStr">
        <is>
          <t>Phoenix Enterprises International Ltd</t>
        </is>
      </c>
      <c r="E400" s="2" t="n">
        <v>1</v>
      </c>
      <c r="F400" s="27" t="n">
        <v>203436.93</v>
      </c>
      <c r="G400" s="28" t="n">
        <v>0.0011</v>
      </c>
      <c r="H400" s="19" t="n">
        <v>1.055</v>
      </c>
      <c r="I400" s="29" t="n">
        <v>0</v>
      </c>
      <c r="J400" s="2" t="inlineStr">
        <is>
          <t>EXP0440</t>
        </is>
      </c>
      <c r="K400" s="2" t="n">
        <v>9</v>
      </c>
      <c r="L400" s="2" t="inlineStr">
        <is>
          <t>BRK070</t>
        </is>
      </c>
      <c r="M400" s="2" t="inlineStr">
        <is>
          <t>PORT2</t>
        </is>
      </c>
      <c r="N400" s="2" t="n">
        <v>0</v>
      </c>
      <c r="O400" s="2" t="n">
        <v>0</v>
      </c>
      <c r="P400" s="2" t="n">
        <v>0</v>
      </c>
      <c r="Q400" s="2" t="n">
        <v>0</v>
      </c>
      <c r="R400" s="30">
        <f>IF(AND($C$5&lt;&gt;"",$A400=$C$5),1,"")</f>
        <v/>
      </c>
      <c r="S400" s="21">
        <f>IF(AND($C$5&lt;&gt;"",$A400=$C$5),SUMIFS($G$8:$G$715,$A$8:$A$715,$C$5,$B$8:$B$715,"&lt;="&amp;$B400),"")</f>
        <v/>
      </c>
      <c r="T400" s="24" t="n"/>
      <c r="U400" s="24" t="n"/>
    </row>
    <row r="401">
      <c r="A401" s="2" t="inlineStr">
        <is>
          <t>IND-72</t>
        </is>
      </c>
      <c r="B401" s="2" t="n">
        <v>1</v>
      </c>
      <c r="C401" s="2" t="inlineStr">
        <is>
          <t>IMP01161</t>
        </is>
      </c>
      <c r="D401" s="2" t="inlineStr">
        <is>
          <t>Arden Industries Co.</t>
        </is>
      </c>
      <c r="E401" s="2" t="n">
        <v>317</v>
      </c>
      <c r="F401" s="27" t="n">
        <v>1222616224.85</v>
      </c>
      <c r="G401" s="28" t="n">
        <v>0.4166</v>
      </c>
      <c r="H401" s="19" t="n">
        <v>0.962</v>
      </c>
      <c r="I401" s="29" t="n">
        <v>0.0284</v>
      </c>
      <c r="J401" s="2" t="inlineStr">
        <is>
          <t>EXP0123</t>
        </is>
      </c>
      <c r="K401" s="2" t="n">
        <v>5</v>
      </c>
      <c r="L401" s="2" t="inlineStr">
        <is>
          <t>BRK074</t>
        </is>
      </c>
      <c r="M401" s="2" t="inlineStr">
        <is>
          <t>PORT1</t>
        </is>
      </c>
      <c r="N401" s="2" t="n">
        <v>0</v>
      </c>
      <c r="O401" s="2" t="n">
        <v>0</v>
      </c>
      <c r="P401" s="2" t="n">
        <v>0</v>
      </c>
      <c r="Q401" s="2" t="n">
        <v>0</v>
      </c>
      <c r="R401" s="30">
        <f>IF(AND($C$5&lt;&gt;"",$A401=$C$5),1,"")</f>
        <v/>
      </c>
      <c r="S401" s="21">
        <f>IF(AND($C$5&lt;&gt;"",$A401=$C$5),SUMIFS($G$8:$G$715,$A$8:$A$715,$C$5,$B$8:$B$715,"&lt;="&amp;$B401),"")</f>
        <v/>
      </c>
      <c r="T401" s="24" t="n"/>
      <c r="U401" s="24" t="n"/>
    </row>
    <row r="402">
      <c r="A402" s="2" t="inlineStr">
        <is>
          <t>IND-72</t>
        </is>
      </c>
      <c r="B402" s="2" t="n">
        <v>2</v>
      </c>
      <c r="C402" s="2" t="inlineStr">
        <is>
          <t>IMP00970</t>
        </is>
      </c>
      <c r="D402" s="2" t="inlineStr">
        <is>
          <t>Blue Ocean Agro Holdings Ltd</t>
        </is>
      </c>
      <c r="E402" s="2" t="n">
        <v>118</v>
      </c>
      <c r="F402" s="27" t="n">
        <v>430667264.16</v>
      </c>
      <c r="G402" s="28" t="n">
        <v>0.1467</v>
      </c>
      <c r="H402" s="19" t="n">
        <v>0.861</v>
      </c>
      <c r="I402" s="29" t="n">
        <v>0.1186</v>
      </c>
      <c r="J402" s="2" t="inlineStr">
        <is>
          <t>EXP0555</t>
        </is>
      </c>
      <c r="K402" s="2" t="n">
        <v>5</v>
      </c>
      <c r="L402" s="2" t="inlineStr">
        <is>
          <t>BRK055</t>
        </is>
      </c>
      <c r="M402" s="2" t="inlineStr">
        <is>
          <t>LAND5</t>
        </is>
      </c>
      <c r="N402" s="2" t="n">
        <v>0</v>
      </c>
      <c r="O402" s="2" t="n">
        <v>0</v>
      </c>
      <c r="P402" s="2" t="n">
        <v>0</v>
      </c>
      <c r="Q402" s="2" t="n">
        <v>0</v>
      </c>
      <c r="R402" s="30">
        <f>IF(AND($C$5&lt;&gt;"",$A402=$C$5),1,"")</f>
        <v/>
      </c>
      <c r="S402" s="21">
        <f>IF(AND($C$5&lt;&gt;"",$A402=$C$5),SUMIFS($G$8:$G$715,$A$8:$A$715,$C$5,$B$8:$B$715,"&lt;="&amp;$B402),"")</f>
        <v/>
      </c>
      <c r="T402" s="24" t="n"/>
      <c r="U402" s="24" t="n"/>
    </row>
    <row r="403">
      <c r="A403" s="2" t="inlineStr">
        <is>
          <t>IND-72</t>
        </is>
      </c>
      <c r="B403" s="2" t="n">
        <v>3</v>
      </c>
      <c r="C403" s="2" t="inlineStr">
        <is>
          <t>IMP00237</t>
        </is>
      </c>
      <c r="D403" s="2" t="inlineStr">
        <is>
          <t>United Electronics &amp; Sons</t>
        </is>
      </c>
      <c r="E403" s="2" t="n">
        <v>31</v>
      </c>
      <c r="F403" s="27" t="n">
        <v>249720148.29</v>
      </c>
      <c r="G403" s="28" t="n">
        <v>0.0851</v>
      </c>
      <c r="H403" s="19" t="n">
        <v>0.855</v>
      </c>
      <c r="I403" s="29" t="n">
        <v>0.0968</v>
      </c>
      <c r="J403" s="2" t="inlineStr">
        <is>
          <t>EXP0019</t>
        </is>
      </c>
      <c r="K403" s="2" t="n">
        <v>5</v>
      </c>
      <c r="L403" s="2" t="inlineStr">
        <is>
          <t>BRK004</t>
        </is>
      </c>
      <c r="M403" s="2" t="inlineStr">
        <is>
          <t>LAND2</t>
        </is>
      </c>
      <c r="N403" s="2" t="n">
        <v>0</v>
      </c>
      <c r="O403" s="2" t="n">
        <v>0</v>
      </c>
      <c r="P403" s="2" t="n">
        <v>0</v>
      </c>
      <c r="Q403" s="2" t="n">
        <v>0</v>
      </c>
      <c r="R403" s="30">
        <f>IF(AND($C$5&lt;&gt;"",$A403=$C$5),1,"")</f>
        <v/>
      </c>
      <c r="S403" s="21">
        <f>IF(AND($C$5&lt;&gt;"",$A403=$C$5),SUMIFS($G$8:$G$715,$A$8:$A$715,$C$5,$B$8:$B$715,"&lt;="&amp;$B403),"")</f>
        <v/>
      </c>
      <c r="T403" s="24" t="n"/>
      <c r="U403" s="24" t="n"/>
    </row>
    <row r="404">
      <c r="A404" s="2" t="inlineStr">
        <is>
          <t>IND-72</t>
        </is>
      </c>
      <c r="B404" s="2" t="n">
        <v>4</v>
      </c>
      <c r="C404" s="2" t="inlineStr">
        <is>
          <t>IMP00404</t>
        </is>
      </c>
      <c r="D404" s="2" t="inlineStr">
        <is>
          <t>Ocean Living Limited</t>
        </is>
      </c>
      <c r="E404" s="2" t="n">
        <v>50</v>
      </c>
      <c r="F404" s="27" t="n">
        <v>155932859.28</v>
      </c>
      <c r="G404" s="28" t="n">
        <v>0.0531</v>
      </c>
      <c r="H404" s="19" t="n">
        <v>0.776</v>
      </c>
      <c r="I404" s="29" t="n">
        <v>0.34</v>
      </c>
      <c r="J404" s="2" t="inlineStr">
        <is>
          <t>EXP0403</t>
        </is>
      </c>
      <c r="K404" s="2" t="n">
        <v>4</v>
      </c>
      <c r="L404" s="2" t="inlineStr">
        <is>
          <t>BRK066</t>
        </is>
      </c>
      <c r="M404" s="2" t="inlineStr">
        <is>
          <t>LAND1</t>
        </is>
      </c>
      <c r="N404" s="2" t="n">
        <v>0</v>
      </c>
      <c r="O404" s="2" t="n">
        <v>0</v>
      </c>
      <c r="P404" s="2" t="n">
        <v>0</v>
      </c>
      <c r="Q404" s="2" t="n">
        <v>0</v>
      </c>
      <c r="R404" s="30">
        <f>IF(AND($C$5&lt;&gt;"",$A404=$C$5),1,"")</f>
        <v/>
      </c>
      <c r="S404" s="21">
        <f>IF(AND($C$5&lt;&gt;"",$A404=$C$5),SUMIFS($G$8:$G$715,$A$8:$A$715,$C$5,$B$8:$B$715,"&lt;="&amp;$B404),"")</f>
        <v/>
      </c>
      <c r="T404" s="24" t="n"/>
      <c r="U404" s="24" t="n"/>
    </row>
    <row r="405">
      <c r="A405" s="2" t="inlineStr">
        <is>
          <t>IND-72</t>
        </is>
      </c>
      <c r="B405" s="2" t="n">
        <v>5</v>
      </c>
      <c r="C405" s="2" t="inlineStr">
        <is>
          <t>IMP00866</t>
        </is>
      </c>
      <c r="D405" s="2" t="inlineStr">
        <is>
          <t>Pacific Mobile Group Ltd</t>
        </is>
      </c>
      <c r="E405" s="2" t="n">
        <v>44</v>
      </c>
      <c r="F405" s="27" t="n">
        <v>131924637.39</v>
      </c>
      <c r="G405" s="28" t="n">
        <v>0.0449</v>
      </c>
      <c r="H405" s="19" t="n">
        <v>0.8794999999999999</v>
      </c>
      <c r="I405" s="29" t="n">
        <v>0.09089999999999999</v>
      </c>
      <c r="J405" s="2" t="inlineStr">
        <is>
          <t>EXP0067</t>
        </is>
      </c>
      <c r="K405" s="2" t="n">
        <v>3</v>
      </c>
      <c r="L405" s="2" t="inlineStr">
        <is>
          <t>BRK059</t>
        </is>
      </c>
      <c r="M405" s="2" t="inlineStr">
        <is>
          <t>LAND1</t>
        </is>
      </c>
      <c r="N405" s="2" t="n">
        <v>0</v>
      </c>
      <c r="O405" s="2" t="n">
        <v>0</v>
      </c>
      <c r="P405" s="2" t="n">
        <v>0</v>
      </c>
      <c r="Q405" s="2" t="n">
        <v>0</v>
      </c>
      <c r="R405" s="30">
        <f>IF(AND($C$5&lt;&gt;"",$A405=$C$5),1,"")</f>
        <v/>
      </c>
      <c r="S405" s="21">
        <f>IF(AND($C$5&lt;&gt;"",$A405=$C$5),SUMIFS($G$8:$G$715,$A$8:$A$715,$C$5,$B$8:$B$715,"&lt;="&amp;$B405),"")</f>
        <v/>
      </c>
      <c r="T405" s="24" t="n"/>
      <c r="U405" s="24" t="n"/>
    </row>
    <row r="406">
      <c r="A406" s="2" t="inlineStr">
        <is>
          <t>IND-72</t>
        </is>
      </c>
      <c r="B406" s="2" t="n">
        <v>6</v>
      </c>
      <c r="C406" s="2" t="inlineStr">
        <is>
          <t>IMP00826</t>
        </is>
      </c>
      <c r="D406" s="2" t="inlineStr">
        <is>
          <t>Great Vellmoor Logistics &amp; Sons</t>
        </is>
      </c>
      <c r="E406" s="2" t="n">
        <v>41</v>
      </c>
      <c r="F406" s="27" t="n">
        <v>108301321.54</v>
      </c>
      <c r="G406" s="28" t="n">
        <v>0.0369</v>
      </c>
      <c r="H406" s="19" t="n">
        <v>0.9389999999999999</v>
      </c>
      <c r="I406" s="29" t="n">
        <v>0.0244</v>
      </c>
      <c r="J406" s="2" t="inlineStr">
        <is>
          <t>EXP0555</t>
        </is>
      </c>
      <c r="K406" s="2" t="n">
        <v>5</v>
      </c>
      <c r="L406" s="2" t="inlineStr">
        <is>
          <t>BRK029</t>
        </is>
      </c>
      <c r="M406" s="2" t="inlineStr">
        <is>
          <t>LAND4</t>
        </is>
      </c>
      <c r="N406" s="2" t="n">
        <v>0</v>
      </c>
      <c r="O406" s="2" t="n">
        <v>0</v>
      </c>
      <c r="P406" s="2" t="n">
        <v>0</v>
      </c>
      <c r="Q406" s="2" t="n">
        <v>0</v>
      </c>
      <c r="R406" s="30">
        <f>IF(AND($C$5&lt;&gt;"",$A406=$C$5),1,"")</f>
        <v/>
      </c>
      <c r="S406" s="21">
        <f>IF(AND($C$5&lt;&gt;"",$A406=$C$5),SUMIFS($G$8:$G$715,$A$8:$A$715,$C$5,$B$8:$B$715,"&lt;="&amp;$B406),"")</f>
        <v/>
      </c>
      <c r="T406" s="24" t="n"/>
      <c r="U406" s="24" t="n"/>
    </row>
    <row r="407">
      <c r="A407" s="2" t="inlineStr">
        <is>
          <t>IND-72</t>
        </is>
      </c>
      <c r="B407" s="2" t="n">
        <v>7</v>
      </c>
      <c r="C407" s="2" t="inlineStr">
        <is>
          <t>IMP00279</t>
        </is>
      </c>
      <c r="D407" s="2" t="inlineStr">
        <is>
          <t>Coral Living Enterprises</t>
        </is>
      </c>
      <c r="E407" s="2" t="n">
        <v>23</v>
      </c>
      <c r="F407" s="27" t="n">
        <v>100125512.08</v>
      </c>
      <c r="G407" s="28" t="n">
        <v>0.0341</v>
      </c>
      <c r="H407" s="19" t="n">
        <v>0.776</v>
      </c>
      <c r="I407" s="29" t="n">
        <v>0.3043</v>
      </c>
      <c r="J407" s="2" t="inlineStr">
        <is>
          <t>EXP0102</t>
        </is>
      </c>
      <c r="K407" s="2" t="n">
        <v>5</v>
      </c>
      <c r="L407" s="2" t="inlineStr">
        <is>
          <t>BRK041</t>
        </is>
      </c>
      <c r="M407" s="2" t="inlineStr">
        <is>
          <t>PORT1</t>
        </is>
      </c>
      <c r="N407" s="2" t="n">
        <v>0</v>
      </c>
      <c r="O407" s="2" t="n">
        <v>0</v>
      </c>
      <c r="P407" s="2" t="n">
        <v>0</v>
      </c>
      <c r="Q407" s="2" t="n">
        <v>0</v>
      </c>
      <c r="R407" s="30">
        <f>IF(AND($C$5&lt;&gt;"",$A407=$C$5),1,"")</f>
        <v/>
      </c>
      <c r="S407" s="21">
        <f>IF(AND($C$5&lt;&gt;"",$A407=$C$5),SUMIFS($G$8:$G$715,$A$8:$A$715,$C$5,$B$8:$B$715,"&lt;="&amp;$B407),"")</f>
        <v/>
      </c>
      <c r="T407" s="24" t="n"/>
      <c r="U407" s="24" t="n"/>
    </row>
    <row r="408">
      <c r="A408" s="2" t="inlineStr">
        <is>
          <t>IND-72</t>
        </is>
      </c>
      <c r="B408" s="2" t="n">
        <v>8</v>
      </c>
      <c r="C408" s="2" t="inlineStr">
        <is>
          <t>IMP00951</t>
        </is>
      </c>
      <c r="D408" s="2" t="inlineStr">
        <is>
          <t>Arden Logistics Group Ltd</t>
        </is>
      </c>
      <c r="E408" s="2" t="n">
        <v>20</v>
      </c>
      <c r="F408" s="27" t="n">
        <v>69033585.27</v>
      </c>
      <c r="G408" s="28" t="n">
        <v>0.0235</v>
      </c>
      <c r="H408" s="19" t="n">
        <v>0.864</v>
      </c>
      <c r="I408" s="29" t="n">
        <v>0.25</v>
      </c>
      <c r="J408" s="2" t="inlineStr">
        <is>
          <t>EXP0087</t>
        </is>
      </c>
      <c r="K408" s="2" t="n">
        <v>8</v>
      </c>
      <c r="L408" s="2" t="inlineStr">
        <is>
          <t>BRK007</t>
        </is>
      </c>
      <c r="M408" s="2" t="inlineStr">
        <is>
          <t>AIR1</t>
        </is>
      </c>
      <c r="N408" s="2" t="n">
        <v>0</v>
      </c>
      <c r="O408" s="2" t="n">
        <v>0</v>
      </c>
      <c r="P408" s="2" t="n">
        <v>0</v>
      </c>
      <c r="Q408" s="2" t="n">
        <v>0</v>
      </c>
      <c r="R408" s="30">
        <f>IF(AND($C$5&lt;&gt;"",$A408=$C$5),1,"")</f>
        <v/>
      </c>
      <c r="S408" s="21">
        <f>IF(AND($C$5&lt;&gt;"",$A408=$C$5),SUMIFS($G$8:$G$715,$A$8:$A$715,$C$5,$B$8:$B$715,"&lt;="&amp;$B408),"")</f>
        <v/>
      </c>
      <c r="T408" s="24" t="n"/>
      <c r="U408" s="24" t="n"/>
    </row>
    <row r="409">
      <c r="A409" s="2" t="inlineStr">
        <is>
          <t>IND-72</t>
        </is>
      </c>
      <c r="B409" s="2" t="n">
        <v>9</v>
      </c>
      <c r="C409" s="2" t="inlineStr">
        <is>
          <t>IMP00396</t>
        </is>
      </c>
      <c r="D409" s="2" t="inlineStr">
        <is>
          <t>Dunmore Logistics Limited</t>
        </is>
      </c>
      <c r="E409" s="2" t="n">
        <v>11</v>
      </c>
      <c r="F409" s="27" t="n">
        <v>62564804.42</v>
      </c>
      <c r="G409" s="28" t="n">
        <v>0.0213</v>
      </c>
      <c r="H409" s="19" t="n">
        <v>0.9429999999999999</v>
      </c>
      <c r="I409" s="29" t="n">
        <v>0</v>
      </c>
      <c r="J409" s="2" t="inlineStr">
        <is>
          <t>EXP0597</t>
        </is>
      </c>
      <c r="K409" s="2" t="n">
        <v>6</v>
      </c>
      <c r="L409" s="2" t="inlineStr">
        <is>
          <t>BRK049</t>
        </is>
      </c>
      <c r="M409" s="2" t="inlineStr">
        <is>
          <t>PORT1</t>
        </is>
      </c>
      <c r="N409" s="2" t="n">
        <v>0</v>
      </c>
      <c r="O409" s="2" t="n">
        <v>0</v>
      </c>
      <c r="P409" s="2" t="n">
        <v>0</v>
      </c>
      <c r="Q409" s="2" t="n">
        <v>0</v>
      </c>
      <c r="R409" s="30">
        <f>IF(AND($C$5&lt;&gt;"",$A409=$C$5),1,"")</f>
        <v/>
      </c>
      <c r="S409" s="21">
        <f>IF(AND($C$5&lt;&gt;"",$A409=$C$5),SUMIFS($G$8:$G$715,$A$8:$A$715,$C$5,$B$8:$B$715,"&lt;="&amp;$B409),"")</f>
        <v/>
      </c>
      <c r="T409" s="24" t="n"/>
      <c r="U409" s="24" t="n"/>
    </row>
    <row r="410">
      <c r="A410" s="2" t="inlineStr">
        <is>
          <t>IND-72</t>
        </is>
      </c>
      <c r="B410" s="2" t="n">
        <v>10</v>
      </c>
      <c r="C410" s="2" t="inlineStr">
        <is>
          <t>IMP01365</t>
        </is>
      </c>
      <c r="D410" s="2" t="inlineStr">
        <is>
          <t>Ashcombe Textiles Co., Ltd</t>
        </is>
      </c>
      <c r="E410" s="2" t="n">
        <v>17</v>
      </c>
      <c r="F410" s="27" t="n">
        <v>56108714.9</v>
      </c>
      <c r="G410" s="28" t="n">
        <v>0.0191</v>
      </c>
      <c r="H410" s="19" t="n">
        <v>0.8110000000000001</v>
      </c>
      <c r="I410" s="29" t="n">
        <v>0.1765</v>
      </c>
      <c r="J410" s="2" t="inlineStr">
        <is>
          <t>EXP0019</t>
        </is>
      </c>
      <c r="K410" s="2" t="n">
        <v>5</v>
      </c>
      <c r="L410" s="2" t="inlineStr">
        <is>
          <t>BRK074</t>
        </is>
      </c>
      <c r="M410" s="2" t="inlineStr">
        <is>
          <t>PORT3</t>
        </is>
      </c>
      <c r="N410" s="2" t="n">
        <v>0</v>
      </c>
      <c r="O410" s="2" t="n">
        <v>0</v>
      </c>
      <c r="P410" s="2" t="n">
        <v>0</v>
      </c>
      <c r="Q410" s="2" t="n">
        <v>0</v>
      </c>
      <c r="R410" s="30">
        <f>IF(AND($C$5&lt;&gt;"",$A410=$C$5),1,"")</f>
        <v/>
      </c>
      <c r="S410" s="21">
        <f>IF(AND($C$5&lt;&gt;"",$A410=$C$5),SUMIFS($G$8:$G$715,$A$8:$A$715,$C$5,$B$8:$B$715,"&lt;="&amp;$B410),"")</f>
        <v/>
      </c>
      <c r="T410" s="24" t="n"/>
      <c r="U410" s="24" t="n"/>
    </row>
    <row r="411">
      <c r="A411" s="2" t="inlineStr">
        <is>
          <t>IND-72</t>
        </is>
      </c>
      <c r="B411" s="2" t="n">
        <v>11</v>
      </c>
      <c r="C411" s="2" t="inlineStr">
        <is>
          <t>IMP01453</t>
        </is>
      </c>
      <c r="D411" s="2" t="inlineStr">
        <is>
          <t>Silver Enterprises Holdings Ltd</t>
        </is>
      </c>
      <c r="E411" s="2" t="n">
        <v>21</v>
      </c>
      <c r="F411" s="27" t="n">
        <v>55298917.52</v>
      </c>
      <c r="G411" s="28" t="n">
        <v>0.0188</v>
      </c>
      <c r="H411" s="19" t="n">
        <v>0.791</v>
      </c>
      <c r="I411" s="29" t="n">
        <v>0.2857</v>
      </c>
      <c r="J411" s="2" t="inlineStr">
        <is>
          <t>EXP0323</t>
        </is>
      </c>
      <c r="K411" s="2" t="n">
        <v>6</v>
      </c>
      <c r="L411" s="2" t="inlineStr">
        <is>
          <t>BRK027</t>
        </is>
      </c>
      <c r="M411" s="2" t="inlineStr">
        <is>
          <t>LAND2</t>
        </is>
      </c>
      <c r="N411" s="2" t="n">
        <v>0</v>
      </c>
      <c r="O411" s="2" t="n">
        <v>0</v>
      </c>
      <c r="P411" s="2" t="n">
        <v>0</v>
      </c>
      <c r="Q411" s="2" t="n">
        <v>0</v>
      </c>
      <c r="R411" s="30">
        <f>IF(AND($C$5&lt;&gt;"",$A411=$C$5),1,"")</f>
        <v/>
      </c>
      <c r="S411" s="21">
        <f>IF(AND($C$5&lt;&gt;"",$A411=$C$5),SUMIFS($G$8:$G$715,$A$8:$A$715,$C$5,$B$8:$B$715,"&lt;="&amp;$B411),"")</f>
        <v/>
      </c>
      <c r="T411" s="24" t="n"/>
      <c r="U411" s="24" t="n"/>
    </row>
    <row r="412">
      <c r="A412" s="2" t="inlineStr">
        <is>
          <t>IND-72</t>
        </is>
      </c>
      <c r="B412" s="2" t="n">
        <v>12</v>
      </c>
      <c r="C412" s="2" t="inlineStr">
        <is>
          <t>IMP00130</t>
        </is>
      </c>
      <c r="D412" s="2" t="inlineStr">
        <is>
          <t>Metro Glow Co., Ltd</t>
        </is>
      </c>
      <c r="E412" s="2" t="n">
        <v>13</v>
      </c>
      <c r="F412" s="27" t="n">
        <v>55004599.24</v>
      </c>
      <c r="G412" s="28" t="n">
        <v>0.0187</v>
      </c>
      <c r="H412" s="19" t="n">
        <v>0.829</v>
      </c>
      <c r="I412" s="29" t="n">
        <v>0.1538</v>
      </c>
      <c r="J412" s="2" t="inlineStr">
        <is>
          <t>EXP0434</t>
        </is>
      </c>
      <c r="K412" s="2" t="n">
        <v>5</v>
      </c>
      <c r="L412" s="2" t="inlineStr">
        <is>
          <t>BRK059</t>
        </is>
      </c>
      <c r="M412" s="2" t="inlineStr">
        <is>
          <t>AIR2</t>
        </is>
      </c>
      <c r="N412" s="2" t="n">
        <v>0</v>
      </c>
      <c r="O412" s="2" t="n">
        <v>0</v>
      </c>
      <c r="P412" s="2" t="n">
        <v>0</v>
      </c>
      <c r="Q412" s="2" t="n">
        <v>0</v>
      </c>
      <c r="R412" s="30">
        <f>IF(AND($C$5&lt;&gt;"",$A412=$C$5),1,"")</f>
        <v/>
      </c>
      <c r="S412" s="21">
        <f>IF(AND($C$5&lt;&gt;"",$A412=$C$5),SUMIFS($G$8:$G$715,$A$8:$A$715,$C$5,$B$8:$B$715,"&lt;="&amp;$B412),"")</f>
        <v/>
      </c>
      <c r="T412" s="24" t="n"/>
      <c r="U412" s="24" t="n"/>
    </row>
    <row r="413">
      <c r="A413" s="2" t="inlineStr">
        <is>
          <t>IND-72</t>
        </is>
      </c>
      <c r="B413" s="2" t="n">
        <v>13</v>
      </c>
      <c r="C413" s="2" t="inlineStr">
        <is>
          <t>IMP00723</t>
        </is>
      </c>
      <c r="D413" s="2" t="inlineStr">
        <is>
          <t>Twin Rivers Living Ltd</t>
        </is>
      </c>
      <c r="E413" s="2" t="n">
        <v>7</v>
      </c>
      <c r="F413" s="27" t="n">
        <v>43798882.1</v>
      </c>
      <c r="G413" s="28" t="n">
        <v>0.0149</v>
      </c>
      <c r="H413" s="19" t="n">
        <v>0.886</v>
      </c>
      <c r="I413" s="29" t="n">
        <v>0</v>
      </c>
      <c r="J413" s="2" t="inlineStr">
        <is>
          <t>EXP0379</t>
        </is>
      </c>
      <c r="K413" s="2" t="n">
        <v>10</v>
      </c>
      <c r="L413" s="2" t="inlineStr">
        <is>
          <t>BRK044</t>
        </is>
      </c>
      <c r="M413" s="2" t="inlineStr">
        <is>
          <t>PORT3</t>
        </is>
      </c>
      <c r="N413" s="2" t="n">
        <v>0</v>
      </c>
      <c r="O413" s="2" t="n">
        <v>0</v>
      </c>
      <c r="P413" s="2" t="n">
        <v>0</v>
      </c>
      <c r="Q413" s="2" t="n">
        <v>1</v>
      </c>
      <c r="R413" s="30">
        <f>IF(AND($C$5&lt;&gt;"",$A413=$C$5),1,"")</f>
        <v/>
      </c>
      <c r="S413" s="21">
        <f>IF(AND($C$5&lt;&gt;"",$A413=$C$5),SUMIFS($G$8:$G$715,$A$8:$A$715,$C$5,$B$8:$B$715,"&lt;="&amp;$B413),"")</f>
        <v/>
      </c>
      <c r="T413" s="24" t="n"/>
      <c r="U413" s="24" t="n"/>
    </row>
    <row r="414">
      <c r="A414" s="2" t="inlineStr">
        <is>
          <t>IND-72</t>
        </is>
      </c>
      <c r="B414" s="2" t="n">
        <v>14</v>
      </c>
      <c r="C414" s="2" t="inlineStr">
        <is>
          <t>IMP00600</t>
        </is>
      </c>
      <c r="D414" s="2" t="inlineStr">
        <is>
          <t>Eastern Fruits Co., Ltd</t>
        </is>
      </c>
      <c r="E414" s="2" t="n">
        <v>11</v>
      </c>
      <c r="F414" s="27" t="n">
        <v>40569322.26</v>
      </c>
      <c r="G414" s="28" t="n">
        <v>0.0138</v>
      </c>
      <c r="H414" s="19" t="n">
        <v>0.878</v>
      </c>
      <c r="I414" s="29" t="n">
        <v>0.09089999999999999</v>
      </c>
      <c r="J414" s="2" t="inlineStr">
        <is>
          <t>EXP0087</t>
        </is>
      </c>
      <c r="K414" s="2" t="n">
        <v>8</v>
      </c>
      <c r="L414" s="2" t="inlineStr">
        <is>
          <t>BRK046</t>
        </is>
      </c>
      <c r="M414" s="2" t="inlineStr">
        <is>
          <t>AIR2</t>
        </is>
      </c>
      <c r="N414" s="2" t="n">
        <v>0</v>
      </c>
      <c r="O414" s="2" t="n">
        <v>0</v>
      </c>
      <c r="P414" s="2" t="n">
        <v>0</v>
      </c>
      <c r="Q414" s="2" t="n">
        <v>0</v>
      </c>
      <c r="R414" s="30">
        <f>IF(AND($C$5&lt;&gt;"",$A414=$C$5),1,"")</f>
        <v/>
      </c>
      <c r="S414" s="21">
        <f>IF(AND($C$5&lt;&gt;"",$A414=$C$5),SUMIFS($G$8:$G$715,$A$8:$A$715,$C$5,$B$8:$B$715,"&lt;="&amp;$B414),"")</f>
        <v/>
      </c>
      <c r="T414" s="24" t="n"/>
      <c r="U414" s="24" t="n"/>
    </row>
    <row r="415">
      <c r="A415" s="2" t="inlineStr">
        <is>
          <t>IND-72</t>
        </is>
      </c>
      <c r="B415" s="2" t="n">
        <v>15</v>
      </c>
      <c r="C415" s="2" t="inlineStr">
        <is>
          <t>IMP00903</t>
        </is>
      </c>
      <c r="D415" s="2" t="inlineStr">
        <is>
          <t>Delta Imports Group Ltd</t>
        </is>
      </c>
      <c r="E415" s="2" t="n">
        <v>4</v>
      </c>
      <c r="F415" s="27" t="n">
        <v>33816654.75</v>
      </c>
      <c r="G415" s="28" t="n">
        <v>0.0115</v>
      </c>
      <c r="H415" s="19" t="n">
        <v>0.9065</v>
      </c>
      <c r="I415" s="29" t="n">
        <v>0</v>
      </c>
      <c r="J415" s="2" t="inlineStr">
        <is>
          <t>EXP0379</t>
        </is>
      </c>
      <c r="K415" s="2" t="n">
        <v>10</v>
      </c>
      <c r="L415" s="2" t="inlineStr">
        <is>
          <t>BRK063</t>
        </is>
      </c>
      <c r="M415" s="2" t="inlineStr">
        <is>
          <t>LAND1</t>
        </is>
      </c>
      <c r="N415" s="2" t="n">
        <v>0</v>
      </c>
      <c r="O415" s="2" t="n">
        <v>0</v>
      </c>
      <c r="P415" s="2" t="n">
        <v>0</v>
      </c>
      <c r="Q415" s="2" t="n">
        <v>0</v>
      </c>
      <c r="R415" s="30">
        <f>IF(AND($C$5&lt;&gt;"",$A415=$C$5),1,"")</f>
        <v/>
      </c>
      <c r="S415" s="21">
        <f>IF(AND($C$5&lt;&gt;"",$A415=$C$5),SUMIFS($G$8:$G$715,$A$8:$A$715,$C$5,$B$8:$B$715,"&lt;="&amp;$B415),"")</f>
        <v/>
      </c>
      <c r="T415" s="24" t="n"/>
      <c r="U415" s="24" t="n"/>
    </row>
    <row r="416">
      <c r="A416" s="2" t="inlineStr">
        <is>
          <t>IND-72</t>
        </is>
      </c>
      <c r="B416" s="2" t="n">
        <v>16</v>
      </c>
      <c r="C416" s="2" t="inlineStr">
        <is>
          <t>IMP01030</t>
        </is>
      </c>
      <c r="D416" s="2" t="inlineStr">
        <is>
          <t>Summit Imports Group Ltd</t>
        </is>
      </c>
      <c r="E416" s="2" t="n">
        <v>4</v>
      </c>
      <c r="F416" s="27" t="n">
        <v>17895377.84</v>
      </c>
      <c r="G416" s="28" t="n">
        <v>0.0061</v>
      </c>
      <c r="H416" s="19" t="n">
        <v>0.895</v>
      </c>
      <c r="I416" s="29" t="n">
        <v>0</v>
      </c>
      <c r="J416" s="2" t="inlineStr">
        <is>
          <t>EXP0588</t>
        </is>
      </c>
      <c r="K416" s="2" t="n">
        <v>4</v>
      </c>
      <c r="L416" s="2" t="inlineStr">
        <is>
          <t>BRK025</t>
        </is>
      </c>
      <c r="M416" s="2" t="inlineStr">
        <is>
          <t>PORT1</t>
        </is>
      </c>
      <c r="N416" s="2" t="n">
        <v>0</v>
      </c>
      <c r="O416" s="2" t="n">
        <v>0</v>
      </c>
      <c r="P416" s="2" t="n">
        <v>0</v>
      </c>
      <c r="Q416" s="2" t="n">
        <v>0</v>
      </c>
      <c r="R416" s="30">
        <f>IF(AND($C$5&lt;&gt;"",$A416=$C$5),1,"")</f>
        <v/>
      </c>
      <c r="S416" s="21">
        <f>IF(AND($C$5&lt;&gt;"",$A416=$C$5),SUMIFS($G$8:$G$715,$A$8:$A$715,$C$5,$B$8:$B$715,"&lt;="&amp;$B416),"")</f>
        <v/>
      </c>
      <c r="T416" s="24" t="n"/>
      <c r="U416" s="24" t="n"/>
    </row>
    <row r="417">
      <c r="A417" s="2" t="inlineStr">
        <is>
          <t>IND-72</t>
        </is>
      </c>
      <c r="B417" s="2" t="n">
        <v>17</v>
      </c>
      <c r="C417" s="2" t="inlineStr">
        <is>
          <t>IMP00749</t>
        </is>
      </c>
      <c r="D417" s="2" t="inlineStr">
        <is>
          <t>Silk Road Agro Ltd</t>
        </is>
      </c>
      <c r="E417" s="2" t="n">
        <v>2</v>
      </c>
      <c r="F417" s="27" t="n">
        <v>15524818.09</v>
      </c>
      <c r="G417" s="28" t="n">
        <v>0.0053</v>
      </c>
      <c r="H417" s="19" t="n">
        <v>0.8535</v>
      </c>
      <c r="I417" s="29" t="n">
        <v>0</v>
      </c>
      <c r="J417" s="2" t="inlineStr">
        <is>
          <t>EXP0019</t>
        </is>
      </c>
      <c r="K417" s="2" t="n">
        <v>5</v>
      </c>
      <c r="L417" s="2" t="inlineStr">
        <is>
          <t>BRK003</t>
        </is>
      </c>
      <c r="M417" s="2" t="inlineStr">
        <is>
          <t>LAND1</t>
        </is>
      </c>
      <c r="N417" s="2" t="n">
        <v>0</v>
      </c>
      <c r="O417" s="2" t="n">
        <v>0</v>
      </c>
      <c r="P417" s="2" t="n">
        <v>0</v>
      </c>
      <c r="Q417" s="2" t="n">
        <v>0</v>
      </c>
      <c r="R417" s="30">
        <f>IF(AND($C$5&lt;&gt;"",$A417=$C$5),1,"")</f>
        <v/>
      </c>
      <c r="S417" s="21">
        <f>IF(AND($C$5&lt;&gt;"",$A417=$C$5),SUMIFS($G$8:$G$715,$A$8:$A$715,$C$5,$B$8:$B$715,"&lt;="&amp;$B417),"")</f>
        <v/>
      </c>
      <c r="T417" s="24" t="n"/>
      <c r="U417" s="24" t="n"/>
    </row>
    <row r="418">
      <c r="A418" s="2" t="inlineStr">
        <is>
          <t>IND-72</t>
        </is>
      </c>
      <c r="B418" s="2" t="n">
        <v>18</v>
      </c>
      <c r="C418" s="2" t="inlineStr">
        <is>
          <t>IMP01298</t>
        </is>
      </c>
      <c r="D418" s="2" t="inlineStr">
        <is>
          <t>Delta Fruits Ltd</t>
        </is>
      </c>
      <c r="E418" s="2" t="n">
        <v>2</v>
      </c>
      <c r="F418" s="27" t="n">
        <v>15192831.19</v>
      </c>
      <c r="G418" s="28" t="n">
        <v>0.0052</v>
      </c>
      <c r="H418" s="19" t="n">
        <v>0.833</v>
      </c>
      <c r="I418" s="29" t="n">
        <v>0</v>
      </c>
      <c r="J418" s="2" t="inlineStr">
        <is>
          <t>EXP0597</t>
        </is>
      </c>
      <c r="K418" s="2" t="n">
        <v>6</v>
      </c>
      <c r="L418" s="2" t="inlineStr">
        <is>
          <t>BRK033</t>
        </is>
      </c>
      <c r="M418" s="2" t="inlineStr">
        <is>
          <t>LAND1</t>
        </is>
      </c>
      <c r="N418" s="2" t="n">
        <v>0</v>
      </c>
      <c r="O418" s="2" t="n">
        <v>0</v>
      </c>
      <c r="P418" s="2" t="n">
        <v>0</v>
      </c>
      <c r="Q418" s="2" t="n">
        <v>0</v>
      </c>
      <c r="R418" s="30">
        <f>IF(AND($C$5&lt;&gt;"",$A418=$C$5),1,"")</f>
        <v/>
      </c>
      <c r="S418" s="21">
        <f>IF(AND($C$5&lt;&gt;"",$A418=$C$5),SUMIFS($G$8:$G$715,$A$8:$A$715,$C$5,$B$8:$B$715,"&lt;="&amp;$B418),"")</f>
        <v/>
      </c>
      <c r="T418" s="24" t="n"/>
      <c r="U418" s="24" t="n"/>
    </row>
    <row r="419">
      <c r="A419" s="2" t="inlineStr">
        <is>
          <t>IND-72</t>
        </is>
      </c>
      <c r="B419" s="2" t="n">
        <v>19</v>
      </c>
      <c r="C419" s="2" t="inlineStr">
        <is>
          <t>IMP00714</t>
        </is>
      </c>
      <c r="D419" s="2" t="inlineStr">
        <is>
          <t>Summit Industries Holdings Ltd</t>
        </is>
      </c>
      <c r="E419" s="2" t="n">
        <v>3</v>
      </c>
      <c r="F419" s="27" t="n">
        <v>12725475.57</v>
      </c>
      <c r="G419" s="28" t="n">
        <v>0.0043</v>
      </c>
      <c r="H419" s="19" t="n">
        <v>0.846</v>
      </c>
      <c r="I419" s="29" t="n">
        <v>0</v>
      </c>
      <c r="J419" s="2" t="inlineStr">
        <is>
          <t>EXP0236</t>
        </is>
      </c>
      <c r="K419" s="2" t="n">
        <v>4</v>
      </c>
      <c r="L419" s="2" t="inlineStr">
        <is>
          <t>BRK056</t>
        </is>
      </c>
      <c r="M419" s="2" t="inlineStr">
        <is>
          <t>AIR2</t>
        </is>
      </c>
      <c r="N419" s="2" t="n">
        <v>0</v>
      </c>
      <c r="O419" s="2" t="n">
        <v>0</v>
      </c>
      <c r="P419" s="2" t="n">
        <v>0</v>
      </c>
      <c r="Q419" s="2" t="n">
        <v>0</v>
      </c>
      <c r="R419" s="30">
        <f>IF(AND($C$5&lt;&gt;"",$A419=$C$5),1,"")</f>
        <v/>
      </c>
      <c r="S419" s="21">
        <f>IF(AND($C$5&lt;&gt;"",$A419=$C$5),SUMIFS($G$8:$G$715,$A$8:$A$715,$C$5,$B$8:$B$715,"&lt;="&amp;$B419),"")</f>
        <v/>
      </c>
      <c r="T419" s="24" t="n"/>
      <c r="U419" s="24" t="n"/>
    </row>
    <row r="420">
      <c r="A420" s="2" t="inlineStr">
        <is>
          <t>IND-72</t>
        </is>
      </c>
      <c r="B420" s="2" t="n">
        <v>20</v>
      </c>
      <c r="C420" s="2" t="inlineStr">
        <is>
          <t>IMP00009</t>
        </is>
      </c>
      <c r="D420" s="2" t="inlineStr">
        <is>
          <t>Green Valley Imports Group Ltd</t>
        </is>
      </c>
      <c r="E420" s="2" t="n">
        <v>2</v>
      </c>
      <c r="F420" s="27" t="n">
        <v>10141365.12</v>
      </c>
      <c r="G420" s="28" t="n">
        <v>0.0035</v>
      </c>
      <c r="H420" s="19" t="n">
        <v>0.948</v>
      </c>
      <c r="I420" s="29" t="n">
        <v>0</v>
      </c>
      <c r="J420" s="2" t="inlineStr">
        <is>
          <t>EXP0379</t>
        </is>
      </c>
      <c r="K420" s="2" t="n">
        <v>10</v>
      </c>
      <c r="L420" s="2" t="inlineStr">
        <is>
          <t>BRK055</t>
        </is>
      </c>
      <c r="M420" s="2" t="inlineStr">
        <is>
          <t>AIR1</t>
        </is>
      </c>
      <c r="N420" s="2" t="n">
        <v>0</v>
      </c>
      <c r="O420" s="2" t="n">
        <v>0</v>
      </c>
      <c r="P420" s="2" t="n">
        <v>0</v>
      </c>
      <c r="Q420" s="2" t="n">
        <v>0</v>
      </c>
      <c r="R420" s="30">
        <f>IF(AND($C$5&lt;&gt;"",$A420=$C$5),1,"")</f>
        <v/>
      </c>
      <c r="S420" s="21">
        <f>IF(AND($C$5&lt;&gt;"",$A420=$C$5),SUMIFS($G$8:$G$715,$A$8:$A$715,$C$5,$B$8:$B$715,"&lt;="&amp;$B420),"")</f>
        <v/>
      </c>
      <c r="T420" s="24" t="n"/>
      <c r="U420" s="24" t="n"/>
    </row>
    <row r="421">
      <c r="A421" s="2" t="inlineStr">
        <is>
          <t>IND-72</t>
        </is>
      </c>
      <c r="B421" s="2" t="n">
        <v>21</v>
      </c>
      <c r="C421" s="2" t="inlineStr">
        <is>
          <t>IMP01401</t>
        </is>
      </c>
      <c r="D421" s="2" t="inlineStr">
        <is>
          <t>Coral Motors Co.</t>
        </is>
      </c>
      <c r="E421" s="2" t="n">
        <v>5</v>
      </c>
      <c r="F421" s="27" t="n">
        <v>8846927.470000001</v>
      </c>
      <c r="G421" s="28" t="n">
        <v>0.003</v>
      </c>
      <c r="H421" s="19" t="n">
        <v>0.8139999999999999</v>
      </c>
      <c r="I421" s="29" t="n">
        <v>0.2</v>
      </c>
      <c r="J421" s="2" t="inlineStr">
        <is>
          <t>EXP0379</t>
        </is>
      </c>
      <c r="K421" s="2" t="n">
        <v>10</v>
      </c>
      <c r="L421" s="2" t="inlineStr">
        <is>
          <t>BRK075</t>
        </is>
      </c>
      <c r="M421" s="2" t="inlineStr">
        <is>
          <t>PORT1</t>
        </is>
      </c>
      <c r="N421" s="2" t="n">
        <v>0</v>
      </c>
      <c r="O421" s="2" t="n">
        <v>0</v>
      </c>
      <c r="P421" s="2" t="n">
        <v>0</v>
      </c>
      <c r="Q421" s="2" t="n">
        <v>0</v>
      </c>
      <c r="R421" s="30">
        <f>IF(AND($C$5&lt;&gt;"",$A421=$C$5),1,"")</f>
        <v/>
      </c>
      <c r="S421" s="21">
        <f>IF(AND($C$5&lt;&gt;"",$A421=$C$5),SUMIFS($G$8:$G$715,$A$8:$A$715,$C$5,$B$8:$B$715,"&lt;="&amp;$B421),"")</f>
        <v/>
      </c>
      <c r="T421" s="24" t="n"/>
      <c r="U421" s="24" t="n"/>
    </row>
    <row r="422">
      <c r="A422" s="2" t="inlineStr">
        <is>
          <t>IND-72</t>
        </is>
      </c>
      <c r="B422" s="2" t="n">
        <v>22</v>
      </c>
      <c r="C422" s="2" t="inlineStr">
        <is>
          <t>IMP01346</t>
        </is>
      </c>
      <c r="D422" s="2" t="inlineStr">
        <is>
          <t>Global Medical Limited</t>
        </is>
      </c>
      <c r="E422" s="2" t="n">
        <v>2</v>
      </c>
      <c r="F422" s="27" t="n">
        <v>8644993.789999999</v>
      </c>
      <c r="G422" s="28" t="n">
        <v>0.0029</v>
      </c>
      <c r="H422" s="19" t="n">
        <v>0.9135</v>
      </c>
      <c r="I422" s="29" t="n">
        <v>0.5</v>
      </c>
      <c r="J422" s="2" t="inlineStr">
        <is>
          <t>EXP0008</t>
        </is>
      </c>
      <c r="K422" s="2" t="n">
        <v>3</v>
      </c>
      <c r="L422" s="2" t="inlineStr">
        <is>
          <t>BRK010</t>
        </is>
      </c>
      <c r="M422" s="2" t="inlineStr">
        <is>
          <t>PORT1</t>
        </is>
      </c>
      <c r="N422" s="2" t="n">
        <v>0</v>
      </c>
      <c r="O422" s="2" t="n">
        <v>0</v>
      </c>
      <c r="P422" s="2" t="n">
        <v>0</v>
      </c>
      <c r="Q422" s="2" t="n">
        <v>0</v>
      </c>
      <c r="R422" s="30">
        <f>IF(AND($C$5&lt;&gt;"",$A422=$C$5),1,"")</f>
        <v/>
      </c>
      <c r="S422" s="21">
        <f>IF(AND($C$5&lt;&gt;"",$A422=$C$5),SUMIFS($G$8:$G$715,$A$8:$A$715,$C$5,$B$8:$B$715,"&lt;="&amp;$B422),"")</f>
        <v/>
      </c>
      <c r="T422" s="24" t="n"/>
      <c r="U422" s="24" t="n"/>
    </row>
    <row r="423">
      <c r="A423" s="2" t="inlineStr">
        <is>
          <t>IND-72</t>
        </is>
      </c>
      <c r="B423" s="2" t="n">
        <v>23</v>
      </c>
      <c r="C423" s="2" t="inlineStr">
        <is>
          <t>IMP00613</t>
        </is>
      </c>
      <c r="D423" s="2" t="inlineStr">
        <is>
          <t>Sunrise Commercial Enterprises</t>
        </is>
      </c>
      <c r="E423" s="2" t="n">
        <v>3</v>
      </c>
      <c r="F423" s="27" t="n">
        <v>7740134.52</v>
      </c>
      <c r="G423" s="28" t="n">
        <v>0.0026</v>
      </c>
      <c r="H423" s="19" t="n">
        <v>0.836</v>
      </c>
      <c r="I423" s="29" t="n">
        <v>0</v>
      </c>
      <c r="J423" s="2" t="inlineStr">
        <is>
          <t>EXP0157</t>
        </is>
      </c>
      <c r="K423" s="2" t="n">
        <v>4</v>
      </c>
      <c r="L423" s="2" t="inlineStr">
        <is>
          <t>BRK069</t>
        </is>
      </c>
      <c r="M423" s="2" t="inlineStr">
        <is>
          <t>LAND2</t>
        </is>
      </c>
      <c r="N423" s="2" t="n">
        <v>0</v>
      </c>
      <c r="O423" s="2" t="n">
        <v>1</v>
      </c>
      <c r="P423" s="2" t="n">
        <v>0</v>
      </c>
      <c r="Q423" s="2" t="n">
        <v>0</v>
      </c>
      <c r="R423" s="30">
        <f>IF(AND($C$5&lt;&gt;"",$A423=$C$5),1,"")</f>
        <v/>
      </c>
      <c r="S423" s="21">
        <f>IF(AND($C$5&lt;&gt;"",$A423=$C$5),SUMIFS($G$8:$G$715,$A$8:$A$715,$C$5,$B$8:$B$715,"&lt;="&amp;$B423),"")</f>
        <v/>
      </c>
      <c r="T423" s="24" t="n"/>
      <c r="U423" s="24" t="n"/>
    </row>
    <row r="424">
      <c r="A424" s="2" t="inlineStr">
        <is>
          <t>IND-72</t>
        </is>
      </c>
      <c r="B424" s="2" t="n">
        <v>24</v>
      </c>
      <c r="C424" s="2" t="inlineStr">
        <is>
          <t>IMP01051</t>
        </is>
      </c>
      <c r="D424" s="2" t="inlineStr">
        <is>
          <t>Blue Ocean Enterprises Ltd</t>
        </is>
      </c>
      <c r="E424" s="2" t="n">
        <v>1</v>
      </c>
      <c r="F424" s="27" t="n">
        <v>5064462.01</v>
      </c>
      <c r="G424" s="28" t="n">
        <v>0.0017</v>
      </c>
      <c r="H424" s="19" t="n">
        <v>0.875</v>
      </c>
      <c r="I424" s="29" t="n">
        <v>0</v>
      </c>
      <c r="J424" s="2" t="inlineStr">
        <is>
          <t>EXP0449</t>
        </is>
      </c>
      <c r="K424" s="2" t="n">
        <v>5</v>
      </c>
      <c r="L424" s="2" t="inlineStr">
        <is>
          <t>BRK022</t>
        </is>
      </c>
      <c r="M424" s="2" t="inlineStr">
        <is>
          <t>AIR1</t>
        </is>
      </c>
      <c r="N424" s="2" t="n">
        <v>0</v>
      </c>
      <c r="O424" s="2" t="n">
        <v>0</v>
      </c>
      <c r="P424" s="2" t="n">
        <v>0</v>
      </c>
      <c r="Q424" s="2" t="n">
        <v>0</v>
      </c>
      <c r="R424" s="30">
        <f>IF(AND($C$5&lt;&gt;"",$A424=$C$5),1,"")</f>
        <v/>
      </c>
      <c r="S424" s="21">
        <f>IF(AND($C$5&lt;&gt;"",$A424=$C$5),SUMIFS($G$8:$G$715,$A$8:$A$715,$C$5,$B$8:$B$715,"&lt;="&amp;$B424),"")</f>
        <v/>
      </c>
      <c r="T424" s="24" t="n"/>
      <c r="U424" s="24" t="n"/>
    </row>
    <row r="425">
      <c r="A425" s="2" t="inlineStr">
        <is>
          <t>IND-72</t>
        </is>
      </c>
      <c r="B425" s="2" t="n">
        <v>25</v>
      </c>
      <c r="C425" s="2" t="inlineStr">
        <is>
          <t>IMP00580</t>
        </is>
      </c>
      <c r="D425" s="2" t="inlineStr">
        <is>
          <t>Harmony Pack &amp; Sons</t>
        </is>
      </c>
      <c r="E425" s="2" t="n">
        <v>1</v>
      </c>
      <c r="F425" s="27" t="n">
        <v>3531127.12</v>
      </c>
      <c r="G425" s="28" t="n">
        <v>0.0012</v>
      </c>
      <c r="H425" s="19" t="n">
        <v>0.786</v>
      </c>
      <c r="I425" s="29" t="n">
        <v>0</v>
      </c>
      <c r="J425" s="2" t="inlineStr">
        <is>
          <t>EXP0019</t>
        </is>
      </c>
      <c r="K425" s="2" t="n">
        <v>5</v>
      </c>
      <c r="L425" s="2" t="inlineStr">
        <is>
          <t>BRK049</t>
        </is>
      </c>
      <c r="M425" s="2" t="inlineStr">
        <is>
          <t>LAND2</t>
        </is>
      </c>
      <c r="N425" s="2" t="n">
        <v>0</v>
      </c>
      <c r="O425" s="2" t="n">
        <v>0</v>
      </c>
      <c r="P425" s="2" t="n">
        <v>0</v>
      </c>
      <c r="Q425" s="2" t="n">
        <v>0</v>
      </c>
      <c r="R425" s="30">
        <f>IF(AND($C$5&lt;&gt;"",$A425=$C$5),1,"")</f>
        <v/>
      </c>
      <c r="S425" s="21">
        <f>IF(AND($C$5&lt;&gt;"",$A425=$C$5),SUMIFS($G$8:$G$715,$A$8:$A$715,$C$5,$B$8:$B$715,"&lt;="&amp;$B425),"")</f>
        <v/>
      </c>
      <c r="T425" s="24" t="n"/>
      <c r="U425" s="24" t="n"/>
    </row>
    <row r="426">
      <c r="A426" s="2" t="inlineStr">
        <is>
          <t>IND-72</t>
        </is>
      </c>
      <c r="B426" s="2" t="n">
        <v>26</v>
      </c>
      <c r="C426" s="2" t="inlineStr">
        <is>
          <t>IMP00989</t>
        </is>
      </c>
      <c r="D426" s="2" t="inlineStr">
        <is>
          <t>Summit Industries Co.</t>
        </is>
      </c>
      <c r="E426" s="2" t="n">
        <v>1</v>
      </c>
      <c r="F426" s="27" t="n">
        <v>3117428.8</v>
      </c>
      <c r="G426" s="28" t="n">
        <v>0.0011</v>
      </c>
      <c r="H426" s="19" t="n">
        <v>0.861</v>
      </c>
      <c r="I426" s="29" t="n">
        <v>0</v>
      </c>
      <c r="J426" s="2" t="inlineStr">
        <is>
          <t>EXP0123</t>
        </is>
      </c>
      <c r="K426" s="2" t="n">
        <v>5</v>
      </c>
      <c r="L426" s="2" t="inlineStr">
        <is>
          <t>BRK066</t>
        </is>
      </c>
      <c r="M426" s="2" t="inlineStr">
        <is>
          <t>PORT3</t>
        </is>
      </c>
      <c r="N426" s="2" t="n">
        <v>0</v>
      </c>
      <c r="O426" s="2" t="n">
        <v>0</v>
      </c>
      <c r="P426" s="2" t="n">
        <v>0</v>
      </c>
      <c r="Q426" s="2" t="n">
        <v>0</v>
      </c>
      <c r="R426" s="30">
        <f>IF(AND($C$5&lt;&gt;"",$A426=$C$5),1,"")</f>
        <v/>
      </c>
      <c r="S426" s="21">
        <f>IF(AND($C$5&lt;&gt;"",$A426=$C$5),SUMIFS($G$8:$G$715,$A$8:$A$715,$C$5,$B$8:$B$715,"&lt;="&amp;$B426),"")</f>
        <v/>
      </c>
      <c r="T426" s="24" t="n"/>
      <c r="U426" s="24" t="n"/>
    </row>
    <row r="427">
      <c r="A427" s="2" t="inlineStr">
        <is>
          <t>IND-72</t>
        </is>
      </c>
      <c r="B427" s="2" t="n">
        <v>27</v>
      </c>
      <c r="C427" s="2" t="inlineStr">
        <is>
          <t>IMP00439</t>
        </is>
      </c>
      <c r="D427" s="2" t="inlineStr">
        <is>
          <t>Saffron Pack Co.</t>
        </is>
      </c>
      <c r="E427" s="2" t="n">
        <v>1</v>
      </c>
      <c r="F427" s="27" t="n">
        <v>2874438.7</v>
      </c>
      <c r="G427" s="28" t="n">
        <v>0.001</v>
      </c>
      <c r="H427" s="19" t="n">
        <v>0.711</v>
      </c>
      <c r="I427" s="29" t="n">
        <v>1</v>
      </c>
      <c r="J427" s="2" t="inlineStr">
        <is>
          <t>EXP0102</t>
        </is>
      </c>
      <c r="K427" s="2" t="n">
        <v>5</v>
      </c>
      <c r="L427" s="2" t="inlineStr">
        <is>
          <t>BRK059</t>
        </is>
      </c>
      <c r="M427" s="2" t="inlineStr">
        <is>
          <t>LAND3</t>
        </is>
      </c>
      <c r="N427" s="2" t="n">
        <v>0</v>
      </c>
      <c r="O427" s="2" t="n">
        <v>0</v>
      </c>
      <c r="P427" s="2" t="n">
        <v>0</v>
      </c>
      <c r="Q427" s="2" t="n">
        <v>0</v>
      </c>
      <c r="R427" s="30">
        <f>IF(AND($C$5&lt;&gt;"",$A427=$C$5),1,"")</f>
        <v/>
      </c>
      <c r="S427" s="21">
        <f>IF(AND($C$5&lt;&gt;"",$A427=$C$5),SUMIFS($G$8:$G$715,$A$8:$A$715,$C$5,$B$8:$B$715,"&lt;="&amp;$B427),"")</f>
        <v/>
      </c>
      <c r="T427" s="24" t="n"/>
      <c r="U427" s="24" t="n"/>
    </row>
    <row r="428">
      <c r="A428" s="2" t="inlineStr">
        <is>
          <t>IND-72</t>
        </is>
      </c>
      <c r="B428" s="2" t="n">
        <v>28</v>
      </c>
      <c r="C428" s="2" t="inlineStr">
        <is>
          <t>IMP00300</t>
        </is>
      </c>
      <c r="D428" s="2" t="inlineStr">
        <is>
          <t>Jade Industries Partners Ltd</t>
        </is>
      </c>
      <c r="E428" s="2" t="n">
        <v>1</v>
      </c>
      <c r="F428" s="27" t="n">
        <v>2195583</v>
      </c>
      <c r="G428" s="28" t="n">
        <v>0.0007</v>
      </c>
      <c r="H428" s="19" t="n">
        <v>0.895</v>
      </c>
      <c r="I428" s="29" t="n">
        <v>0</v>
      </c>
      <c r="J428" s="2" t="inlineStr">
        <is>
          <t>EXP0087</t>
        </is>
      </c>
      <c r="K428" s="2" t="n">
        <v>8</v>
      </c>
      <c r="L428" s="2" t="inlineStr">
        <is>
          <t>BRK075</t>
        </is>
      </c>
      <c r="M428" s="2" t="inlineStr">
        <is>
          <t>LAND5</t>
        </is>
      </c>
      <c r="N428" s="2" t="n">
        <v>0</v>
      </c>
      <c r="O428" s="2" t="n">
        <v>0</v>
      </c>
      <c r="P428" s="2" t="n">
        <v>0</v>
      </c>
      <c r="Q428" s="2" t="n">
        <v>0</v>
      </c>
      <c r="R428" s="30">
        <f>IF(AND($C$5&lt;&gt;"",$A428=$C$5),1,"")</f>
        <v/>
      </c>
      <c r="S428" s="21">
        <f>IF(AND($C$5&lt;&gt;"",$A428=$C$5),SUMIFS($G$8:$G$715,$A$8:$A$715,$C$5,$B$8:$B$715,"&lt;="&amp;$B428),"")</f>
        <v/>
      </c>
      <c r="T428" s="24" t="n"/>
      <c r="U428" s="24" t="n"/>
    </row>
    <row r="429">
      <c r="A429" s="2" t="inlineStr">
        <is>
          <t>IND-72</t>
        </is>
      </c>
      <c r="B429" s="2" t="n">
        <v>29</v>
      </c>
      <c r="C429" s="2" t="inlineStr">
        <is>
          <t>IMP00813</t>
        </is>
      </c>
      <c r="D429" s="2" t="inlineStr">
        <is>
          <t>Aldergate Fruits Co., Ltd</t>
        </is>
      </c>
      <c r="E429" s="2" t="n">
        <v>1</v>
      </c>
      <c r="F429" s="27" t="n">
        <v>2033528.15</v>
      </c>
      <c r="G429" s="28" t="n">
        <v>0.0007</v>
      </c>
      <c r="H429" s="19" t="n">
        <v>0.872</v>
      </c>
      <c r="I429" s="29" t="n">
        <v>0</v>
      </c>
      <c r="J429" s="2" t="inlineStr">
        <is>
          <t>EXP0588</t>
        </is>
      </c>
      <c r="K429" s="2" t="n">
        <v>4</v>
      </c>
      <c r="L429" s="2" t="inlineStr">
        <is>
          <t>BRK061</t>
        </is>
      </c>
      <c r="M429" s="2" t="inlineStr">
        <is>
          <t>LAND1</t>
        </is>
      </c>
      <c r="N429" s="2" t="n">
        <v>0</v>
      </c>
      <c r="O429" s="2" t="n">
        <v>0</v>
      </c>
      <c r="P429" s="2" t="n">
        <v>0</v>
      </c>
      <c r="Q429" s="2" t="n">
        <v>0</v>
      </c>
      <c r="R429" s="30">
        <f>IF(AND($C$5&lt;&gt;"",$A429=$C$5),1,"")</f>
        <v/>
      </c>
      <c r="S429" s="21">
        <f>IF(AND($C$5&lt;&gt;"",$A429=$C$5),SUMIFS($G$8:$G$715,$A$8:$A$715,$C$5,$B$8:$B$715,"&lt;="&amp;$B429),"")</f>
        <v/>
      </c>
      <c r="T429" s="24" t="n"/>
      <c r="U429" s="24" t="n"/>
    </row>
    <row r="430">
      <c r="A430" s="2" t="inlineStr">
        <is>
          <t>IND-72</t>
        </is>
      </c>
      <c r="B430" s="2" t="n">
        <v>30</v>
      </c>
      <c r="C430" s="2" t="inlineStr">
        <is>
          <t>IMP00343</t>
        </is>
      </c>
      <c r="D430" s="2" t="inlineStr">
        <is>
          <t>Arden Pack Holdings Ltd</t>
        </is>
      </c>
      <c r="E430" s="2" t="n">
        <v>1</v>
      </c>
      <c r="F430" s="27" t="n">
        <v>1733547.81</v>
      </c>
      <c r="G430" s="28" t="n">
        <v>0.0005999999999999999</v>
      </c>
      <c r="H430" s="19" t="n">
        <v>0.719</v>
      </c>
      <c r="I430" s="29" t="n">
        <v>1</v>
      </c>
      <c r="J430" s="2" t="inlineStr">
        <is>
          <t>EXP0379</t>
        </is>
      </c>
      <c r="K430" s="2" t="n">
        <v>10</v>
      </c>
      <c r="L430" s="2" t="inlineStr">
        <is>
          <t>BRK068</t>
        </is>
      </c>
      <c r="M430" s="2" t="inlineStr">
        <is>
          <t>PORT1</t>
        </is>
      </c>
      <c r="N430" s="2" t="n">
        <v>0</v>
      </c>
      <c r="O430" s="2" t="n">
        <v>0</v>
      </c>
      <c r="P430" s="2" t="n">
        <v>0</v>
      </c>
      <c r="Q430" s="2" t="n">
        <v>0</v>
      </c>
      <c r="R430" s="30">
        <f>IF(AND($C$5&lt;&gt;"",$A430=$C$5),1,"")</f>
        <v/>
      </c>
      <c r="S430" s="21">
        <f>IF(AND($C$5&lt;&gt;"",$A430=$C$5),SUMIFS($G$8:$G$715,$A$8:$A$715,$C$5,$B$8:$B$715,"&lt;="&amp;$B430),"")</f>
        <v/>
      </c>
      <c r="T430" s="24" t="n"/>
      <c r="U430" s="24" t="n"/>
    </row>
    <row r="431">
      <c r="A431" s="2" t="inlineStr">
        <is>
          <t>IND-72</t>
        </is>
      </c>
      <c r="B431" s="2" t="n">
        <v>31</v>
      </c>
      <c r="C431" s="2" t="inlineStr">
        <is>
          <t>IMP00636</t>
        </is>
      </c>
      <c r="D431" s="2" t="inlineStr">
        <is>
          <t>Phoenix Distribution &amp; Sons</t>
        </is>
      </c>
      <c r="E431" s="2" t="n">
        <v>1</v>
      </c>
      <c r="F431" s="27" t="n">
        <v>1601841.94</v>
      </c>
      <c r="G431" s="28" t="n">
        <v>0.0005</v>
      </c>
      <c r="H431" s="19" t="n">
        <v>0.975</v>
      </c>
      <c r="I431" s="29" t="n">
        <v>0</v>
      </c>
      <c r="J431" s="2" t="inlineStr">
        <is>
          <t>EXP0186</t>
        </is>
      </c>
      <c r="K431" s="2" t="n">
        <v>6</v>
      </c>
      <c r="L431" s="2" t="inlineStr">
        <is>
          <t>BRK014</t>
        </is>
      </c>
      <c r="M431" s="2" t="inlineStr">
        <is>
          <t>LAND3</t>
        </is>
      </c>
      <c r="N431" s="2" t="n">
        <v>0</v>
      </c>
      <c r="O431" s="2" t="n">
        <v>0</v>
      </c>
      <c r="P431" s="2" t="n">
        <v>0</v>
      </c>
      <c r="Q431" s="2" t="n">
        <v>0</v>
      </c>
      <c r="R431" s="30">
        <f>IF(AND($C$5&lt;&gt;"",$A431=$C$5),1,"")</f>
        <v/>
      </c>
      <c r="S431" s="21">
        <f>IF(AND($C$5&lt;&gt;"",$A431=$C$5),SUMIFS($G$8:$G$715,$A$8:$A$715,$C$5,$B$8:$B$715,"&lt;="&amp;$B431),"")</f>
        <v/>
      </c>
      <c r="T431" s="24" t="n"/>
      <c r="U431" s="24" t="n"/>
    </row>
    <row r="432">
      <c r="A432" s="2" t="inlineStr">
        <is>
          <t>IND-72</t>
        </is>
      </c>
      <c r="B432" s="2" t="n">
        <v>32</v>
      </c>
      <c r="C432" s="2" t="inlineStr">
        <is>
          <t>IMP00947</t>
        </is>
      </c>
      <c r="D432" s="2" t="inlineStr">
        <is>
          <t>Summit Textiles International Ltd</t>
        </is>
      </c>
      <c r="E432" s="2" t="n">
        <v>1</v>
      </c>
      <c r="F432" s="27" t="n">
        <v>647346.1800000001</v>
      </c>
      <c r="G432" s="28" t="n">
        <v>0.0002</v>
      </c>
      <c r="H432" s="19" t="n">
        <v>1.033</v>
      </c>
      <c r="I432" s="29" t="n">
        <v>0</v>
      </c>
      <c r="J432" s="2" t="inlineStr">
        <is>
          <t>EXP0186</t>
        </is>
      </c>
      <c r="K432" s="2" t="n">
        <v>6</v>
      </c>
      <c r="L432" s="2" t="inlineStr">
        <is>
          <t>BRK023</t>
        </is>
      </c>
      <c r="M432" s="2" t="inlineStr">
        <is>
          <t>LAND1</t>
        </is>
      </c>
      <c r="N432" s="2" t="n">
        <v>0</v>
      </c>
      <c r="O432" s="2" t="n">
        <v>0</v>
      </c>
      <c r="P432" s="2" t="n">
        <v>0</v>
      </c>
      <c r="Q432" s="2" t="n">
        <v>0</v>
      </c>
      <c r="R432" s="30">
        <f>IF(AND($C$5&lt;&gt;"",$A432=$C$5),1,"")</f>
        <v/>
      </c>
      <c r="S432" s="21">
        <f>IF(AND($C$5&lt;&gt;"",$A432=$C$5),SUMIFS($G$8:$G$715,$A$8:$A$715,$C$5,$B$8:$B$715,"&lt;="&amp;$B432),"")</f>
        <v/>
      </c>
      <c r="T432" s="24" t="n"/>
      <c r="U432" s="24" t="n"/>
    </row>
    <row r="433">
      <c r="A433" s="2" t="inlineStr">
        <is>
          <t>IND-85</t>
        </is>
      </c>
      <c r="B433" s="2" t="n">
        <v>1</v>
      </c>
      <c r="C433" s="2" t="inlineStr">
        <is>
          <t>IMP00591</t>
        </is>
      </c>
      <c r="D433" s="2" t="inlineStr">
        <is>
          <t>Twin Rivers Medical Ltd</t>
        </is>
      </c>
      <c r="E433" s="2" t="n">
        <v>368</v>
      </c>
      <c r="F433" s="27" t="n">
        <v>1027246516.42</v>
      </c>
      <c r="G433" s="28" t="n">
        <v>0.2406</v>
      </c>
      <c r="H433" s="19" t="n">
        <v>1.0015</v>
      </c>
      <c r="I433" s="29" t="n">
        <v>0.1114</v>
      </c>
      <c r="J433" s="2" t="inlineStr">
        <is>
          <t>EXP0555</t>
        </is>
      </c>
      <c r="K433" s="2" t="n">
        <v>12</v>
      </c>
      <c r="L433" s="2" t="inlineStr">
        <is>
          <t>BRK044</t>
        </is>
      </c>
      <c r="M433" s="2" t="inlineStr">
        <is>
          <t>LAND1</t>
        </is>
      </c>
      <c r="N433" s="2" t="n">
        <v>0</v>
      </c>
      <c r="O433" s="2" t="n">
        <v>0</v>
      </c>
      <c r="P433" s="2" t="n">
        <v>0</v>
      </c>
      <c r="Q433" s="2" t="n">
        <v>0</v>
      </c>
      <c r="R433" s="30">
        <f>IF(AND($C$5&lt;&gt;"",$A433=$C$5),1,"")</f>
        <v/>
      </c>
      <c r="S433" s="21">
        <f>IF(AND($C$5&lt;&gt;"",$A433=$C$5),SUMIFS($G$8:$G$715,$A$8:$A$715,$C$5,$B$8:$B$715,"&lt;="&amp;$B433),"")</f>
        <v/>
      </c>
      <c r="T433" s="24" t="n"/>
      <c r="U433" s="24" t="n"/>
    </row>
    <row r="434">
      <c r="A434" s="2" t="inlineStr">
        <is>
          <t>IND-85</t>
        </is>
      </c>
      <c r="B434" s="2" t="n">
        <v>2</v>
      </c>
      <c r="C434" s="2" t="inlineStr">
        <is>
          <t>IMP01187</t>
        </is>
      </c>
      <c r="D434" s="2" t="inlineStr">
        <is>
          <t>Prescott Living &amp; Sons</t>
        </is>
      </c>
      <c r="E434" s="2" t="n">
        <v>399</v>
      </c>
      <c r="F434" s="27" t="n">
        <v>756798265.6</v>
      </c>
      <c r="G434" s="28" t="n">
        <v>0.1772</v>
      </c>
      <c r="H434" s="19" t="n">
        <v>0.93</v>
      </c>
      <c r="I434" s="29" t="n">
        <v>0.0727</v>
      </c>
      <c r="J434" s="2" t="inlineStr">
        <is>
          <t>EXP0067</t>
        </is>
      </c>
      <c r="K434" s="2" t="n">
        <v>7</v>
      </c>
      <c r="L434" s="2" t="inlineStr">
        <is>
          <t>BRK024</t>
        </is>
      </c>
      <c r="M434" s="2" t="inlineStr">
        <is>
          <t>PORT3</t>
        </is>
      </c>
      <c r="N434" s="2" t="n">
        <v>0</v>
      </c>
      <c r="O434" s="2" t="n">
        <v>0</v>
      </c>
      <c r="P434" s="2" t="n">
        <v>0</v>
      </c>
      <c r="Q434" s="2" t="n">
        <v>0</v>
      </c>
      <c r="R434" s="30">
        <f>IF(AND($C$5&lt;&gt;"",$A434=$C$5),1,"")</f>
        <v/>
      </c>
      <c r="S434" s="21">
        <f>IF(AND($C$5&lt;&gt;"",$A434=$C$5),SUMIFS($G$8:$G$715,$A$8:$A$715,$C$5,$B$8:$B$715,"&lt;="&amp;$B434),"")</f>
        <v/>
      </c>
      <c r="T434" s="24" t="n"/>
      <c r="U434" s="24" t="n"/>
    </row>
    <row r="435">
      <c r="A435" s="2" t="inlineStr">
        <is>
          <t>IND-85</t>
        </is>
      </c>
      <c r="B435" s="2" t="n">
        <v>3</v>
      </c>
      <c r="C435" s="2" t="inlineStr">
        <is>
          <t>IMP01387</t>
        </is>
      </c>
      <c r="D435" s="2" t="inlineStr">
        <is>
          <t>Global Enterprises Limited</t>
        </is>
      </c>
      <c r="E435" s="2" t="n">
        <v>196</v>
      </c>
      <c r="F435" s="27" t="n">
        <v>263485583.55</v>
      </c>
      <c r="G435" s="28" t="n">
        <v>0.0617</v>
      </c>
      <c r="H435" s="19" t="n">
        <v>0.916</v>
      </c>
      <c r="I435" s="29" t="n">
        <v>0.1837</v>
      </c>
      <c r="J435" s="2" t="inlineStr">
        <is>
          <t>EXP0323</t>
        </is>
      </c>
      <c r="K435" s="2" t="n">
        <v>7</v>
      </c>
      <c r="L435" s="2" t="inlineStr">
        <is>
          <t>BRK036</t>
        </is>
      </c>
      <c r="M435" s="2" t="inlineStr">
        <is>
          <t>PORT2</t>
        </is>
      </c>
      <c r="N435" s="2" t="n">
        <v>0</v>
      </c>
      <c r="O435" s="2" t="n">
        <v>0</v>
      </c>
      <c r="P435" s="2" t="n">
        <v>0</v>
      </c>
      <c r="Q435" s="2" t="n">
        <v>0</v>
      </c>
      <c r="R435" s="30">
        <f>IF(AND($C$5&lt;&gt;"",$A435=$C$5),1,"")</f>
        <v/>
      </c>
      <c r="S435" s="21">
        <f>IF(AND($C$5&lt;&gt;"",$A435=$C$5),SUMIFS($G$8:$G$715,$A$8:$A$715,$C$5,$B$8:$B$715,"&lt;="&amp;$B435),"")</f>
        <v/>
      </c>
      <c r="T435" s="24" t="n"/>
      <c r="U435" s="24" t="n"/>
    </row>
    <row r="436">
      <c r="A436" s="2" t="inlineStr">
        <is>
          <t>IND-85</t>
        </is>
      </c>
      <c r="B436" s="2" t="n">
        <v>4</v>
      </c>
      <c r="C436" s="2" t="inlineStr">
        <is>
          <t>IMP00512</t>
        </is>
      </c>
      <c r="D436" s="2" t="inlineStr">
        <is>
          <t>Global Industries Ltd</t>
        </is>
      </c>
      <c r="E436" s="2" t="n">
        <v>79</v>
      </c>
      <c r="F436" s="27" t="n">
        <v>211111572.09</v>
      </c>
      <c r="G436" s="28" t="n">
        <v>0.0494</v>
      </c>
      <c r="H436" s="19" t="n">
        <v>0.98</v>
      </c>
      <c r="I436" s="29" t="n">
        <v>0.1392</v>
      </c>
      <c r="J436" s="2" t="inlineStr">
        <is>
          <t>EXP0434</t>
        </is>
      </c>
      <c r="K436" s="2" t="n">
        <v>11</v>
      </c>
      <c r="L436" s="2" t="inlineStr">
        <is>
          <t>BRK010</t>
        </is>
      </c>
      <c r="M436" s="2" t="inlineStr">
        <is>
          <t>AIR1</t>
        </is>
      </c>
      <c r="N436" s="2" t="n">
        <v>0</v>
      </c>
      <c r="O436" s="2" t="n">
        <v>0</v>
      </c>
      <c r="P436" s="2" t="n">
        <v>0</v>
      </c>
      <c r="Q436" s="2" t="n">
        <v>0</v>
      </c>
      <c r="R436" s="30">
        <f>IF(AND($C$5&lt;&gt;"",$A436=$C$5),1,"")</f>
        <v/>
      </c>
      <c r="S436" s="21">
        <f>IF(AND($C$5&lt;&gt;"",$A436=$C$5),SUMIFS($G$8:$G$715,$A$8:$A$715,$C$5,$B$8:$B$715,"&lt;="&amp;$B436),"")</f>
        <v/>
      </c>
      <c r="T436" s="24" t="n"/>
      <c r="U436" s="24" t="n"/>
    </row>
    <row r="437">
      <c r="A437" s="2" t="inlineStr">
        <is>
          <t>IND-85</t>
        </is>
      </c>
      <c r="B437" s="2" t="n">
        <v>5</v>
      </c>
      <c r="C437" s="2" t="inlineStr">
        <is>
          <t>IMP00989</t>
        </is>
      </c>
      <c r="D437" s="2" t="inlineStr">
        <is>
          <t>Summit Industries Co.</t>
        </is>
      </c>
      <c r="E437" s="2" t="n">
        <v>47</v>
      </c>
      <c r="F437" s="27" t="n">
        <v>195511318.51</v>
      </c>
      <c r="G437" s="28" t="n">
        <v>0.0458</v>
      </c>
      <c r="H437" s="19" t="n">
        <v>0.983</v>
      </c>
      <c r="I437" s="29" t="n">
        <v>0.2766</v>
      </c>
      <c r="J437" s="2" t="inlineStr">
        <is>
          <t>EXP0123</t>
        </is>
      </c>
      <c r="K437" s="2" t="n">
        <v>6</v>
      </c>
      <c r="L437" s="2" t="inlineStr">
        <is>
          <t>BRK066</t>
        </is>
      </c>
      <c r="M437" s="2" t="inlineStr">
        <is>
          <t>PORT3</t>
        </is>
      </c>
      <c r="N437" s="2" t="n">
        <v>0</v>
      </c>
      <c r="O437" s="2" t="n">
        <v>0</v>
      </c>
      <c r="P437" s="2" t="n">
        <v>0</v>
      </c>
      <c r="Q437" s="2" t="n">
        <v>0</v>
      </c>
      <c r="R437" s="30">
        <f>IF(AND($C$5&lt;&gt;"",$A437=$C$5),1,"")</f>
        <v/>
      </c>
      <c r="S437" s="21">
        <f>IF(AND($C$5&lt;&gt;"",$A437=$C$5),SUMIFS($G$8:$G$715,$A$8:$A$715,$C$5,$B$8:$B$715,"&lt;="&amp;$B437),"")</f>
        <v/>
      </c>
      <c r="T437" s="24" t="n"/>
      <c r="U437" s="24" t="n"/>
    </row>
    <row r="438">
      <c r="A438" s="2" t="inlineStr">
        <is>
          <t>IND-85</t>
        </is>
      </c>
      <c r="B438" s="2" t="n">
        <v>6</v>
      </c>
      <c r="C438" s="2" t="inlineStr">
        <is>
          <t>IMP00879</t>
        </is>
      </c>
      <c r="D438" s="2" t="inlineStr">
        <is>
          <t>Meridian Pack International Ltd</t>
        </is>
      </c>
      <c r="E438" s="2" t="n">
        <v>59</v>
      </c>
      <c r="F438" s="27" t="n">
        <v>188051161.57</v>
      </c>
      <c r="G438" s="28" t="n">
        <v>0.044</v>
      </c>
      <c r="H438" s="19" t="n">
        <v>1.042</v>
      </c>
      <c r="I438" s="29" t="n">
        <v>0.1186</v>
      </c>
      <c r="J438" s="2" t="inlineStr">
        <is>
          <t>EXP0161</t>
        </is>
      </c>
      <c r="K438" s="2" t="n">
        <v>7</v>
      </c>
      <c r="L438" s="2" t="inlineStr">
        <is>
          <t>BRK059</t>
        </is>
      </c>
      <c r="M438" s="2" t="inlineStr">
        <is>
          <t>PORT2</t>
        </is>
      </c>
      <c r="N438" s="2" t="n">
        <v>0</v>
      </c>
      <c r="O438" s="2" t="n">
        <v>0</v>
      </c>
      <c r="P438" s="2" t="n">
        <v>0</v>
      </c>
      <c r="Q438" s="2" t="n">
        <v>0</v>
      </c>
      <c r="R438" s="30">
        <f>IF(AND($C$5&lt;&gt;"",$A438=$C$5),1,"")</f>
        <v/>
      </c>
      <c r="S438" s="21">
        <f>IF(AND($C$5&lt;&gt;"",$A438=$C$5),SUMIFS($G$8:$G$715,$A$8:$A$715,$C$5,$B$8:$B$715,"&lt;="&amp;$B438),"")</f>
        <v/>
      </c>
      <c r="T438" s="24" t="n"/>
      <c r="U438" s="24" t="n"/>
    </row>
    <row r="439">
      <c r="A439" s="2" t="inlineStr">
        <is>
          <t>IND-85</t>
        </is>
      </c>
      <c r="B439" s="2" t="n">
        <v>7</v>
      </c>
      <c r="C439" s="2" t="inlineStr">
        <is>
          <t>IMP00032</t>
        </is>
      </c>
      <c r="D439" s="2" t="inlineStr">
        <is>
          <t>Ashcombe Motors Co.</t>
        </is>
      </c>
      <c r="E439" s="2" t="n">
        <v>69</v>
      </c>
      <c r="F439" s="27" t="n">
        <v>185486358.77</v>
      </c>
      <c r="G439" s="28" t="n">
        <v>0.0434</v>
      </c>
      <c r="H439" s="19" t="n">
        <v>0.991</v>
      </c>
      <c r="I439" s="29" t="n">
        <v>0.0725</v>
      </c>
      <c r="J439" s="2" t="inlineStr">
        <is>
          <t>EXP0186</t>
        </is>
      </c>
      <c r="K439" s="2" t="n">
        <v>12</v>
      </c>
      <c r="L439" s="2" t="inlineStr">
        <is>
          <t>BRK028</t>
        </is>
      </c>
      <c r="M439" s="2" t="inlineStr">
        <is>
          <t>PORT1</t>
        </is>
      </c>
      <c r="N439" s="2" t="n">
        <v>0</v>
      </c>
      <c r="O439" s="2" t="n">
        <v>0</v>
      </c>
      <c r="P439" s="2" t="n">
        <v>0</v>
      </c>
      <c r="Q439" s="2" t="n">
        <v>0</v>
      </c>
      <c r="R439" s="30">
        <f>IF(AND($C$5&lt;&gt;"",$A439=$C$5),1,"")</f>
        <v/>
      </c>
      <c r="S439" s="21">
        <f>IF(AND($C$5&lt;&gt;"",$A439=$C$5),SUMIFS($G$8:$G$715,$A$8:$A$715,$C$5,$B$8:$B$715,"&lt;="&amp;$B439),"")</f>
        <v/>
      </c>
      <c r="T439" s="24" t="n"/>
      <c r="U439" s="24" t="n"/>
    </row>
    <row r="440">
      <c r="A440" s="2" t="inlineStr">
        <is>
          <t>IND-85</t>
        </is>
      </c>
      <c r="B440" s="2" t="n">
        <v>8</v>
      </c>
      <c r="C440" s="2" t="inlineStr">
        <is>
          <t>IMP01484</t>
        </is>
      </c>
      <c r="D440" s="2" t="inlineStr">
        <is>
          <t>Horizon Mobile Limited</t>
        </is>
      </c>
      <c r="E440" s="2" t="n">
        <v>63</v>
      </c>
      <c r="F440" s="27" t="n">
        <v>143847788.65</v>
      </c>
      <c r="G440" s="28" t="n">
        <v>0.0337</v>
      </c>
      <c r="H440" s="19" t="n">
        <v>0.995</v>
      </c>
      <c r="I440" s="29" t="n">
        <v>0.0476</v>
      </c>
      <c r="J440" s="2" t="inlineStr">
        <is>
          <t>EXP0123</t>
        </is>
      </c>
      <c r="K440" s="2" t="n">
        <v>6</v>
      </c>
      <c r="L440" s="2" t="inlineStr">
        <is>
          <t>BRK021</t>
        </is>
      </c>
      <c r="M440" s="2" t="inlineStr">
        <is>
          <t>LAND4</t>
        </is>
      </c>
      <c r="N440" s="2" t="n">
        <v>0</v>
      </c>
      <c r="O440" s="2" t="n">
        <v>0</v>
      </c>
      <c r="P440" s="2" t="n">
        <v>0</v>
      </c>
      <c r="Q440" s="2" t="n">
        <v>0</v>
      </c>
      <c r="R440" s="30">
        <f>IF(AND($C$5&lt;&gt;"",$A440=$C$5),1,"")</f>
        <v/>
      </c>
      <c r="S440" s="21">
        <f>IF(AND($C$5&lt;&gt;"",$A440=$C$5),SUMIFS($G$8:$G$715,$A$8:$A$715,$C$5,$B$8:$B$715,"&lt;="&amp;$B440),"")</f>
        <v/>
      </c>
      <c r="T440" s="24" t="n"/>
      <c r="U440" s="24" t="n"/>
    </row>
    <row r="441">
      <c r="A441" s="2" t="inlineStr">
        <is>
          <t>IND-85</t>
        </is>
      </c>
      <c r="B441" s="2" t="n">
        <v>9</v>
      </c>
      <c r="C441" s="2" t="inlineStr">
        <is>
          <t>IMP00560</t>
        </is>
      </c>
      <c r="D441" s="2" t="inlineStr">
        <is>
          <t>Inverness Trading Group Ltd</t>
        </is>
      </c>
      <c r="E441" s="2" t="n">
        <v>61</v>
      </c>
      <c r="F441" s="27" t="n">
        <v>139888287.38</v>
      </c>
      <c r="G441" s="28" t="n">
        <v>0.0328</v>
      </c>
      <c r="H441" s="19" t="n">
        <v>0.978</v>
      </c>
      <c r="I441" s="29" t="n">
        <v>0.1475</v>
      </c>
      <c r="J441" s="2" t="inlineStr">
        <is>
          <t>EXP0555</t>
        </is>
      </c>
      <c r="K441" s="2" t="n">
        <v>12</v>
      </c>
      <c r="L441" s="2" t="inlineStr">
        <is>
          <t>BRK056</t>
        </is>
      </c>
      <c r="M441" s="2" t="inlineStr">
        <is>
          <t>AIR1</t>
        </is>
      </c>
      <c r="N441" s="2" t="n">
        <v>0</v>
      </c>
      <c r="O441" s="2" t="n">
        <v>0</v>
      </c>
      <c r="P441" s="2" t="n">
        <v>0</v>
      </c>
      <c r="Q441" s="2" t="n">
        <v>0</v>
      </c>
      <c r="R441" s="30">
        <f>IF(AND($C$5&lt;&gt;"",$A441=$C$5),1,"")</f>
        <v/>
      </c>
      <c r="S441" s="21">
        <f>IF(AND($C$5&lt;&gt;"",$A441=$C$5),SUMIFS($G$8:$G$715,$A$8:$A$715,$C$5,$B$8:$B$715,"&lt;="&amp;$B441),"")</f>
        <v/>
      </c>
      <c r="T441" s="24" t="n"/>
      <c r="U441" s="24" t="n"/>
    </row>
    <row r="442">
      <c r="A442" s="2" t="inlineStr">
        <is>
          <t>IND-85</t>
        </is>
      </c>
      <c r="B442" s="2" t="n">
        <v>10</v>
      </c>
      <c r="C442" s="2" t="inlineStr">
        <is>
          <t>IMP00205</t>
        </is>
      </c>
      <c r="D442" s="2" t="inlineStr">
        <is>
          <t>Coral Glow &amp; Sons</t>
        </is>
      </c>
      <c r="E442" s="2" t="n">
        <v>106</v>
      </c>
      <c r="F442" s="27" t="n">
        <v>138531651.16</v>
      </c>
      <c r="G442" s="28" t="n">
        <v>0.0324</v>
      </c>
      <c r="H442" s="19" t="n">
        <v>0.9505</v>
      </c>
      <c r="I442" s="29" t="n">
        <v>0.4245</v>
      </c>
      <c r="J442" s="2" t="inlineStr">
        <is>
          <t>EXP0597</t>
        </is>
      </c>
      <c r="K442" s="2" t="n">
        <v>9</v>
      </c>
      <c r="L442" s="2" t="inlineStr">
        <is>
          <t>BRK051</t>
        </is>
      </c>
      <c r="M442" s="2" t="inlineStr">
        <is>
          <t>AIR1</t>
        </is>
      </c>
      <c r="N442" s="2" t="n">
        <v>0</v>
      </c>
      <c r="O442" s="2" t="n">
        <v>0</v>
      </c>
      <c r="P442" s="2" t="n">
        <v>0</v>
      </c>
      <c r="Q442" s="2" t="n">
        <v>0</v>
      </c>
      <c r="R442" s="30">
        <f>IF(AND($C$5&lt;&gt;"",$A442=$C$5),1,"")</f>
        <v/>
      </c>
      <c r="S442" s="21">
        <f>IF(AND($C$5&lt;&gt;"",$A442=$C$5),SUMIFS($G$8:$G$715,$A$8:$A$715,$C$5,$B$8:$B$715,"&lt;="&amp;$B442),"")</f>
        <v/>
      </c>
      <c r="T442" s="24" t="n"/>
      <c r="U442" s="24" t="n"/>
    </row>
    <row r="443">
      <c r="A443" s="2" t="inlineStr">
        <is>
          <t>IND-85</t>
        </is>
      </c>
      <c r="B443" s="2" t="n">
        <v>11</v>
      </c>
      <c r="C443" s="2" t="inlineStr">
        <is>
          <t>IMP00873</t>
        </is>
      </c>
      <c r="D443" s="2" t="inlineStr">
        <is>
          <t>Jade Motors Limited</t>
        </is>
      </c>
      <c r="E443" s="2" t="n">
        <v>43</v>
      </c>
      <c r="F443" s="27" t="n">
        <v>130647467.57</v>
      </c>
      <c r="G443" s="28" t="n">
        <v>0.0306</v>
      </c>
      <c r="H443" s="19" t="n">
        <v>1.028</v>
      </c>
      <c r="I443" s="29" t="n">
        <v>0.2093</v>
      </c>
      <c r="J443" s="2" t="inlineStr">
        <is>
          <t>EXP0445</t>
        </is>
      </c>
      <c r="K443" s="2" t="n">
        <v>17</v>
      </c>
      <c r="L443" s="2" t="inlineStr">
        <is>
          <t>BRK063</t>
        </is>
      </c>
      <c r="M443" s="2" t="inlineStr">
        <is>
          <t>PORT2</t>
        </is>
      </c>
      <c r="N443" s="2" t="n">
        <v>0</v>
      </c>
      <c r="O443" s="2" t="n">
        <v>0</v>
      </c>
      <c r="P443" s="2" t="n">
        <v>0</v>
      </c>
      <c r="Q443" s="2" t="n">
        <v>0</v>
      </c>
      <c r="R443" s="30">
        <f>IF(AND($C$5&lt;&gt;"",$A443=$C$5),1,"")</f>
        <v/>
      </c>
      <c r="S443" s="21">
        <f>IF(AND($C$5&lt;&gt;"",$A443=$C$5),SUMIFS($G$8:$G$715,$A$8:$A$715,$C$5,$B$8:$B$715,"&lt;="&amp;$B443),"")</f>
        <v/>
      </c>
      <c r="T443" s="24" t="n"/>
      <c r="U443" s="24" t="n"/>
    </row>
    <row r="444">
      <c r="A444" s="2" t="inlineStr">
        <is>
          <t>IND-85</t>
        </is>
      </c>
      <c r="B444" s="2" t="n">
        <v>12</v>
      </c>
      <c r="C444" s="2" t="inlineStr">
        <is>
          <t>IMP00104</t>
        </is>
      </c>
      <c r="D444" s="2" t="inlineStr">
        <is>
          <t>Blue Ocean Logistics Ltd</t>
        </is>
      </c>
      <c r="E444" s="2" t="n">
        <v>38</v>
      </c>
      <c r="F444" s="27" t="n">
        <v>123259521.91</v>
      </c>
      <c r="G444" s="28" t="n">
        <v>0.0289</v>
      </c>
      <c r="H444" s="19" t="n">
        <v>0.9825</v>
      </c>
      <c r="I444" s="29" t="n">
        <v>0.1579</v>
      </c>
      <c r="J444" s="2" t="inlineStr">
        <is>
          <t>EXP0236</t>
        </is>
      </c>
      <c r="K444" s="2" t="n">
        <v>10</v>
      </c>
      <c r="L444" s="2" t="inlineStr">
        <is>
          <t>BRK049</t>
        </is>
      </c>
      <c r="M444" s="2" t="inlineStr">
        <is>
          <t>LAND6</t>
        </is>
      </c>
      <c r="N444" s="2" t="n">
        <v>0</v>
      </c>
      <c r="O444" s="2" t="n">
        <v>0</v>
      </c>
      <c r="P444" s="2" t="n">
        <v>0</v>
      </c>
      <c r="Q444" s="2" t="n">
        <v>0</v>
      </c>
      <c r="R444" s="30">
        <f>IF(AND($C$5&lt;&gt;"",$A444=$C$5),1,"")</f>
        <v/>
      </c>
      <c r="S444" s="21">
        <f>IF(AND($C$5&lt;&gt;"",$A444=$C$5),SUMIFS($G$8:$G$715,$A$8:$A$715,$C$5,$B$8:$B$715,"&lt;="&amp;$B444),"")</f>
        <v/>
      </c>
      <c r="T444" s="24" t="n"/>
      <c r="U444" s="24" t="n"/>
    </row>
    <row r="445">
      <c r="A445" s="2" t="inlineStr">
        <is>
          <t>IND-85</t>
        </is>
      </c>
      <c r="B445" s="2" t="n">
        <v>13</v>
      </c>
      <c r="C445" s="2" t="inlineStr">
        <is>
          <t>IMP01018</t>
        </is>
      </c>
      <c r="D445" s="2" t="inlineStr">
        <is>
          <t>Phoenix Motors Limited</t>
        </is>
      </c>
      <c r="E445" s="2" t="n">
        <v>25</v>
      </c>
      <c r="F445" s="27" t="n">
        <v>95370072.55</v>
      </c>
      <c r="G445" s="28" t="n">
        <v>0.0223</v>
      </c>
      <c r="H445" s="19" t="n">
        <v>0.9419999999999999</v>
      </c>
      <c r="I445" s="29" t="n">
        <v>0.12</v>
      </c>
      <c r="J445" s="2" t="inlineStr">
        <is>
          <t>EXP0067</t>
        </is>
      </c>
      <c r="K445" s="2" t="n">
        <v>7</v>
      </c>
      <c r="L445" s="2" t="inlineStr">
        <is>
          <t>BRK068</t>
        </is>
      </c>
      <c r="M445" s="2" t="inlineStr">
        <is>
          <t>LAND1</t>
        </is>
      </c>
      <c r="N445" s="2" t="n">
        <v>0</v>
      </c>
      <c r="O445" s="2" t="n">
        <v>1</v>
      </c>
      <c r="P445" s="2" t="n">
        <v>0</v>
      </c>
      <c r="Q445" s="2" t="n">
        <v>0</v>
      </c>
      <c r="R445" s="30">
        <f>IF(AND($C$5&lt;&gt;"",$A445=$C$5),1,"")</f>
        <v/>
      </c>
      <c r="S445" s="21">
        <f>IF(AND($C$5&lt;&gt;"",$A445=$C$5),SUMIFS($G$8:$G$715,$A$8:$A$715,$C$5,$B$8:$B$715,"&lt;="&amp;$B445),"")</f>
        <v/>
      </c>
      <c r="T445" s="24" t="n"/>
      <c r="U445" s="24" t="n"/>
    </row>
    <row r="446">
      <c r="A446" s="2" t="inlineStr">
        <is>
          <t>IND-85</t>
        </is>
      </c>
      <c r="B446" s="2" t="n">
        <v>14</v>
      </c>
      <c r="C446" s="2" t="inlineStr">
        <is>
          <t>IMP00317</t>
        </is>
      </c>
      <c r="D446" s="2" t="inlineStr">
        <is>
          <t>Pacific Agro Holdings Ltd</t>
        </is>
      </c>
      <c r="E446" s="2" t="n">
        <v>24</v>
      </c>
      <c r="F446" s="27" t="n">
        <v>55559442.81</v>
      </c>
      <c r="G446" s="28" t="n">
        <v>0.013</v>
      </c>
      <c r="H446" s="19" t="n">
        <v>1.0345</v>
      </c>
      <c r="I446" s="29" t="n">
        <v>0</v>
      </c>
      <c r="J446" s="2" t="inlineStr">
        <is>
          <t>EXP0161</t>
        </is>
      </c>
      <c r="K446" s="2" t="n">
        <v>7</v>
      </c>
      <c r="L446" s="2" t="inlineStr">
        <is>
          <t>BRK024</t>
        </is>
      </c>
      <c r="M446" s="2" t="inlineStr">
        <is>
          <t>LAND2</t>
        </is>
      </c>
      <c r="N446" s="2" t="n">
        <v>0</v>
      </c>
      <c r="O446" s="2" t="n">
        <v>0</v>
      </c>
      <c r="P446" s="2" t="n">
        <v>0</v>
      </c>
      <c r="Q446" s="2" t="n">
        <v>0</v>
      </c>
      <c r="R446" s="30">
        <f>IF(AND($C$5&lt;&gt;"",$A446=$C$5),1,"")</f>
        <v/>
      </c>
      <c r="S446" s="21">
        <f>IF(AND($C$5&lt;&gt;"",$A446=$C$5),SUMIFS($G$8:$G$715,$A$8:$A$715,$C$5,$B$8:$B$715,"&lt;="&amp;$B446),"")</f>
        <v/>
      </c>
      <c r="T446" s="24" t="n"/>
      <c r="U446" s="24" t="n"/>
    </row>
    <row r="447">
      <c r="A447" s="2" t="inlineStr">
        <is>
          <t>IND-85</t>
        </is>
      </c>
      <c r="B447" s="2" t="n">
        <v>15</v>
      </c>
      <c r="C447" s="2" t="inlineStr">
        <is>
          <t>IMP00705</t>
        </is>
      </c>
      <c r="D447" s="2" t="inlineStr">
        <is>
          <t>Metro Medical International Ltd</t>
        </is>
      </c>
      <c r="E447" s="2" t="n">
        <v>15</v>
      </c>
      <c r="F447" s="27" t="n">
        <v>55204604.41</v>
      </c>
      <c r="G447" s="28" t="n">
        <v>0.0129</v>
      </c>
      <c r="H447" s="19" t="n">
        <v>0.955</v>
      </c>
      <c r="I447" s="29" t="n">
        <v>0</v>
      </c>
      <c r="J447" s="2" t="inlineStr">
        <is>
          <t>EXP0087</t>
        </is>
      </c>
      <c r="K447" s="2" t="n">
        <v>7</v>
      </c>
      <c r="L447" s="2" t="inlineStr">
        <is>
          <t>BRK056</t>
        </is>
      </c>
      <c r="M447" s="2" t="inlineStr">
        <is>
          <t>PORT2</t>
        </is>
      </c>
      <c r="N447" s="2" t="n">
        <v>0</v>
      </c>
      <c r="O447" s="2" t="n">
        <v>0</v>
      </c>
      <c r="P447" s="2" t="n">
        <v>0</v>
      </c>
      <c r="Q447" s="2" t="n">
        <v>0</v>
      </c>
      <c r="R447" s="30">
        <f>IF(AND($C$5&lt;&gt;"",$A447=$C$5),1,"")</f>
        <v/>
      </c>
      <c r="S447" s="21">
        <f>IF(AND($C$5&lt;&gt;"",$A447=$C$5),SUMIFS($G$8:$G$715,$A$8:$A$715,$C$5,$B$8:$B$715,"&lt;="&amp;$B447),"")</f>
        <v/>
      </c>
      <c r="T447" s="24" t="n"/>
      <c r="U447" s="24" t="n"/>
    </row>
    <row r="448">
      <c r="A448" s="2" t="inlineStr">
        <is>
          <t>IND-85</t>
        </is>
      </c>
      <c r="B448" s="2" t="n">
        <v>16</v>
      </c>
      <c r="C448" s="2" t="inlineStr">
        <is>
          <t>IMP00723</t>
        </is>
      </c>
      <c r="D448" s="2" t="inlineStr">
        <is>
          <t>Twin Rivers Living Ltd</t>
        </is>
      </c>
      <c r="E448" s="2" t="n">
        <v>26</v>
      </c>
      <c r="F448" s="27" t="n">
        <v>50159776.87</v>
      </c>
      <c r="G448" s="28" t="n">
        <v>0.0117</v>
      </c>
      <c r="H448" s="19" t="n">
        <v>0.958</v>
      </c>
      <c r="I448" s="29" t="n">
        <v>0.0769</v>
      </c>
      <c r="J448" s="2" t="inlineStr">
        <is>
          <t>EXP0379</t>
        </is>
      </c>
      <c r="K448" s="2" t="n">
        <v>6</v>
      </c>
      <c r="L448" s="2" t="inlineStr">
        <is>
          <t>BRK044</t>
        </is>
      </c>
      <c r="M448" s="2" t="inlineStr">
        <is>
          <t>PORT3</t>
        </is>
      </c>
      <c r="N448" s="2" t="n">
        <v>0</v>
      </c>
      <c r="O448" s="2" t="n">
        <v>0</v>
      </c>
      <c r="P448" s="2" t="n">
        <v>0</v>
      </c>
      <c r="Q448" s="2" t="n">
        <v>0</v>
      </c>
      <c r="R448" s="30">
        <f>IF(AND($C$5&lt;&gt;"",$A448=$C$5),1,"")</f>
        <v/>
      </c>
      <c r="S448" s="21">
        <f>IF(AND($C$5&lt;&gt;"",$A448=$C$5),SUMIFS($G$8:$G$715,$A$8:$A$715,$C$5,$B$8:$B$715,"&lt;="&amp;$B448),"")</f>
        <v/>
      </c>
      <c r="T448" s="24" t="n"/>
      <c r="U448" s="24" t="n"/>
    </row>
    <row r="449">
      <c r="A449" s="2" t="inlineStr">
        <is>
          <t>IND-85</t>
        </is>
      </c>
      <c r="B449" s="2" t="n">
        <v>17</v>
      </c>
      <c r="C449" s="2" t="inlineStr">
        <is>
          <t>IMP00531</t>
        </is>
      </c>
      <c r="D449" s="2" t="inlineStr">
        <is>
          <t>Inverness Distribution Co., Ltd</t>
        </is>
      </c>
      <c r="E449" s="2" t="n">
        <v>19</v>
      </c>
      <c r="F449" s="27" t="n">
        <v>49621103.84</v>
      </c>
      <c r="G449" s="28" t="n">
        <v>0.0116</v>
      </c>
      <c r="H449" s="19" t="n">
        <v>1.002</v>
      </c>
      <c r="I449" s="29" t="n">
        <v>0</v>
      </c>
      <c r="J449" s="2" t="inlineStr">
        <is>
          <t>EXP0019</t>
        </is>
      </c>
      <c r="K449" s="2" t="n">
        <v>14</v>
      </c>
      <c r="L449" s="2" t="inlineStr">
        <is>
          <t>BRK060</t>
        </is>
      </c>
      <c r="M449" s="2" t="inlineStr">
        <is>
          <t>PORT2</t>
        </is>
      </c>
      <c r="N449" s="2" t="n">
        <v>0</v>
      </c>
      <c r="O449" s="2" t="n">
        <v>0</v>
      </c>
      <c r="P449" s="2" t="n">
        <v>0</v>
      </c>
      <c r="Q449" s="2" t="n">
        <v>1</v>
      </c>
      <c r="R449" s="30">
        <f>IF(AND($C$5&lt;&gt;"",$A449=$C$5),1,"")</f>
        <v/>
      </c>
      <c r="S449" s="21">
        <f>IF(AND($C$5&lt;&gt;"",$A449=$C$5),SUMIFS($G$8:$G$715,$A$8:$A$715,$C$5,$B$8:$B$715,"&lt;="&amp;$B449),"")</f>
        <v/>
      </c>
      <c r="T449" s="24" t="n"/>
      <c r="U449" s="24" t="n"/>
    </row>
    <row r="450">
      <c r="A450" s="2" t="inlineStr">
        <is>
          <t>IND-85</t>
        </is>
      </c>
      <c r="B450" s="2" t="n">
        <v>18</v>
      </c>
      <c r="C450" s="2" t="inlineStr">
        <is>
          <t>IMP00617</t>
        </is>
      </c>
      <c r="D450" s="2" t="inlineStr">
        <is>
          <t>Ocean Pack Partners Ltd</t>
        </is>
      </c>
      <c r="E450" s="2" t="n">
        <v>9</v>
      </c>
      <c r="F450" s="27" t="n">
        <v>48176210.29</v>
      </c>
      <c r="G450" s="28" t="n">
        <v>0.0113</v>
      </c>
      <c r="H450" s="19" t="n">
        <v>0.9429999999999999</v>
      </c>
      <c r="I450" s="29" t="n">
        <v>0.2222</v>
      </c>
      <c r="J450" s="2" t="inlineStr">
        <is>
          <t>EXP0588</t>
        </is>
      </c>
      <c r="K450" s="2" t="n">
        <v>11</v>
      </c>
      <c r="L450" s="2" t="inlineStr">
        <is>
          <t>BRK037</t>
        </is>
      </c>
      <c r="M450" s="2" t="inlineStr">
        <is>
          <t>PORT2</t>
        </is>
      </c>
      <c r="N450" s="2" t="n">
        <v>0</v>
      </c>
      <c r="O450" s="2" t="n">
        <v>0</v>
      </c>
      <c r="P450" s="2" t="n">
        <v>0</v>
      </c>
      <c r="Q450" s="2" t="n">
        <v>0</v>
      </c>
      <c r="R450" s="30">
        <f>IF(AND($C$5&lt;&gt;"",$A450=$C$5),1,"")</f>
        <v/>
      </c>
      <c r="S450" s="21">
        <f>IF(AND($C$5&lt;&gt;"",$A450=$C$5),SUMIFS($G$8:$G$715,$A$8:$A$715,$C$5,$B$8:$B$715,"&lt;="&amp;$B450),"")</f>
        <v/>
      </c>
      <c r="T450" s="24" t="n"/>
      <c r="U450" s="24" t="n"/>
    </row>
    <row r="451">
      <c r="A451" s="2" t="inlineStr">
        <is>
          <t>IND-85</t>
        </is>
      </c>
      <c r="B451" s="2" t="n">
        <v>19</v>
      </c>
      <c r="C451" s="2" t="inlineStr">
        <is>
          <t>IMP00602</t>
        </is>
      </c>
      <c r="D451" s="2" t="inlineStr">
        <is>
          <t>Northern Motors Group Ltd</t>
        </is>
      </c>
      <c r="E451" s="2" t="n">
        <v>15</v>
      </c>
      <c r="F451" s="27" t="n">
        <v>42311951.43</v>
      </c>
      <c r="G451" s="28" t="n">
        <v>0.009900000000000001</v>
      </c>
      <c r="H451" s="19" t="n">
        <v>0.885</v>
      </c>
      <c r="I451" s="29" t="n">
        <v>0.1333</v>
      </c>
      <c r="J451" s="2" t="inlineStr">
        <is>
          <t>EXP0102</t>
        </is>
      </c>
      <c r="K451" s="2" t="n">
        <v>10</v>
      </c>
      <c r="L451" s="2" t="inlineStr">
        <is>
          <t>BRK009</t>
        </is>
      </c>
      <c r="M451" s="2" t="inlineStr">
        <is>
          <t>PORT1</t>
        </is>
      </c>
      <c r="N451" s="2" t="n">
        <v>0</v>
      </c>
      <c r="O451" s="2" t="n">
        <v>0</v>
      </c>
      <c r="P451" s="2" t="n">
        <v>0</v>
      </c>
      <c r="Q451" s="2" t="n">
        <v>0</v>
      </c>
      <c r="R451" s="30">
        <f>IF(AND($C$5&lt;&gt;"",$A451=$C$5),1,"")</f>
        <v/>
      </c>
      <c r="S451" s="21">
        <f>IF(AND($C$5&lt;&gt;"",$A451=$C$5),SUMIFS($G$8:$G$715,$A$8:$A$715,$C$5,$B$8:$B$715,"&lt;="&amp;$B451),"")</f>
        <v/>
      </c>
      <c r="T451" s="24" t="n"/>
      <c r="U451" s="24" t="n"/>
    </row>
    <row r="452">
      <c r="A452" s="2" t="inlineStr">
        <is>
          <t>IND-85</t>
        </is>
      </c>
      <c r="B452" s="2" t="n">
        <v>20</v>
      </c>
      <c r="C452" s="2" t="inlineStr">
        <is>
          <t>IMP00168</t>
        </is>
      </c>
      <c r="D452" s="2" t="inlineStr">
        <is>
          <t>Delta Electronics International Ltd</t>
        </is>
      </c>
      <c r="E452" s="2" t="n">
        <v>18</v>
      </c>
      <c r="F452" s="27" t="n">
        <v>34819206.28</v>
      </c>
      <c r="G452" s="28" t="n">
        <v>0.008200000000000001</v>
      </c>
      <c r="H452" s="19" t="n">
        <v>0.923</v>
      </c>
      <c r="I452" s="29" t="n">
        <v>0.1111</v>
      </c>
      <c r="J452" s="2" t="inlineStr">
        <is>
          <t>EXP0019</t>
        </is>
      </c>
      <c r="K452" s="2" t="n">
        <v>14</v>
      </c>
      <c r="L452" s="2" t="inlineStr">
        <is>
          <t>BRK059</t>
        </is>
      </c>
      <c r="M452" s="2" t="inlineStr">
        <is>
          <t>LAND4</t>
        </is>
      </c>
      <c r="N452" s="2" t="n">
        <v>0</v>
      </c>
      <c r="O452" s="2" t="n">
        <v>0</v>
      </c>
      <c r="P452" s="2" t="n">
        <v>0</v>
      </c>
      <c r="Q452" s="2" t="n">
        <v>0</v>
      </c>
      <c r="R452" s="30">
        <f>IF(AND($C$5&lt;&gt;"",$A452=$C$5),1,"")</f>
        <v/>
      </c>
      <c r="S452" s="21">
        <f>IF(AND($C$5&lt;&gt;"",$A452=$C$5),SUMIFS($G$8:$G$715,$A$8:$A$715,$C$5,$B$8:$B$715,"&lt;="&amp;$B452),"")</f>
        <v/>
      </c>
      <c r="T452" s="24" t="n"/>
      <c r="U452" s="24" t="n"/>
    </row>
    <row r="453">
      <c r="A453" s="2" t="inlineStr">
        <is>
          <t>IND-85</t>
        </is>
      </c>
      <c r="B453" s="2" t="n">
        <v>21</v>
      </c>
      <c r="C453" s="2" t="inlineStr">
        <is>
          <t>IMP01075</t>
        </is>
      </c>
      <c r="D453" s="2" t="inlineStr">
        <is>
          <t>Silk Road Steel International Ltd</t>
        </is>
      </c>
      <c r="E453" s="2" t="n">
        <v>15</v>
      </c>
      <c r="F453" s="27" t="n">
        <v>31743959.72</v>
      </c>
      <c r="G453" s="28" t="n">
        <v>0.0074</v>
      </c>
      <c r="H453" s="19" t="n">
        <v>0.974</v>
      </c>
      <c r="I453" s="29" t="n">
        <v>0.0667</v>
      </c>
      <c r="J453" s="2" t="inlineStr">
        <is>
          <t>EXP0477</t>
        </is>
      </c>
      <c r="K453" s="2" t="n">
        <v>6</v>
      </c>
      <c r="L453" s="2" t="inlineStr">
        <is>
          <t>BRK020</t>
        </is>
      </c>
      <c r="M453" s="2" t="inlineStr">
        <is>
          <t>PORT1</t>
        </is>
      </c>
      <c r="N453" s="2" t="n">
        <v>0</v>
      </c>
      <c r="O453" s="2" t="n">
        <v>0</v>
      </c>
      <c r="P453" s="2" t="n">
        <v>0</v>
      </c>
      <c r="Q453" s="2" t="n">
        <v>0</v>
      </c>
      <c r="R453" s="30">
        <f>IF(AND($C$5&lt;&gt;"",$A453=$C$5),1,"")</f>
        <v/>
      </c>
      <c r="S453" s="21">
        <f>IF(AND($C$5&lt;&gt;"",$A453=$C$5),SUMIFS($G$8:$G$715,$A$8:$A$715,$C$5,$B$8:$B$715,"&lt;="&amp;$B453),"")</f>
        <v/>
      </c>
      <c r="T453" s="24" t="n"/>
      <c r="U453" s="24" t="n"/>
    </row>
    <row r="454">
      <c r="A454" s="2" t="inlineStr">
        <is>
          <t>IND-85</t>
        </is>
      </c>
      <c r="B454" s="2" t="n">
        <v>22</v>
      </c>
      <c r="C454" s="2" t="inlineStr">
        <is>
          <t>IMP00033</t>
        </is>
      </c>
      <c r="D454" s="2" t="inlineStr">
        <is>
          <t>Global Agro International Ltd</t>
        </is>
      </c>
      <c r="E454" s="2" t="n">
        <v>16</v>
      </c>
      <c r="F454" s="27" t="n">
        <v>31174228.04</v>
      </c>
      <c r="G454" s="28" t="n">
        <v>0.0073</v>
      </c>
      <c r="H454" s="19" t="n">
        <v>0.995</v>
      </c>
      <c r="I454" s="29" t="n">
        <v>0.0625</v>
      </c>
      <c r="J454" s="2" t="inlineStr">
        <is>
          <t>EXP0434</t>
        </is>
      </c>
      <c r="K454" s="2" t="n">
        <v>11</v>
      </c>
      <c r="L454" s="2" t="inlineStr">
        <is>
          <t>BRK019</t>
        </is>
      </c>
      <c r="M454" s="2" t="inlineStr">
        <is>
          <t>LAND2</t>
        </is>
      </c>
      <c r="N454" s="2" t="n">
        <v>0</v>
      </c>
      <c r="O454" s="2" t="n">
        <v>0</v>
      </c>
      <c r="P454" s="2" t="n">
        <v>0</v>
      </c>
      <c r="Q454" s="2" t="n">
        <v>0</v>
      </c>
      <c r="R454" s="30">
        <f>IF(AND($C$5&lt;&gt;"",$A454=$C$5),1,"")</f>
        <v/>
      </c>
      <c r="S454" s="21">
        <f>IF(AND($C$5&lt;&gt;"",$A454=$C$5),SUMIFS($G$8:$G$715,$A$8:$A$715,$C$5,$B$8:$B$715,"&lt;="&amp;$B454),"")</f>
        <v/>
      </c>
      <c r="T454" s="24" t="n"/>
      <c r="U454" s="24" t="n"/>
    </row>
    <row r="455">
      <c r="A455" s="2" t="inlineStr">
        <is>
          <t>IND-85</t>
        </is>
      </c>
      <c r="B455" s="2" t="n">
        <v>23</v>
      </c>
      <c r="C455" s="2" t="inlineStr">
        <is>
          <t>IMP00947</t>
        </is>
      </c>
      <c r="D455" s="2" t="inlineStr">
        <is>
          <t>Summit Textiles International Ltd</t>
        </is>
      </c>
      <c r="E455" s="2" t="n">
        <v>8</v>
      </c>
      <c r="F455" s="27" t="n">
        <v>25764869.61</v>
      </c>
      <c r="G455" s="28" t="n">
        <v>0.006</v>
      </c>
      <c r="H455" s="19" t="n">
        <v>0.9925</v>
      </c>
      <c r="I455" s="29" t="n">
        <v>0.125</v>
      </c>
      <c r="J455" s="2" t="inlineStr">
        <is>
          <t>EXP0186</t>
        </is>
      </c>
      <c r="K455" s="2" t="n">
        <v>12</v>
      </c>
      <c r="L455" s="2" t="inlineStr">
        <is>
          <t>BRK023</t>
        </is>
      </c>
      <c r="M455" s="2" t="inlineStr">
        <is>
          <t>LAND1</t>
        </is>
      </c>
      <c r="N455" s="2" t="n">
        <v>0</v>
      </c>
      <c r="O455" s="2" t="n">
        <v>0</v>
      </c>
      <c r="P455" s="2" t="n">
        <v>0</v>
      </c>
      <c r="Q455" s="2" t="n">
        <v>0</v>
      </c>
      <c r="R455" s="30">
        <f>IF(AND($C$5&lt;&gt;"",$A455=$C$5),1,"")</f>
        <v/>
      </c>
      <c r="S455" s="21">
        <f>IF(AND($C$5&lt;&gt;"",$A455=$C$5),SUMIFS($G$8:$G$715,$A$8:$A$715,$C$5,$B$8:$B$715,"&lt;="&amp;$B455),"")</f>
        <v/>
      </c>
      <c r="T455" s="24" t="n"/>
      <c r="U455" s="24" t="n"/>
    </row>
    <row r="456">
      <c r="A456" s="2" t="inlineStr">
        <is>
          <t>IND-85</t>
        </is>
      </c>
      <c r="B456" s="2" t="n">
        <v>24</v>
      </c>
      <c r="C456" s="2" t="inlineStr">
        <is>
          <t>IMP01404</t>
        </is>
      </c>
      <c r="D456" s="2" t="inlineStr">
        <is>
          <t>Sunrise Commercial Partners Ltd</t>
        </is>
      </c>
      <c r="E456" s="2" t="n">
        <v>12</v>
      </c>
      <c r="F456" s="27" t="n">
        <v>23423186.65</v>
      </c>
      <c r="G456" s="28" t="n">
        <v>0.0055</v>
      </c>
      <c r="H456" s="19" t="n">
        <v>0.9715</v>
      </c>
      <c r="I456" s="29" t="n">
        <v>0.0833</v>
      </c>
      <c r="J456" s="2" t="inlineStr">
        <is>
          <t>EXP0434</t>
        </is>
      </c>
      <c r="K456" s="2" t="n">
        <v>11</v>
      </c>
      <c r="L456" s="2" t="inlineStr">
        <is>
          <t>BRK004</t>
        </is>
      </c>
      <c r="M456" s="2" t="inlineStr">
        <is>
          <t>PORT2</t>
        </is>
      </c>
      <c r="N456" s="2" t="n">
        <v>0</v>
      </c>
      <c r="O456" s="2" t="n">
        <v>0</v>
      </c>
      <c r="P456" s="2" t="n">
        <v>0</v>
      </c>
      <c r="Q456" s="2" t="n">
        <v>0</v>
      </c>
      <c r="R456" s="30">
        <f>IF(AND($C$5&lt;&gt;"",$A456=$C$5),1,"")</f>
        <v/>
      </c>
      <c r="S456" s="21">
        <f>IF(AND($C$5&lt;&gt;"",$A456=$C$5),SUMIFS($G$8:$G$715,$A$8:$A$715,$C$5,$B$8:$B$715,"&lt;="&amp;$B456),"")</f>
        <v/>
      </c>
      <c r="T456" s="24" t="n"/>
      <c r="U456" s="24" t="n"/>
    </row>
    <row r="457">
      <c r="A457" s="2" t="inlineStr">
        <is>
          <t>IND-85</t>
        </is>
      </c>
      <c r="B457" s="2" t="n">
        <v>25</v>
      </c>
      <c r="C457" s="2" t="inlineStr">
        <is>
          <t>IMP00196</t>
        </is>
      </c>
      <c r="D457" s="2" t="inlineStr">
        <is>
          <t>Green Valley Living Ltd</t>
        </is>
      </c>
      <c r="E457" s="2" t="n">
        <v>8</v>
      </c>
      <c r="F457" s="27" t="n">
        <v>21723250.84</v>
      </c>
      <c r="G457" s="28" t="n">
        <v>0.0051</v>
      </c>
      <c r="H457" s="19" t="n">
        <v>0.9335</v>
      </c>
      <c r="I457" s="29" t="n">
        <v>0.25</v>
      </c>
      <c r="J457" s="2" t="inlineStr">
        <is>
          <t>EXP0555</t>
        </is>
      </c>
      <c r="K457" s="2" t="n">
        <v>12</v>
      </c>
      <c r="L457" s="2" t="inlineStr">
        <is>
          <t>BRK039</t>
        </is>
      </c>
      <c r="M457" s="2" t="inlineStr">
        <is>
          <t>PORT1</t>
        </is>
      </c>
      <c r="N457" s="2" t="n">
        <v>0</v>
      </c>
      <c r="O457" s="2" t="n">
        <v>0</v>
      </c>
      <c r="P457" s="2" t="n">
        <v>0</v>
      </c>
      <c r="Q457" s="2" t="n">
        <v>0</v>
      </c>
      <c r="R457" s="30">
        <f>IF(AND($C$5&lt;&gt;"",$A457=$C$5),1,"")</f>
        <v/>
      </c>
      <c r="S457" s="21">
        <f>IF(AND($C$5&lt;&gt;"",$A457=$C$5),SUMIFS($G$8:$G$715,$A$8:$A$715,$C$5,$B$8:$B$715,"&lt;="&amp;$B457),"")</f>
        <v/>
      </c>
      <c r="T457" s="24" t="n"/>
      <c r="U457" s="24" t="n"/>
    </row>
    <row r="458">
      <c r="A458" s="2" t="inlineStr">
        <is>
          <t>IND-85</t>
        </is>
      </c>
      <c r="B458" s="2" t="n">
        <v>26</v>
      </c>
      <c r="C458" s="2" t="inlineStr">
        <is>
          <t>IMP00510</t>
        </is>
      </c>
      <c r="D458" s="2" t="inlineStr">
        <is>
          <t>Coral Supply Partners Ltd</t>
        </is>
      </c>
      <c r="E458" s="2" t="n">
        <v>10</v>
      </c>
      <c r="F458" s="27" t="n">
        <v>20197938.24</v>
      </c>
      <c r="G458" s="28" t="n">
        <v>0.0047</v>
      </c>
      <c r="H458" s="19" t="n">
        <v>0.9855</v>
      </c>
      <c r="I458" s="29" t="n">
        <v>0.2</v>
      </c>
      <c r="J458" s="2" t="inlineStr">
        <is>
          <t>EXP0449</t>
        </is>
      </c>
      <c r="K458" s="2" t="n">
        <v>8</v>
      </c>
      <c r="L458" s="2" t="inlineStr">
        <is>
          <t>BRK076</t>
        </is>
      </c>
      <c r="M458" s="2" t="inlineStr">
        <is>
          <t>PORT3</t>
        </is>
      </c>
      <c r="N458" s="2" t="n">
        <v>0</v>
      </c>
      <c r="O458" s="2" t="n">
        <v>0</v>
      </c>
      <c r="P458" s="2" t="n">
        <v>0</v>
      </c>
      <c r="Q458" s="2" t="n">
        <v>0</v>
      </c>
      <c r="R458" s="30">
        <f>IF(AND($C$5&lt;&gt;"",$A458=$C$5),1,"")</f>
        <v/>
      </c>
      <c r="S458" s="21">
        <f>IF(AND($C$5&lt;&gt;"",$A458=$C$5),SUMIFS($G$8:$G$715,$A$8:$A$715,$C$5,$B$8:$B$715,"&lt;="&amp;$B458),"")</f>
        <v/>
      </c>
      <c r="T458" s="24" t="n"/>
      <c r="U458" s="24" t="n"/>
    </row>
    <row r="459">
      <c r="A459" s="2" t="inlineStr">
        <is>
          <t>IND-85</t>
        </is>
      </c>
      <c r="B459" s="2" t="n">
        <v>27</v>
      </c>
      <c r="C459" s="2" t="inlineStr">
        <is>
          <t>IMP01428</t>
        </is>
      </c>
      <c r="D459" s="2" t="inlineStr">
        <is>
          <t>United Mobile Limited</t>
        </is>
      </c>
      <c r="E459" s="2" t="n">
        <v>9</v>
      </c>
      <c r="F459" s="27" t="n">
        <v>18320740.13</v>
      </c>
      <c r="G459" s="28" t="n">
        <v>0.0043</v>
      </c>
      <c r="H459" s="19" t="n">
        <v>1.02</v>
      </c>
      <c r="I459" s="29" t="n">
        <v>0</v>
      </c>
      <c r="J459" s="2" t="inlineStr">
        <is>
          <t>EXP0445</t>
        </is>
      </c>
      <c r="K459" s="2" t="n">
        <v>17</v>
      </c>
      <c r="L459" s="2" t="inlineStr">
        <is>
          <t>BRK072</t>
        </is>
      </c>
      <c r="M459" s="2" t="inlineStr">
        <is>
          <t>LAND6</t>
        </is>
      </c>
      <c r="N459" s="2" t="n">
        <v>0</v>
      </c>
      <c r="O459" s="2" t="n">
        <v>0</v>
      </c>
      <c r="P459" s="2" t="n">
        <v>0</v>
      </c>
      <c r="Q459" s="2" t="n">
        <v>0</v>
      </c>
      <c r="R459" s="30">
        <f>IF(AND($C$5&lt;&gt;"",$A459=$C$5),1,"")</f>
        <v/>
      </c>
      <c r="S459" s="21">
        <f>IF(AND($C$5&lt;&gt;"",$A459=$C$5),SUMIFS($G$8:$G$715,$A$8:$A$715,$C$5,$B$8:$B$715,"&lt;="&amp;$B459),"")</f>
        <v/>
      </c>
      <c r="T459" s="24" t="n"/>
      <c r="U459" s="24" t="n"/>
    </row>
    <row r="460">
      <c r="A460" s="2" t="inlineStr">
        <is>
          <t>IND-85</t>
        </is>
      </c>
      <c r="B460" s="2" t="n">
        <v>28</v>
      </c>
      <c r="C460" s="2" t="inlineStr">
        <is>
          <t>IMP00613</t>
        </is>
      </c>
      <c r="D460" s="2" t="inlineStr">
        <is>
          <t>Sunrise Commercial Enterprises</t>
        </is>
      </c>
      <c r="E460" s="2" t="n">
        <v>5</v>
      </c>
      <c r="F460" s="27" t="n">
        <v>17062386.33</v>
      </c>
      <c r="G460" s="28" t="n">
        <v>0.004</v>
      </c>
      <c r="H460" s="19" t="n">
        <v>1.055</v>
      </c>
      <c r="I460" s="29" t="n">
        <v>0</v>
      </c>
      <c r="J460" s="2" t="inlineStr">
        <is>
          <t>EXP0157</t>
        </is>
      </c>
      <c r="K460" s="2" t="n">
        <v>11</v>
      </c>
      <c r="L460" s="2" t="inlineStr">
        <is>
          <t>BRK069</t>
        </is>
      </c>
      <c r="M460" s="2" t="inlineStr">
        <is>
          <t>LAND2</t>
        </is>
      </c>
      <c r="N460" s="2" t="n">
        <v>0</v>
      </c>
      <c r="O460" s="2" t="n">
        <v>1</v>
      </c>
      <c r="P460" s="2" t="n">
        <v>0</v>
      </c>
      <c r="Q460" s="2" t="n">
        <v>0</v>
      </c>
      <c r="R460" s="30">
        <f>IF(AND($C$5&lt;&gt;"",$A460=$C$5),1,"")</f>
        <v/>
      </c>
      <c r="S460" s="21">
        <f>IF(AND($C$5&lt;&gt;"",$A460=$C$5),SUMIFS($G$8:$G$715,$A$8:$A$715,$C$5,$B$8:$B$715,"&lt;="&amp;$B460),"")</f>
        <v/>
      </c>
      <c r="T460" s="24" t="n"/>
      <c r="U460" s="24" t="n"/>
    </row>
    <row r="461">
      <c r="A461" s="2" t="inlineStr">
        <is>
          <t>IND-85</t>
        </is>
      </c>
      <c r="B461" s="2" t="n">
        <v>29</v>
      </c>
      <c r="C461" s="2" t="inlineStr">
        <is>
          <t>IMP00529</t>
        </is>
      </c>
      <c r="D461" s="2" t="inlineStr">
        <is>
          <t>Blue Ocean Industries Holdings Ltd</t>
        </is>
      </c>
      <c r="E461" s="2" t="n">
        <v>2</v>
      </c>
      <c r="F461" s="27" t="n">
        <v>15722084.15</v>
      </c>
      <c r="G461" s="28" t="n">
        <v>0.0037</v>
      </c>
      <c r="H461" s="19" t="n">
        <v>0.972</v>
      </c>
      <c r="I461" s="29" t="n">
        <v>0</v>
      </c>
      <c r="J461" s="2" t="inlineStr">
        <is>
          <t>EXP0555</t>
        </is>
      </c>
      <c r="K461" s="2" t="n">
        <v>12</v>
      </c>
      <c r="L461" s="2" t="inlineStr">
        <is>
          <t>BRK001</t>
        </is>
      </c>
      <c r="M461" s="2" t="inlineStr">
        <is>
          <t>PORT1</t>
        </is>
      </c>
      <c r="N461" s="2" t="n">
        <v>0</v>
      </c>
      <c r="O461" s="2" t="n">
        <v>0</v>
      </c>
      <c r="P461" s="2" t="n">
        <v>0</v>
      </c>
      <c r="Q461" s="2" t="n">
        <v>0</v>
      </c>
      <c r="R461" s="30">
        <f>IF(AND($C$5&lt;&gt;"",$A461=$C$5),1,"")</f>
        <v/>
      </c>
      <c r="S461" s="21">
        <f>IF(AND($C$5&lt;&gt;"",$A461=$C$5),SUMIFS($G$8:$G$715,$A$8:$A$715,$C$5,$B$8:$B$715,"&lt;="&amp;$B461),"")</f>
        <v/>
      </c>
      <c r="T461" s="24" t="n"/>
      <c r="U461" s="24" t="n"/>
    </row>
    <row r="462">
      <c r="A462" s="2" t="inlineStr">
        <is>
          <t>IND-85</t>
        </is>
      </c>
      <c r="B462" s="2" t="n">
        <v>30</v>
      </c>
      <c r="C462" s="2" t="inlineStr">
        <is>
          <t>IMP00119</t>
        </is>
      </c>
      <c r="D462" s="2" t="inlineStr">
        <is>
          <t>Prime Agro Holdings Ltd</t>
        </is>
      </c>
      <c r="E462" s="2" t="n">
        <v>2</v>
      </c>
      <c r="F462" s="27" t="n">
        <v>14487616.32</v>
      </c>
      <c r="G462" s="28" t="n">
        <v>0.0034</v>
      </c>
      <c r="H462" s="19" t="n">
        <v>0.75</v>
      </c>
      <c r="I462" s="29" t="n">
        <v>0.5</v>
      </c>
      <c r="J462" s="2" t="inlineStr">
        <is>
          <t>EXP0379</t>
        </is>
      </c>
      <c r="K462" s="2" t="n">
        <v>6</v>
      </c>
      <c r="L462" s="2" t="inlineStr">
        <is>
          <t>BRK011</t>
        </is>
      </c>
      <c r="M462" s="2" t="inlineStr">
        <is>
          <t>PORT3</t>
        </is>
      </c>
      <c r="N462" s="2" t="n">
        <v>0</v>
      </c>
      <c r="O462" s="2" t="n">
        <v>0</v>
      </c>
      <c r="P462" s="2" t="n">
        <v>0</v>
      </c>
      <c r="Q462" s="2" t="n">
        <v>0</v>
      </c>
      <c r="R462" s="30">
        <f>IF(AND($C$5&lt;&gt;"",$A462=$C$5),1,"")</f>
        <v/>
      </c>
      <c r="S462" s="21">
        <f>IF(AND($C$5&lt;&gt;"",$A462=$C$5),SUMIFS($G$8:$G$715,$A$8:$A$715,$C$5,$B$8:$B$715,"&lt;="&amp;$B462),"")</f>
        <v/>
      </c>
      <c r="T462" s="24" t="n"/>
      <c r="U462" s="24" t="n"/>
    </row>
    <row r="463">
      <c r="A463" s="2" t="inlineStr">
        <is>
          <t>IND-85</t>
        </is>
      </c>
      <c r="B463" s="2" t="n">
        <v>31</v>
      </c>
      <c r="C463" s="2" t="inlineStr">
        <is>
          <t>IMP00276</t>
        </is>
      </c>
      <c r="D463" s="2" t="inlineStr">
        <is>
          <t>Green Valley Supply Co., Ltd</t>
        </is>
      </c>
      <c r="E463" s="2" t="n">
        <v>6</v>
      </c>
      <c r="F463" s="27" t="n">
        <v>11867670.36</v>
      </c>
      <c r="G463" s="28" t="n">
        <v>0.0028</v>
      </c>
      <c r="H463" s="19" t="n">
        <v>0.9685</v>
      </c>
      <c r="I463" s="29" t="n">
        <v>0.1667</v>
      </c>
      <c r="J463" s="2" t="inlineStr">
        <is>
          <t>EXP0019</t>
        </is>
      </c>
      <c r="K463" s="2" t="n">
        <v>14</v>
      </c>
      <c r="L463" s="2" t="inlineStr">
        <is>
          <t>BRK004</t>
        </is>
      </c>
      <c r="M463" s="2" t="inlineStr">
        <is>
          <t>PORT2</t>
        </is>
      </c>
      <c r="N463" s="2" t="n">
        <v>0</v>
      </c>
      <c r="O463" s="2" t="n">
        <v>0</v>
      </c>
      <c r="P463" s="2" t="n">
        <v>0</v>
      </c>
      <c r="Q463" s="2" t="n">
        <v>0</v>
      </c>
      <c r="R463" s="30">
        <f>IF(AND($C$5&lt;&gt;"",$A463=$C$5),1,"")</f>
        <v/>
      </c>
      <c r="S463" s="21">
        <f>IF(AND($C$5&lt;&gt;"",$A463=$C$5),SUMIFS($G$8:$G$715,$A$8:$A$715,$C$5,$B$8:$B$715,"&lt;="&amp;$B463),"")</f>
        <v/>
      </c>
      <c r="T463" s="24" t="n"/>
      <c r="U463" s="24" t="n"/>
    </row>
    <row r="464">
      <c r="A464" s="2" t="inlineStr">
        <is>
          <t>IND-85</t>
        </is>
      </c>
      <c r="B464" s="2" t="n">
        <v>32</v>
      </c>
      <c r="C464" s="2" t="inlineStr">
        <is>
          <t>IMP00157</t>
        </is>
      </c>
      <c r="D464" s="2" t="inlineStr">
        <is>
          <t>Jade Foods Holdings Ltd</t>
        </is>
      </c>
      <c r="E464" s="2" t="n">
        <v>8</v>
      </c>
      <c r="F464" s="27" t="n">
        <v>11671317.63</v>
      </c>
      <c r="G464" s="28" t="n">
        <v>0.0027</v>
      </c>
      <c r="H464" s="19" t="n">
        <v>0.9105</v>
      </c>
      <c r="I464" s="29" t="n">
        <v>0.125</v>
      </c>
      <c r="J464" s="2" t="inlineStr">
        <is>
          <t>EXP0597</t>
        </is>
      </c>
      <c r="K464" s="2" t="n">
        <v>9</v>
      </c>
      <c r="L464" s="2" t="inlineStr">
        <is>
          <t>BRK044</t>
        </is>
      </c>
      <c r="M464" s="2" t="inlineStr">
        <is>
          <t>AIR2</t>
        </is>
      </c>
      <c r="N464" s="2" t="n">
        <v>0</v>
      </c>
      <c r="O464" s="2" t="n">
        <v>0</v>
      </c>
      <c r="P464" s="2" t="n">
        <v>0</v>
      </c>
      <c r="Q464" s="2" t="n">
        <v>0</v>
      </c>
      <c r="R464" s="30">
        <f>IF(AND($C$5&lt;&gt;"",$A464=$C$5),1,"")</f>
        <v/>
      </c>
      <c r="S464" s="21">
        <f>IF(AND($C$5&lt;&gt;"",$A464=$C$5),SUMIFS($G$8:$G$715,$A$8:$A$715,$C$5,$B$8:$B$715,"&lt;="&amp;$B464),"")</f>
        <v/>
      </c>
      <c r="T464" s="24" t="n"/>
      <c r="U464" s="24" t="n"/>
    </row>
    <row r="465">
      <c r="A465" s="2" t="inlineStr">
        <is>
          <t>IND-85</t>
        </is>
      </c>
      <c r="B465" s="2" t="n">
        <v>33</v>
      </c>
      <c r="C465" s="2" t="inlineStr">
        <is>
          <t>IMP00961</t>
        </is>
      </c>
      <c r="D465" s="2" t="inlineStr">
        <is>
          <t>Ocean Electronics International Ltd</t>
        </is>
      </c>
      <c r="E465" s="2" t="n">
        <v>4</v>
      </c>
      <c r="F465" s="27" t="n">
        <v>11436763.49</v>
      </c>
      <c r="G465" s="28" t="n">
        <v>0.0027</v>
      </c>
      <c r="H465" s="19" t="n">
        <v>1.0405</v>
      </c>
      <c r="I465" s="29" t="n">
        <v>0</v>
      </c>
      <c r="J465" s="2" t="inlineStr">
        <is>
          <t>EXP0434</t>
        </is>
      </c>
      <c r="K465" s="2" t="n">
        <v>11</v>
      </c>
      <c r="L465" s="2" t="inlineStr">
        <is>
          <t>BRK043</t>
        </is>
      </c>
      <c r="M465" s="2" t="inlineStr">
        <is>
          <t>AIR1</t>
        </is>
      </c>
      <c r="N465" s="2" t="n">
        <v>0</v>
      </c>
      <c r="O465" s="2" t="n">
        <v>0</v>
      </c>
      <c r="P465" s="2" t="n">
        <v>0</v>
      </c>
      <c r="Q465" s="2" t="n">
        <v>0</v>
      </c>
      <c r="R465" s="30">
        <f>IF(AND($C$5&lt;&gt;"",$A465=$C$5),1,"")</f>
        <v/>
      </c>
      <c r="S465" s="21">
        <f>IF(AND($C$5&lt;&gt;"",$A465=$C$5),SUMIFS($G$8:$G$715,$A$8:$A$715,$C$5,$B$8:$B$715,"&lt;="&amp;$B465),"")</f>
        <v/>
      </c>
      <c r="T465" s="24" t="n"/>
      <c r="U465" s="24" t="n"/>
    </row>
    <row r="466">
      <c r="A466" s="2" t="inlineStr">
        <is>
          <t>IND-85</t>
        </is>
      </c>
      <c r="B466" s="2" t="n">
        <v>34</v>
      </c>
      <c r="C466" s="2" t="inlineStr">
        <is>
          <t>IMP00312</t>
        </is>
      </c>
      <c r="D466" s="2" t="inlineStr">
        <is>
          <t>Central Enterprises Ltd</t>
        </is>
      </c>
      <c r="E466" s="2" t="n">
        <v>5</v>
      </c>
      <c r="F466" s="27" t="n">
        <v>10358340.58</v>
      </c>
      <c r="G466" s="28" t="n">
        <v>0.0024</v>
      </c>
      <c r="H466" s="19" t="n">
        <v>1.056</v>
      </c>
      <c r="I466" s="29" t="n">
        <v>0</v>
      </c>
      <c r="J466" s="2" t="inlineStr">
        <is>
          <t>EXP0008</t>
        </is>
      </c>
      <c r="K466" s="2" t="n">
        <v>7</v>
      </c>
      <c r="L466" s="2" t="inlineStr">
        <is>
          <t>BRK071</t>
        </is>
      </c>
      <c r="M466" s="2" t="inlineStr">
        <is>
          <t>AIR1</t>
        </is>
      </c>
      <c r="N466" s="2" t="n">
        <v>0</v>
      </c>
      <c r="O466" s="2" t="n">
        <v>0</v>
      </c>
      <c r="P466" s="2" t="n">
        <v>0</v>
      </c>
      <c r="Q466" s="2" t="n">
        <v>0</v>
      </c>
      <c r="R466" s="30">
        <f>IF(AND($C$5&lt;&gt;"",$A466=$C$5),1,"")</f>
        <v/>
      </c>
      <c r="S466" s="21">
        <f>IF(AND($C$5&lt;&gt;"",$A466=$C$5),SUMIFS($G$8:$G$715,$A$8:$A$715,$C$5,$B$8:$B$715,"&lt;="&amp;$B466),"")</f>
        <v/>
      </c>
      <c r="T466" s="24" t="n"/>
      <c r="U466" s="24" t="n"/>
    </row>
    <row r="467">
      <c r="A467" s="2" t="inlineStr">
        <is>
          <t>IND-85</t>
        </is>
      </c>
      <c r="B467" s="2" t="n">
        <v>35</v>
      </c>
      <c r="C467" s="2" t="inlineStr">
        <is>
          <t>IMP01498</t>
        </is>
      </c>
      <c r="D467" s="2" t="inlineStr">
        <is>
          <t>Prescott Foods Limited</t>
        </is>
      </c>
      <c r="E467" s="2" t="n">
        <v>6</v>
      </c>
      <c r="F467" s="27" t="n">
        <v>9981472.1</v>
      </c>
      <c r="G467" s="28" t="n">
        <v>0.0023</v>
      </c>
      <c r="H467" s="19" t="n">
        <v>0.9340000000000001</v>
      </c>
      <c r="I467" s="29" t="n">
        <v>0</v>
      </c>
      <c r="J467" s="2" t="inlineStr">
        <is>
          <t>EXP0186</t>
        </is>
      </c>
      <c r="K467" s="2" t="n">
        <v>12</v>
      </c>
      <c r="L467" s="2" t="inlineStr">
        <is>
          <t>BRK059</t>
        </is>
      </c>
      <c r="M467" s="2" t="inlineStr">
        <is>
          <t>AIR1</t>
        </is>
      </c>
      <c r="N467" s="2" t="n">
        <v>0</v>
      </c>
      <c r="O467" s="2" t="n">
        <v>0</v>
      </c>
      <c r="P467" s="2" t="n">
        <v>0</v>
      </c>
      <c r="Q467" s="2" t="n">
        <v>0</v>
      </c>
      <c r="R467" s="30">
        <f>IF(AND($C$5&lt;&gt;"",$A467=$C$5),1,"")</f>
        <v/>
      </c>
      <c r="S467" s="21">
        <f>IF(AND($C$5&lt;&gt;"",$A467=$C$5),SUMIFS($G$8:$G$715,$A$8:$A$715,$C$5,$B$8:$B$715,"&lt;="&amp;$B467),"")</f>
        <v/>
      </c>
      <c r="T467" s="24" t="n"/>
      <c r="U467" s="24" t="n"/>
    </row>
    <row r="468">
      <c r="A468" s="2" t="inlineStr">
        <is>
          <t>IND-85</t>
        </is>
      </c>
      <c r="B468" s="2" t="n">
        <v>36</v>
      </c>
      <c r="C468" s="2" t="inlineStr">
        <is>
          <t>IMP00636</t>
        </is>
      </c>
      <c r="D468" s="2" t="inlineStr">
        <is>
          <t>Phoenix Distribution &amp; Sons</t>
        </is>
      </c>
      <c r="E468" s="2" t="n">
        <v>5</v>
      </c>
      <c r="F468" s="27" t="n">
        <v>9688346.560000001</v>
      </c>
      <c r="G468" s="28" t="n">
        <v>0.0023</v>
      </c>
      <c r="H468" s="19" t="n">
        <v>0.956</v>
      </c>
      <c r="I468" s="29" t="n">
        <v>0.4</v>
      </c>
      <c r="J468" s="2" t="inlineStr">
        <is>
          <t>EXP0186</t>
        </is>
      </c>
      <c r="K468" s="2" t="n">
        <v>12</v>
      </c>
      <c r="L468" s="2" t="inlineStr">
        <is>
          <t>BRK014</t>
        </is>
      </c>
      <c r="M468" s="2" t="inlineStr">
        <is>
          <t>LAND3</t>
        </is>
      </c>
      <c r="N468" s="2" t="n">
        <v>0</v>
      </c>
      <c r="O468" s="2" t="n">
        <v>0</v>
      </c>
      <c r="P468" s="2" t="n">
        <v>0</v>
      </c>
      <c r="Q468" s="2" t="n">
        <v>0</v>
      </c>
      <c r="R468" s="30">
        <f>IF(AND($C$5&lt;&gt;"",$A468=$C$5),1,"")</f>
        <v/>
      </c>
      <c r="S468" s="21">
        <f>IF(AND($C$5&lt;&gt;"",$A468=$C$5),SUMIFS($G$8:$G$715,$A$8:$A$715,$C$5,$B$8:$B$715,"&lt;="&amp;$B468),"")</f>
        <v/>
      </c>
      <c r="T468" s="24" t="n"/>
      <c r="U468" s="24" t="n"/>
    </row>
    <row r="469">
      <c r="A469" s="2" t="inlineStr">
        <is>
          <t>IND-85</t>
        </is>
      </c>
      <c r="B469" s="2" t="n">
        <v>37</v>
      </c>
      <c r="C469" s="2" t="inlineStr">
        <is>
          <t>IMP01081</t>
        </is>
      </c>
      <c r="D469" s="2" t="inlineStr">
        <is>
          <t>Sunrise Industries Co.</t>
        </is>
      </c>
      <c r="E469" s="2" t="n">
        <v>4</v>
      </c>
      <c r="F469" s="27" t="n">
        <v>9138953.02</v>
      </c>
      <c r="G469" s="28" t="n">
        <v>0.0021</v>
      </c>
      <c r="H469" s="19" t="n">
        <v>0.8685</v>
      </c>
      <c r="I469" s="29" t="n">
        <v>0.25</v>
      </c>
      <c r="J469" s="2" t="inlineStr">
        <is>
          <t>EXP0323</t>
        </is>
      </c>
      <c r="K469" s="2" t="n">
        <v>7</v>
      </c>
      <c r="L469" s="2" t="inlineStr">
        <is>
          <t>BRK036</t>
        </is>
      </c>
      <c r="M469" s="2" t="inlineStr">
        <is>
          <t>PORT1</t>
        </is>
      </c>
      <c r="N469" s="2" t="n">
        <v>0</v>
      </c>
      <c r="O469" s="2" t="n">
        <v>0</v>
      </c>
      <c r="P469" s="2" t="n">
        <v>0</v>
      </c>
      <c r="Q469" s="2" t="n">
        <v>0</v>
      </c>
      <c r="R469" s="30">
        <f>IF(AND($C$5&lt;&gt;"",$A469=$C$5),1,"")</f>
        <v/>
      </c>
      <c r="S469" s="21">
        <f>IF(AND($C$5&lt;&gt;"",$A469=$C$5),SUMIFS($G$8:$G$715,$A$8:$A$715,$C$5,$B$8:$B$715,"&lt;="&amp;$B469),"")</f>
        <v/>
      </c>
      <c r="T469" s="24" t="n"/>
      <c r="U469" s="24" t="n"/>
    </row>
    <row r="470">
      <c r="A470" s="2" t="inlineStr">
        <is>
          <t>IND-85</t>
        </is>
      </c>
      <c r="B470" s="2" t="n">
        <v>38</v>
      </c>
      <c r="C470" s="2" t="inlineStr">
        <is>
          <t>IMP00447</t>
        </is>
      </c>
      <c r="D470" s="2" t="inlineStr">
        <is>
          <t>Coral Fruits Limited</t>
        </is>
      </c>
      <c r="E470" s="2" t="n">
        <v>1</v>
      </c>
      <c r="F470" s="27" t="n">
        <v>8984436.5</v>
      </c>
      <c r="G470" s="28" t="n">
        <v>0.0021</v>
      </c>
      <c r="H470" s="19" t="n">
        <v>0.877</v>
      </c>
      <c r="I470" s="29" t="n">
        <v>0</v>
      </c>
      <c r="J470" s="2" t="inlineStr">
        <is>
          <t>EXP0067</t>
        </is>
      </c>
      <c r="K470" s="2" t="n">
        <v>7</v>
      </c>
      <c r="L470" s="2" t="inlineStr">
        <is>
          <t>BRK029</t>
        </is>
      </c>
      <c r="M470" s="2" t="inlineStr">
        <is>
          <t>PORT2</t>
        </is>
      </c>
      <c r="N470" s="2" t="n">
        <v>0</v>
      </c>
      <c r="O470" s="2" t="n">
        <v>0</v>
      </c>
      <c r="P470" s="2" t="n">
        <v>0</v>
      </c>
      <c r="Q470" s="2" t="n">
        <v>0</v>
      </c>
      <c r="R470" s="30">
        <f>IF(AND($C$5&lt;&gt;"",$A470=$C$5),1,"")</f>
        <v/>
      </c>
      <c r="S470" s="21">
        <f>IF(AND($C$5&lt;&gt;"",$A470=$C$5),SUMIFS($G$8:$G$715,$A$8:$A$715,$C$5,$B$8:$B$715,"&lt;="&amp;$B470),"")</f>
        <v/>
      </c>
      <c r="T470" s="24" t="n"/>
      <c r="U470" s="24" t="n"/>
    </row>
    <row r="471">
      <c r="A471" s="2" t="inlineStr">
        <is>
          <t>IND-85</t>
        </is>
      </c>
      <c r="B471" s="2" t="n">
        <v>39</v>
      </c>
      <c r="C471" s="2" t="inlineStr">
        <is>
          <t>IMP01375</t>
        </is>
      </c>
      <c r="D471" s="2" t="inlineStr">
        <is>
          <t>Northern Electronics Enterprises</t>
        </is>
      </c>
      <c r="E471" s="2" t="n">
        <v>5</v>
      </c>
      <c r="F471" s="27" t="n">
        <v>8491983.16</v>
      </c>
      <c r="G471" s="28" t="n">
        <v>0.002</v>
      </c>
      <c r="H471" s="19" t="n">
        <v>0.953</v>
      </c>
      <c r="I471" s="29" t="n">
        <v>0.2</v>
      </c>
      <c r="J471" s="2" t="inlineStr">
        <is>
          <t>EXP0019</t>
        </is>
      </c>
      <c r="K471" s="2" t="n">
        <v>14</v>
      </c>
      <c r="L471" s="2" t="inlineStr">
        <is>
          <t>BRK059</t>
        </is>
      </c>
      <c r="M471" s="2" t="inlineStr">
        <is>
          <t>LAND1</t>
        </is>
      </c>
      <c r="N471" s="2" t="n">
        <v>0</v>
      </c>
      <c r="O471" s="2" t="n">
        <v>0</v>
      </c>
      <c r="P471" s="2" t="n">
        <v>0</v>
      </c>
      <c r="Q471" s="2" t="n">
        <v>0</v>
      </c>
      <c r="R471" s="30">
        <f>IF(AND($C$5&lt;&gt;"",$A471=$C$5),1,"")</f>
        <v/>
      </c>
      <c r="S471" s="21">
        <f>IF(AND($C$5&lt;&gt;"",$A471=$C$5),SUMIFS($G$8:$G$715,$A$8:$A$715,$C$5,$B$8:$B$715,"&lt;="&amp;$B471),"")</f>
        <v/>
      </c>
      <c r="T471" s="24" t="n"/>
      <c r="U471" s="24" t="n"/>
    </row>
    <row r="472">
      <c r="A472" s="2" t="inlineStr">
        <is>
          <t>IND-85</t>
        </is>
      </c>
      <c r="B472" s="2" t="n">
        <v>40</v>
      </c>
      <c r="C472" s="2" t="inlineStr">
        <is>
          <t>IMP01368</t>
        </is>
      </c>
      <c r="D472" s="2" t="inlineStr">
        <is>
          <t>Pacific Enterprises International Ltd</t>
        </is>
      </c>
      <c r="E472" s="2" t="n">
        <v>3</v>
      </c>
      <c r="F472" s="27" t="n">
        <v>5242522.88</v>
      </c>
      <c r="G472" s="28" t="n">
        <v>0.0012</v>
      </c>
      <c r="H472" s="19" t="n">
        <v>1.073</v>
      </c>
      <c r="I472" s="29" t="n">
        <v>0</v>
      </c>
      <c r="J472" s="2" t="inlineStr">
        <is>
          <t>EXP0008</t>
        </is>
      </c>
      <c r="K472" s="2" t="n">
        <v>7</v>
      </c>
      <c r="L472" s="2" t="inlineStr">
        <is>
          <t>BRK052</t>
        </is>
      </c>
      <c r="M472" s="2" t="inlineStr">
        <is>
          <t>PORT3</t>
        </is>
      </c>
      <c r="N472" s="2" t="n">
        <v>0</v>
      </c>
      <c r="O472" s="2" t="n">
        <v>0</v>
      </c>
      <c r="P472" s="2" t="n">
        <v>0</v>
      </c>
      <c r="Q472" s="2" t="n">
        <v>0</v>
      </c>
      <c r="R472" s="30">
        <f>IF(AND($C$5&lt;&gt;"",$A472=$C$5),1,"")</f>
        <v/>
      </c>
      <c r="S472" s="21">
        <f>IF(AND($C$5&lt;&gt;"",$A472=$C$5),SUMIFS($G$8:$G$715,$A$8:$A$715,$C$5,$B$8:$B$715,"&lt;="&amp;$B472),"")</f>
        <v/>
      </c>
      <c r="T472" s="24" t="n"/>
      <c r="U472" s="24" t="n"/>
    </row>
    <row r="473">
      <c r="A473" s="2" t="inlineStr">
        <is>
          <t>IND-85</t>
        </is>
      </c>
      <c r="B473" s="2" t="n">
        <v>41</v>
      </c>
      <c r="C473" s="2" t="inlineStr">
        <is>
          <t>IMP00929</t>
        </is>
      </c>
      <c r="D473" s="2" t="inlineStr">
        <is>
          <t>Global Distribution Co.</t>
        </is>
      </c>
      <c r="E473" s="2" t="n">
        <v>3</v>
      </c>
      <c r="F473" s="27" t="n">
        <v>4610357.68</v>
      </c>
      <c r="G473" s="28" t="n">
        <v>0.0011</v>
      </c>
      <c r="H473" s="19" t="n">
        <v>0.8169999999999999</v>
      </c>
      <c r="I473" s="29" t="n">
        <v>0.3333</v>
      </c>
      <c r="J473" s="2" t="inlineStr">
        <is>
          <t>EXP0445</t>
        </is>
      </c>
      <c r="K473" s="2" t="n">
        <v>17</v>
      </c>
      <c r="L473" s="2" t="inlineStr">
        <is>
          <t>BRK028</t>
        </is>
      </c>
      <c r="M473" s="2" t="inlineStr">
        <is>
          <t>AIR1</t>
        </is>
      </c>
      <c r="N473" s="2" t="n">
        <v>0</v>
      </c>
      <c r="O473" s="2" t="n">
        <v>0</v>
      </c>
      <c r="P473" s="2" t="n">
        <v>0</v>
      </c>
      <c r="Q473" s="2" t="n">
        <v>0</v>
      </c>
      <c r="R473" s="30">
        <f>IF(AND($C$5&lt;&gt;"",$A473=$C$5),1,"")</f>
        <v/>
      </c>
      <c r="S473" s="21">
        <f>IF(AND($C$5&lt;&gt;"",$A473=$C$5),SUMIFS($G$8:$G$715,$A$8:$A$715,$C$5,$B$8:$B$715,"&lt;="&amp;$B473),"")</f>
        <v/>
      </c>
      <c r="T473" s="24" t="n"/>
      <c r="U473" s="24" t="n"/>
    </row>
    <row r="474">
      <c r="A474" s="2" t="inlineStr">
        <is>
          <t>IND-85</t>
        </is>
      </c>
      <c r="B474" s="2" t="n">
        <v>42</v>
      </c>
      <c r="C474" s="2" t="inlineStr">
        <is>
          <t>IMP00902</t>
        </is>
      </c>
      <c r="D474" s="2" t="inlineStr">
        <is>
          <t>Horizon Trading Co.</t>
        </is>
      </c>
      <c r="E474" s="2" t="n">
        <v>1</v>
      </c>
      <c r="F474" s="27" t="n">
        <v>4202073.98</v>
      </c>
      <c r="G474" s="28" t="n">
        <v>0.001</v>
      </c>
      <c r="H474" s="19" t="n">
        <v>1.165</v>
      </c>
      <c r="I474" s="29" t="n">
        <v>0</v>
      </c>
      <c r="J474" s="2" t="inlineStr">
        <is>
          <t>EXP0445</t>
        </is>
      </c>
      <c r="K474" s="2" t="n">
        <v>17</v>
      </c>
      <c r="L474" s="2" t="inlineStr">
        <is>
          <t>BRK074</t>
        </is>
      </c>
      <c r="M474" s="2" t="inlineStr">
        <is>
          <t>PORT2</t>
        </is>
      </c>
      <c r="N474" s="2" t="n">
        <v>0</v>
      </c>
      <c r="O474" s="2" t="n">
        <v>0</v>
      </c>
      <c r="P474" s="2" t="n">
        <v>0</v>
      </c>
      <c r="Q474" s="2" t="n">
        <v>0</v>
      </c>
      <c r="R474" s="30">
        <f>IF(AND($C$5&lt;&gt;"",$A474=$C$5),1,"")</f>
        <v/>
      </c>
      <c r="S474" s="21">
        <f>IF(AND($C$5&lt;&gt;"",$A474=$C$5),SUMIFS($G$8:$G$715,$A$8:$A$715,$C$5,$B$8:$B$715,"&lt;="&amp;$B474),"")</f>
        <v/>
      </c>
      <c r="T474" s="24" t="n"/>
      <c r="U474" s="24" t="n"/>
    </row>
    <row r="475">
      <c r="A475" s="2" t="inlineStr">
        <is>
          <t>IND-85</t>
        </is>
      </c>
      <c r="B475" s="2" t="n">
        <v>43</v>
      </c>
      <c r="C475" s="2" t="inlineStr">
        <is>
          <t>IMP00363</t>
        </is>
      </c>
      <c r="D475" s="2" t="inlineStr">
        <is>
          <t>Aldergate Imports Group Ltd</t>
        </is>
      </c>
      <c r="E475" s="2" t="n">
        <v>2</v>
      </c>
      <c r="F475" s="27" t="n">
        <v>2956787.28</v>
      </c>
      <c r="G475" s="28" t="n">
        <v>0.0007</v>
      </c>
      <c r="H475" s="19" t="n">
        <v>0.946</v>
      </c>
      <c r="I475" s="29" t="n">
        <v>0</v>
      </c>
      <c r="J475" s="2" t="inlineStr">
        <is>
          <t>EXP0468</t>
        </is>
      </c>
      <c r="K475" s="2" t="n">
        <v>6</v>
      </c>
      <c r="L475" s="2" t="inlineStr">
        <is>
          <t>BRK051</t>
        </is>
      </c>
      <c r="M475" s="2" t="inlineStr">
        <is>
          <t>AIR2</t>
        </is>
      </c>
      <c r="N475" s="2" t="n">
        <v>0</v>
      </c>
      <c r="O475" s="2" t="n">
        <v>0</v>
      </c>
      <c r="P475" s="2" t="n">
        <v>0</v>
      </c>
      <c r="Q475" s="2" t="n">
        <v>0</v>
      </c>
      <c r="R475" s="30">
        <f>IF(AND($C$5&lt;&gt;"",$A475=$C$5),1,"")</f>
        <v/>
      </c>
      <c r="S475" s="21">
        <f>IF(AND($C$5&lt;&gt;"",$A475=$C$5),SUMIFS($G$8:$G$715,$A$8:$A$715,$C$5,$B$8:$B$715,"&lt;="&amp;$B475),"")</f>
        <v/>
      </c>
      <c r="T475" s="24" t="n"/>
      <c r="U475" s="24" t="n"/>
    </row>
    <row r="476">
      <c r="A476" s="2" t="inlineStr">
        <is>
          <t>IND-85</t>
        </is>
      </c>
      <c r="B476" s="2" t="n">
        <v>44</v>
      </c>
      <c r="C476" s="2" t="inlineStr">
        <is>
          <t>IMP01398</t>
        </is>
      </c>
      <c r="D476" s="2" t="inlineStr">
        <is>
          <t>Meridian Agro Partners Ltd</t>
        </is>
      </c>
      <c r="E476" s="2" t="n">
        <v>1</v>
      </c>
      <c r="F476" s="27" t="n">
        <v>2481777.32</v>
      </c>
      <c r="G476" s="28" t="n">
        <v>0.0005999999999999999</v>
      </c>
      <c r="H476" s="19" t="n">
        <v>1.051</v>
      </c>
      <c r="I476" s="29" t="n">
        <v>0</v>
      </c>
      <c r="J476" s="2" t="inlineStr">
        <is>
          <t>EXP0555</t>
        </is>
      </c>
      <c r="K476" s="2" t="n">
        <v>12</v>
      </c>
      <c r="L476" s="2" t="inlineStr">
        <is>
          <t>BRK062</t>
        </is>
      </c>
      <c r="M476" s="2" t="inlineStr">
        <is>
          <t>PORT1</t>
        </is>
      </c>
      <c r="N476" s="2" t="n">
        <v>0</v>
      </c>
      <c r="O476" s="2" t="n">
        <v>0</v>
      </c>
      <c r="P476" s="2" t="n">
        <v>0</v>
      </c>
      <c r="Q476" s="2" t="n">
        <v>0</v>
      </c>
      <c r="R476" s="30">
        <f>IF(AND($C$5&lt;&gt;"",$A476=$C$5),1,"")</f>
        <v/>
      </c>
      <c r="S476" s="21">
        <f>IF(AND($C$5&lt;&gt;"",$A476=$C$5),SUMIFS($G$8:$G$715,$A$8:$A$715,$C$5,$B$8:$B$715,"&lt;="&amp;$B476),"")</f>
        <v/>
      </c>
      <c r="T476" s="24" t="n"/>
      <c r="U476" s="24" t="n"/>
    </row>
    <row r="477">
      <c r="A477" s="2" t="inlineStr">
        <is>
          <t>IND-85</t>
        </is>
      </c>
      <c r="B477" s="2" t="n">
        <v>45</v>
      </c>
      <c r="C477" s="2" t="inlineStr">
        <is>
          <t>IMP00981</t>
        </is>
      </c>
      <c r="D477" s="2" t="inlineStr">
        <is>
          <t>Global Imports Ltd</t>
        </is>
      </c>
      <c r="E477" s="2" t="n">
        <v>1</v>
      </c>
      <c r="F477" s="27" t="n">
        <v>2129963.71</v>
      </c>
      <c r="G477" s="28" t="n">
        <v>0.0005</v>
      </c>
      <c r="H477" s="19" t="n">
        <v>0.9360000000000001</v>
      </c>
      <c r="I477" s="29" t="n">
        <v>0</v>
      </c>
      <c r="J477" s="2" t="inlineStr">
        <is>
          <t>EXP0445</t>
        </is>
      </c>
      <c r="K477" s="2" t="n">
        <v>17</v>
      </c>
      <c r="L477" s="2" t="inlineStr">
        <is>
          <t>BRK068</t>
        </is>
      </c>
      <c r="M477" s="2" t="inlineStr">
        <is>
          <t>PORT1</t>
        </is>
      </c>
      <c r="N477" s="2" t="n">
        <v>0</v>
      </c>
      <c r="O477" s="2" t="n">
        <v>0</v>
      </c>
      <c r="P477" s="2" t="n">
        <v>0</v>
      </c>
      <c r="Q477" s="2" t="n">
        <v>0</v>
      </c>
      <c r="R477" s="30">
        <f>IF(AND($C$5&lt;&gt;"",$A477=$C$5),1,"")</f>
        <v/>
      </c>
      <c r="S477" s="21">
        <f>IF(AND($C$5&lt;&gt;"",$A477=$C$5),SUMIFS($G$8:$G$715,$A$8:$A$715,$C$5,$B$8:$B$715,"&lt;="&amp;$B477),"")</f>
        <v/>
      </c>
      <c r="T477" s="24" t="n"/>
      <c r="U477" s="24" t="n"/>
    </row>
    <row r="478">
      <c r="A478" s="2" t="inlineStr">
        <is>
          <t>IND-85</t>
        </is>
      </c>
      <c r="B478" s="2" t="n">
        <v>46</v>
      </c>
      <c r="C478" s="2" t="inlineStr">
        <is>
          <t>IMP00107</t>
        </is>
      </c>
      <c r="D478" s="2" t="inlineStr">
        <is>
          <t>Metro Fruits Enterprises</t>
        </is>
      </c>
      <c r="E478" s="2" t="n">
        <v>1</v>
      </c>
      <c r="F478" s="27" t="n">
        <v>1172614.95</v>
      </c>
      <c r="G478" s="28" t="n">
        <v>0.0003</v>
      </c>
      <c r="H478" s="19" t="n">
        <v>1.034</v>
      </c>
      <c r="I478" s="29" t="n">
        <v>0</v>
      </c>
      <c r="J478" s="2" t="inlineStr">
        <is>
          <t>EXP0445</t>
        </is>
      </c>
      <c r="K478" s="2" t="n">
        <v>17</v>
      </c>
      <c r="L478" s="2" t="inlineStr">
        <is>
          <t>BRK011</t>
        </is>
      </c>
      <c r="M478" s="2" t="inlineStr">
        <is>
          <t>PORT1</t>
        </is>
      </c>
      <c r="N478" s="2" t="n">
        <v>1</v>
      </c>
      <c r="O478" s="2" t="n">
        <v>0</v>
      </c>
      <c r="P478" s="2" t="n">
        <v>0</v>
      </c>
      <c r="Q478" s="2" t="n">
        <v>0</v>
      </c>
      <c r="R478" s="30">
        <f>IF(AND($C$5&lt;&gt;"",$A478=$C$5),1,"")</f>
        <v/>
      </c>
      <c r="S478" s="21">
        <f>IF(AND($C$5&lt;&gt;"",$A478=$C$5),SUMIFS($G$8:$G$715,$A$8:$A$715,$C$5,$B$8:$B$715,"&lt;="&amp;$B478),"")</f>
        <v/>
      </c>
      <c r="T478" s="24" t="n"/>
      <c r="U478" s="24" t="n"/>
    </row>
    <row r="479">
      <c r="A479" s="2" t="inlineStr">
        <is>
          <t>IND-85</t>
        </is>
      </c>
      <c r="B479" s="2" t="n">
        <v>47</v>
      </c>
      <c r="C479" s="2" t="inlineStr">
        <is>
          <t>IMP00585</t>
        </is>
      </c>
      <c r="D479" s="2" t="inlineStr">
        <is>
          <t>Metro Pack Group Ltd</t>
        </is>
      </c>
      <c r="E479" s="2" t="n">
        <v>1</v>
      </c>
      <c r="F479" s="27" t="n">
        <v>877574.22</v>
      </c>
      <c r="G479" s="28" t="n">
        <v>0.0002</v>
      </c>
      <c r="H479" s="19" t="n">
        <v>0.931</v>
      </c>
      <c r="I479" s="29" t="n">
        <v>0</v>
      </c>
      <c r="J479" s="2" t="inlineStr">
        <is>
          <t>EXP0445</t>
        </is>
      </c>
      <c r="K479" s="2" t="n">
        <v>17</v>
      </c>
      <c r="L479" s="2" t="inlineStr">
        <is>
          <t>BRK072</t>
        </is>
      </c>
      <c r="M479" s="2" t="inlineStr">
        <is>
          <t>AIR1</t>
        </is>
      </c>
      <c r="N479" s="2" t="n">
        <v>0</v>
      </c>
      <c r="O479" s="2" t="n">
        <v>0</v>
      </c>
      <c r="P479" s="2" t="n">
        <v>0</v>
      </c>
      <c r="Q479" s="2" t="n">
        <v>0</v>
      </c>
      <c r="R479" s="30">
        <f>IF(AND($C$5&lt;&gt;"",$A479=$C$5),1,"")</f>
        <v/>
      </c>
      <c r="S479" s="21">
        <f>IF(AND($C$5&lt;&gt;"",$A479=$C$5),SUMIFS($G$8:$G$715,$A$8:$A$715,$C$5,$B$8:$B$715,"&lt;="&amp;$B479),"")</f>
        <v/>
      </c>
      <c r="T479" s="24" t="n"/>
      <c r="U479" s="24" t="n"/>
    </row>
    <row r="480">
      <c r="A480" s="2" t="inlineStr">
        <is>
          <t>IND-85</t>
        </is>
      </c>
      <c r="B480" s="2" t="n">
        <v>48</v>
      </c>
      <c r="C480" s="2" t="inlineStr">
        <is>
          <t>IMP01144</t>
        </is>
      </c>
      <c r="D480" s="2" t="inlineStr">
        <is>
          <t>Sunrise Textiles Enterprises</t>
        </is>
      </c>
      <c r="E480" s="2" t="n">
        <v>1</v>
      </c>
      <c r="F480" s="27" t="n">
        <v>208020.42</v>
      </c>
      <c r="G480" s="28" t="n">
        <v>0</v>
      </c>
      <c r="H480" s="19" t="n">
        <v>0.6899999999999999</v>
      </c>
      <c r="I480" s="29" t="n">
        <v>1</v>
      </c>
      <c r="J480" s="2" t="inlineStr">
        <is>
          <t>EXP0019</t>
        </is>
      </c>
      <c r="K480" s="2" t="n">
        <v>14</v>
      </c>
      <c r="L480" s="2" t="inlineStr">
        <is>
          <t>BRK046</t>
        </is>
      </c>
      <c r="M480" s="2" t="inlineStr">
        <is>
          <t>PORT1</t>
        </is>
      </c>
      <c r="N480" s="2" t="n">
        <v>0</v>
      </c>
      <c r="O480" s="2" t="n">
        <v>0</v>
      </c>
      <c r="P480" s="2" t="n">
        <v>1</v>
      </c>
      <c r="Q480" s="2" t="n">
        <v>0</v>
      </c>
      <c r="R480" s="30">
        <f>IF(AND($C$5&lt;&gt;"",$A480=$C$5),1,"")</f>
        <v/>
      </c>
      <c r="S480" s="21">
        <f>IF(AND($C$5&lt;&gt;"",$A480=$C$5),SUMIFS($G$8:$G$715,$A$8:$A$715,$C$5,$B$8:$B$715,"&lt;="&amp;$B480),"")</f>
        <v/>
      </c>
      <c r="T480" s="24" t="n"/>
      <c r="U480" s="24" t="n"/>
    </row>
    <row r="481">
      <c r="A481" s="2" t="inlineStr">
        <is>
          <t>IND-87</t>
        </is>
      </c>
      <c r="B481" s="2" t="n">
        <v>1</v>
      </c>
      <c r="C481" s="2" t="inlineStr">
        <is>
          <t>IMP00355</t>
        </is>
      </c>
      <c r="D481" s="2" t="inlineStr">
        <is>
          <t>Northern Agro Co.</t>
        </is>
      </c>
      <c r="E481" s="2" t="n">
        <v>11</v>
      </c>
      <c r="F481" s="27" t="n">
        <v>232613221.03</v>
      </c>
      <c r="G481" s="28" t="n">
        <v>0.4227</v>
      </c>
      <c r="H481" s="19" t="n">
        <v>0.883</v>
      </c>
      <c r="I481" s="29" t="n">
        <v>0.2727</v>
      </c>
      <c r="J481" s="2" t="inlineStr">
        <is>
          <t>EXP0468</t>
        </is>
      </c>
      <c r="K481" s="2" t="n">
        <v>5</v>
      </c>
      <c r="L481" s="2" t="inlineStr">
        <is>
          <t>BRK041</t>
        </is>
      </c>
      <c r="M481" s="2" t="inlineStr">
        <is>
          <t>PORT1</t>
        </is>
      </c>
      <c r="N481" s="2" t="n">
        <v>0</v>
      </c>
      <c r="O481" s="2" t="n">
        <v>0</v>
      </c>
      <c r="P481" s="2" t="n">
        <v>0</v>
      </c>
      <c r="Q481" s="2" t="n">
        <v>1</v>
      </c>
      <c r="R481" s="30">
        <f>IF(AND($C$5&lt;&gt;"",$A481=$C$5),1,"")</f>
        <v/>
      </c>
      <c r="S481" s="21">
        <f>IF(AND($C$5&lt;&gt;"",$A481=$C$5),SUMIFS($G$8:$G$715,$A$8:$A$715,$C$5,$B$8:$B$715,"&lt;="&amp;$B481),"")</f>
        <v/>
      </c>
      <c r="T481" s="24" t="n"/>
      <c r="U481" s="24" t="n"/>
    </row>
    <row r="482">
      <c r="A482" s="2" t="inlineStr">
        <is>
          <t>IND-87</t>
        </is>
      </c>
      <c r="B482" s="2" t="n">
        <v>2</v>
      </c>
      <c r="C482" s="2" t="inlineStr">
        <is>
          <t>IMP01180</t>
        </is>
      </c>
      <c r="D482" s="2" t="inlineStr">
        <is>
          <t>Global Logistics Holdings Ltd</t>
        </is>
      </c>
      <c r="E482" s="2" t="n">
        <v>175</v>
      </c>
      <c r="F482" s="27" t="n">
        <v>158950754.18</v>
      </c>
      <c r="G482" s="28" t="n">
        <v>0.2888</v>
      </c>
      <c r="H482" s="19" t="n">
        <v>0.976</v>
      </c>
      <c r="I482" s="29" t="n">
        <v>0.0057</v>
      </c>
      <c r="J482" s="2" t="inlineStr">
        <is>
          <t>EXP0161</t>
        </is>
      </c>
      <c r="K482" s="2" t="n">
        <v>2</v>
      </c>
      <c r="L482" s="2" t="inlineStr">
        <is>
          <t>BRK073</t>
        </is>
      </c>
      <c r="M482" s="2" t="inlineStr">
        <is>
          <t>LAND1</t>
        </is>
      </c>
      <c r="N482" s="2" t="n">
        <v>0</v>
      </c>
      <c r="O482" s="2" t="n">
        <v>0</v>
      </c>
      <c r="P482" s="2" t="n">
        <v>0</v>
      </c>
      <c r="Q482" s="2" t="n">
        <v>1</v>
      </c>
      <c r="R482" s="30">
        <f>IF(AND($C$5&lt;&gt;"",$A482=$C$5),1,"")</f>
        <v/>
      </c>
      <c r="S482" s="21">
        <f>IF(AND($C$5&lt;&gt;"",$A482=$C$5),SUMIFS($G$8:$G$715,$A$8:$A$715,$C$5,$B$8:$B$715,"&lt;="&amp;$B482),"")</f>
        <v/>
      </c>
      <c r="T482" s="24" t="n"/>
      <c r="U482" s="24" t="n"/>
    </row>
    <row r="483">
      <c r="A483" s="2" t="inlineStr">
        <is>
          <t>IND-87</t>
        </is>
      </c>
      <c r="B483" s="2" t="n">
        <v>3</v>
      </c>
      <c r="C483" s="2" t="inlineStr">
        <is>
          <t>IMP00714</t>
        </is>
      </c>
      <c r="D483" s="2" t="inlineStr">
        <is>
          <t>Summit Industries Holdings Ltd</t>
        </is>
      </c>
      <c r="E483" s="2" t="n">
        <v>29</v>
      </c>
      <c r="F483" s="27" t="n">
        <v>42253859.63</v>
      </c>
      <c r="G483" s="28" t="n">
        <v>0.07679999999999999</v>
      </c>
      <c r="H483" s="19" t="n">
        <v>0.834</v>
      </c>
      <c r="I483" s="29" t="n">
        <v>0.2414</v>
      </c>
      <c r="J483" s="2" t="inlineStr">
        <is>
          <t>EXP0236</t>
        </is>
      </c>
      <c r="K483" s="2" t="n">
        <v>3</v>
      </c>
      <c r="L483" s="2" t="inlineStr">
        <is>
          <t>BRK056</t>
        </is>
      </c>
      <c r="M483" s="2" t="inlineStr">
        <is>
          <t>AIR2</t>
        </is>
      </c>
      <c r="N483" s="2" t="n">
        <v>0</v>
      </c>
      <c r="O483" s="2" t="n">
        <v>0</v>
      </c>
      <c r="P483" s="2" t="n">
        <v>0</v>
      </c>
      <c r="Q483" s="2" t="n">
        <v>0</v>
      </c>
      <c r="R483" s="30">
        <f>IF(AND($C$5&lt;&gt;"",$A483=$C$5),1,"")</f>
        <v/>
      </c>
      <c r="S483" s="21">
        <f>IF(AND($C$5&lt;&gt;"",$A483=$C$5),SUMIFS($G$8:$G$715,$A$8:$A$715,$C$5,$B$8:$B$715,"&lt;="&amp;$B483),"")</f>
        <v/>
      </c>
      <c r="T483" s="24" t="n"/>
      <c r="U483" s="24" t="n"/>
    </row>
    <row r="484">
      <c r="A484" s="2" t="inlineStr">
        <is>
          <t>IND-87</t>
        </is>
      </c>
      <c r="B484" s="2" t="n">
        <v>4</v>
      </c>
      <c r="C484" s="2" t="inlineStr">
        <is>
          <t>IMP00506</t>
        </is>
      </c>
      <c r="D484" s="2" t="inlineStr">
        <is>
          <t>Sunrise Logistics Partners Ltd</t>
        </is>
      </c>
      <c r="E484" s="2" t="n">
        <v>17</v>
      </c>
      <c r="F484" s="27" t="n">
        <v>32220396.29</v>
      </c>
      <c r="G484" s="28" t="n">
        <v>0.0586</v>
      </c>
      <c r="H484" s="19" t="n">
        <v>0.846</v>
      </c>
      <c r="I484" s="29" t="n">
        <v>0.2353</v>
      </c>
      <c r="J484" s="2" t="inlineStr">
        <is>
          <t>EXP0445</t>
        </is>
      </c>
      <c r="K484" s="2" t="n">
        <v>1</v>
      </c>
      <c r="L484" s="2" t="inlineStr">
        <is>
          <t>BRK019</t>
        </is>
      </c>
      <c r="M484" s="2" t="inlineStr">
        <is>
          <t>AIR1</t>
        </is>
      </c>
      <c r="N484" s="2" t="n">
        <v>0</v>
      </c>
      <c r="O484" s="2" t="n">
        <v>0</v>
      </c>
      <c r="P484" s="2" t="n">
        <v>0</v>
      </c>
      <c r="Q484" s="2" t="n">
        <v>0</v>
      </c>
      <c r="R484" s="30">
        <f>IF(AND($C$5&lt;&gt;"",$A484=$C$5),1,"")</f>
        <v/>
      </c>
      <c r="S484" s="21">
        <f>IF(AND($C$5&lt;&gt;"",$A484=$C$5),SUMIFS($G$8:$G$715,$A$8:$A$715,$C$5,$B$8:$B$715,"&lt;="&amp;$B484),"")</f>
        <v/>
      </c>
      <c r="T484" s="24" t="n"/>
      <c r="U484" s="24" t="n"/>
    </row>
    <row r="485">
      <c r="A485" s="2" t="inlineStr">
        <is>
          <t>IND-87</t>
        </is>
      </c>
      <c r="B485" s="2" t="n">
        <v>5</v>
      </c>
      <c r="C485" s="2" t="inlineStr">
        <is>
          <t>IMP01299</t>
        </is>
      </c>
      <c r="D485" s="2" t="inlineStr">
        <is>
          <t>United Pack Partners Ltd</t>
        </is>
      </c>
      <c r="E485" s="2" t="n">
        <v>1</v>
      </c>
      <c r="F485" s="27" t="n">
        <v>18991350.64</v>
      </c>
      <c r="G485" s="28" t="n">
        <v>0.0345</v>
      </c>
      <c r="H485" s="19" t="n">
        <v>0.761</v>
      </c>
      <c r="I485" s="29" t="n">
        <v>0</v>
      </c>
      <c r="J485" s="2" t="inlineStr">
        <is>
          <t>EXP0236</t>
        </is>
      </c>
      <c r="K485" s="2" t="n">
        <v>3</v>
      </c>
      <c r="L485" s="2" t="inlineStr">
        <is>
          <t>BRK059</t>
        </is>
      </c>
      <c r="M485" s="2" t="inlineStr">
        <is>
          <t>PORT1</t>
        </is>
      </c>
      <c r="N485" s="2" t="n">
        <v>0</v>
      </c>
      <c r="O485" s="2" t="n">
        <v>0</v>
      </c>
      <c r="P485" s="2" t="n">
        <v>0</v>
      </c>
      <c r="Q485" s="2" t="n">
        <v>0</v>
      </c>
      <c r="R485" s="30">
        <f>IF(AND($C$5&lt;&gt;"",$A485=$C$5),1,"")</f>
        <v/>
      </c>
      <c r="S485" s="21">
        <f>IF(AND($C$5&lt;&gt;"",$A485=$C$5),SUMIFS($G$8:$G$715,$A$8:$A$715,$C$5,$B$8:$B$715,"&lt;="&amp;$B485),"")</f>
        <v/>
      </c>
      <c r="T485" s="24" t="n"/>
      <c r="U485" s="24" t="n"/>
    </row>
    <row r="486">
      <c r="A486" s="2" t="inlineStr">
        <is>
          <t>IND-87</t>
        </is>
      </c>
      <c r="B486" s="2" t="n">
        <v>6</v>
      </c>
      <c r="C486" s="2" t="inlineStr">
        <is>
          <t>IMP00237</t>
        </is>
      </c>
      <c r="D486" s="2" t="inlineStr">
        <is>
          <t>United Electronics &amp; Sons</t>
        </is>
      </c>
      <c r="E486" s="2" t="n">
        <v>21</v>
      </c>
      <c r="F486" s="27" t="n">
        <v>18640386.37</v>
      </c>
      <c r="G486" s="28" t="n">
        <v>0.0339</v>
      </c>
      <c r="H486" s="19" t="n">
        <v>0.885</v>
      </c>
      <c r="I486" s="29" t="n">
        <v>0.1429</v>
      </c>
      <c r="J486" s="2" t="inlineStr">
        <is>
          <t>EXP0019</t>
        </is>
      </c>
      <c r="K486" s="2" t="n">
        <v>2</v>
      </c>
      <c r="L486" s="2" t="inlineStr">
        <is>
          <t>BRK004</t>
        </is>
      </c>
      <c r="M486" s="2" t="inlineStr">
        <is>
          <t>LAND6</t>
        </is>
      </c>
      <c r="N486" s="2" t="n">
        <v>0</v>
      </c>
      <c r="O486" s="2" t="n">
        <v>0</v>
      </c>
      <c r="P486" s="2" t="n">
        <v>0</v>
      </c>
      <c r="Q486" s="2" t="n">
        <v>0</v>
      </c>
      <c r="R486" s="30">
        <f>IF(AND($C$5&lt;&gt;"",$A486=$C$5),1,"")</f>
        <v/>
      </c>
      <c r="S486" s="21">
        <f>IF(AND($C$5&lt;&gt;"",$A486=$C$5),SUMIFS($G$8:$G$715,$A$8:$A$715,$C$5,$B$8:$B$715,"&lt;="&amp;$B486),"")</f>
        <v/>
      </c>
      <c r="T486" s="24" t="n"/>
      <c r="U486" s="24" t="n"/>
    </row>
    <row r="487">
      <c r="A487" s="2" t="inlineStr">
        <is>
          <t>IND-87</t>
        </is>
      </c>
      <c r="B487" s="2" t="n">
        <v>7</v>
      </c>
      <c r="C487" s="2" t="inlineStr">
        <is>
          <t>IMP01298</t>
        </is>
      </c>
      <c r="D487" s="2" t="inlineStr">
        <is>
          <t>Delta Fruits Ltd</t>
        </is>
      </c>
      <c r="E487" s="2" t="n">
        <v>9</v>
      </c>
      <c r="F487" s="27" t="n">
        <v>13325173.07</v>
      </c>
      <c r="G487" s="28" t="n">
        <v>0.0242</v>
      </c>
      <c r="H487" s="19" t="n">
        <v>0.857</v>
      </c>
      <c r="I487" s="29" t="n">
        <v>0.2222</v>
      </c>
      <c r="J487" s="2" t="inlineStr">
        <is>
          <t>EXP0597</t>
        </is>
      </c>
      <c r="K487" s="2" t="n">
        <v>1</v>
      </c>
      <c r="L487" s="2" t="inlineStr">
        <is>
          <t>BRK033</t>
        </is>
      </c>
      <c r="M487" s="2" t="inlineStr">
        <is>
          <t>LAND1</t>
        </is>
      </c>
      <c r="N487" s="2" t="n">
        <v>0</v>
      </c>
      <c r="O487" s="2" t="n">
        <v>0</v>
      </c>
      <c r="P487" s="2" t="n">
        <v>0</v>
      </c>
      <c r="Q487" s="2" t="n">
        <v>1</v>
      </c>
      <c r="R487" s="30">
        <f>IF(AND($C$5&lt;&gt;"",$A487=$C$5),1,"")</f>
        <v/>
      </c>
      <c r="S487" s="21">
        <f>IF(AND($C$5&lt;&gt;"",$A487=$C$5),SUMIFS($G$8:$G$715,$A$8:$A$715,$C$5,$B$8:$B$715,"&lt;="&amp;$B487),"")</f>
        <v/>
      </c>
      <c r="T487" s="24" t="n"/>
      <c r="U487" s="24" t="n"/>
    </row>
    <row r="488">
      <c r="A488" s="2" t="inlineStr">
        <is>
          <t>IND-87</t>
        </is>
      </c>
      <c r="B488" s="2" t="n">
        <v>8</v>
      </c>
      <c r="C488" s="2" t="inlineStr">
        <is>
          <t>IMP00677</t>
        </is>
      </c>
      <c r="D488" s="2" t="inlineStr">
        <is>
          <t>Blue Ocean Foods Partners Ltd</t>
        </is>
      </c>
      <c r="E488" s="2" t="n">
        <v>1</v>
      </c>
      <c r="F488" s="27" t="n">
        <v>8739983.16</v>
      </c>
      <c r="G488" s="28" t="n">
        <v>0.0159</v>
      </c>
      <c r="H488" s="19" t="n">
        <v>0.866</v>
      </c>
      <c r="I488" s="29" t="n">
        <v>0</v>
      </c>
      <c r="J488" s="2" t="inlineStr">
        <is>
          <t>EXP0434</t>
        </is>
      </c>
      <c r="K488" s="2" t="n">
        <v>1</v>
      </c>
      <c r="L488" s="2" t="inlineStr">
        <is>
          <t>BRK075</t>
        </is>
      </c>
      <c r="M488" s="2" t="inlineStr">
        <is>
          <t>LAND2</t>
        </is>
      </c>
      <c r="N488" s="2" t="n">
        <v>0</v>
      </c>
      <c r="O488" s="2" t="n">
        <v>1</v>
      </c>
      <c r="P488" s="2" t="n">
        <v>0</v>
      </c>
      <c r="Q488" s="2" t="n">
        <v>0</v>
      </c>
      <c r="R488" s="30">
        <f>IF(AND($C$5&lt;&gt;"",$A488=$C$5),1,"")</f>
        <v/>
      </c>
      <c r="S488" s="21">
        <f>IF(AND($C$5&lt;&gt;"",$A488=$C$5),SUMIFS($G$8:$G$715,$A$8:$A$715,$C$5,$B$8:$B$715,"&lt;="&amp;$B488),"")</f>
        <v/>
      </c>
      <c r="T488" s="24" t="n"/>
      <c r="U488" s="24" t="n"/>
    </row>
    <row r="489">
      <c r="A489" s="2" t="inlineStr">
        <is>
          <t>IND-87</t>
        </is>
      </c>
      <c r="B489" s="2" t="n">
        <v>9</v>
      </c>
      <c r="C489" s="2" t="inlineStr">
        <is>
          <t>IMP01401</t>
        </is>
      </c>
      <c r="D489" s="2" t="inlineStr">
        <is>
          <t>Coral Motors Co.</t>
        </is>
      </c>
      <c r="E489" s="2" t="n">
        <v>9</v>
      </c>
      <c r="F489" s="27" t="n">
        <v>7832167.63</v>
      </c>
      <c r="G489" s="28" t="n">
        <v>0.0142</v>
      </c>
      <c r="H489" s="19" t="n">
        <v>0.724</v>
      </c>
      <c r="I489" s="29" t="n">
        <v>0.5556</v>
      </c>
      <c r="J489" s="2" t="inlineStr">
        <is>
          <t>EXP0379</t>
        </is>
      </c>
      <c r="K489" s="2" t="n">
        <v>4</v>
      </c>
      <c r="L489" s="2" t="inlineStr">
        <is>
          <t>BRK075</t>
        </is>
      </c>
      <c r="M489" s="2" t="inlineStr">
        <is>
          <t>PORT1</t>
        </is>
      </c>
      <c r="N489" s="2" t="n">
        <v>0</v>
      </c>
      <c r="O489" s="2" t="n">
        <v>0</v>
      </c>
      <c r="P489" s="2" t="n">
        <v>0</v>
      </c>
      <c r="Q489" s="2" t="n">
        <v>0</v>
      </c>
      <c r="R489" s="30">
        <f>IF(AND($C$5&lt;&gt;"",$A489=$C$5),1,"")</f>
        <v/>
      </c>
      <c r="S489" s="21">
        <f>IF(AND($C$5&lt;&gt;"",$A489=$C$5),SUMIFS($G$8:$G$715,$A$8:$A$715,$C$5,$B$8:$B$715,"&lt;="&amp;$B489),"")</f>
        <v/>
      </c>
      <c r="T489" s="24" t="n"/>
      <c r="U489" s="24" t="n"/>
    </row>
    <row r="490">
      <c r="A490" s="2" t="inlineStr">
        <is>
          <t>IND-87</t>
        </is>
      </c>
      <c r="B490" s="2" t="n">
        <v>10</v>
      </c>
      <c r="C490" s="2" t="inlineStr">
        <is>
          <t>IMP00580</t>
        </is>
      </c>
      <c r="D490" s="2" t="inlineStr">
        <is>
          <t>Harmony Pack &amp; Sons</t>
        </is>
      </c>
      <c r="E490" s="2" t="n">
        <v>6</v>
      </c>
      <c r="F490" s="27" t="n">
        <v>5038558.35</v>
      </c>
      <c r="G490" s="28" t="n">
        <v>0.0092</v>
      </c>
      <c r="H490" s="19" t="n">
        <v>0.8875</v>
      </c>
      <c r="I490" s="29" t="n">
        <v>0.1667</v>
      </c>
      <c r="J490" s="2" t="inlineStr">
        <is>
          <t>EXP0123</t>
        </is>
      </c>
      <c r="K490" s="2" t="n">
        <v>3</v>
      </c>
      <c r="L490" s="2" t="inlineStr">
        <is>
          <t>BRK049</t>
        </is>
      </c>
      <c r="M490" s="2" t="inlineStr">
        <is>
          <t>LAND2</t>
        </is>
      </c>
      <c r="N490" s="2" t="n">
        <v>0</v>
      </c>
      <c r="O490" s="2" t="n">
        <v>0</v>
      </c>
      <c r="P490" s="2" t="n">
        <v>0</v>
      </c>
      <c r="Q490" s="2" t="n">
        <v>0</v>
      </c>
      <c r="R490" s="30">
        <f>IF(AND($C$5&lt;&gt;"",$A490=$C$5),1,"")</f>
        <v/>
      </c>
      <c r="S490" s="21">
        <f>IF(AND($C$5&lt;&gt;"",$A490=$C$5),SUMIFS($G$8:$G$715,$A$8:$A$715,$C$5,$B$8:$B$715,"&lt;="&amp;$B490),"")</f>
        <v/>
      </c>
      <c r="T490" s="24" t="n"/>
      <c r="U490" s="24" t="n"/>
    </row>
    <row r="491">
      <c r="A491" s="2" t="inlineStr">
        <is>
          <t>IND-87</t>
        </is>
      </c>
      <c r="B491" s="2" t="n">
        <v>11</v>
      </c>
      <c r="C491" s="2" t="inlineStr">
        <is>
          <t>IMP00016</t>
        </is>
      </c>
      <c r="D491" s="2" t="inlineStr">
        <is>
          <t>Saffron Electronics International Ltd</t>
        </is>
      </c>
      <c r="E491" s="2" t="n">
        <v>3</v>
      </c>
      <c r="F491" s="27" t="n">
        <v>4838983.24</v>
      </c>
      <c r="G491" s="28" t="n">
        <v>0.008800000000000001</v>
      </c>
      <c r="H491" s="19" t="n">
        <v>1.821</v>
      </c>
      <c r="I491" s="29" t="n">
        <v>0</v>
      </c>
      <c r="J491" s="2" t="inlineStr">
        <is>
          <t>EXP0008</t>
        </is>
      </c>
      <c r="K491" s="2" t="n">
        <v>4</v>
      </c>
      <c r="L491" s="2" t="inlineStr">
        <is>
          <t>BRK049</t>
        </is>
      </c>
      <c r="M491" s="2" t="inlineStr">
        <is>
          <t>PORT1</t>
        </is>
      </c>
      <c r="N491" s="2" t="n">
        <v>0</v>
      </c>
      <c r="O491" s="2" t="n">
        <v>0</v>
      </c>
      <c r="P491" s="2" t="n">
        <v>0</v>
      </c>
      <c r="Q491" s="2" t="n">
        <v>0</v>
      </c>
      <c r="R491" s="30">
        <f>IF(AND($C$5&lt;&gt;"",$A491=$C$5),1,"")</f>
        <v/>
      </c>
      <c r="S491" s="21">
        <f>IF(AND($C$5&lt;&gt;"",$A491=$C$5),SUMIFS($G$8:$G$715,$A$8:$A$715,$C$5,$B$8:$B$715,"&lt;="&amp;$B491),"")</f>
        <v/>
      </c>
      <c r="T491" s="24" t="n"/>
      <c r="U491" s="24" t="n"/>
    </row>
    <row r="492">
      <c r="A492" s="2" t="inlineStr">
        <is>
          <t>IND-87</t>
        </is>
      </c>
      <c r="B492" s="2" t="n">
        <v>12</v>
      </c>
      <c r="C492" s="2" t="inlineStr">
        <is>
          <t>IMP01230</t>
        </is>
      </c>
      <c r="D492" s="2" t="inlineStr">
        <is>
          <t>Summit Steel Ltd</t>
        </is>
      </c>
      <c r="E492" s="2" t="n">
        <v>3</v>
      </c>
      <c r="F492" s="27" t="n">
        <v>3461662.33</v>
      </c>
      <c r="G492" s="28" t="n">
        <v>0.0063</v>
      </c>
      <c r="H492" s="19" t="n">
        <v>0.64</v>
      </c>
      <c r="I492" s="29" t="n">
        <v>1</v>
      </c>
      <c r="J492" s="2" t="inlineStr">
        <is>
          <t>EXP0468</t>
        </is>
      </c>
      <c r="K492" s="2" t="n">
        <v>5</v>
      </c>
      <c r="L492" s="2" t="inlineStr">
        <is>
          <t>BRK064</t>
        </is>
      </c>
      <c r="M492" s="2" t="inlineStr">
        <is>
          <t>AIR1</t>
        </is>
      </c>
      <c r="N492" s="2" t="n">
        <v>0</v>
      </c>
      <c r="O492" s="2" t="n">
        <v>0</v>
      </c>
      <c r="P492" s="2" t="n">
        <v>1</v>
      </c>
      <c r="Q492" s="2" t="n">
        <v>0</v>
      </c>
      <c r="R492" s="30">
        <f>IF(AND($C$5&lt;&gt;"",$A492=$C$5),1,"")</f>
        <v/>
      </c>
      <c r="S492" s="21">
        <f>IF(AND($C$5&lt;&gt;"",$A492=$C$5),SUMIFS($G$8:$G$715,$A$8:$A$715,$C$5,$B$8:$B$715,"&lt;="&amp;$B492),"")</f>
        <v/>
      </c>
      <c r="T492" s="24" t="n"/>
      <c r="U492" s="24" t="n"/>
    </row>
    <row r="493">
      <c r="A493" s="2" t="inlineStr">
        <is>
          <t>IND-87</t>
        </is>
      </c>
      <c r="B493" s="2" t="n">
        <v>13</v>
      </c>
      <c r="C493" s="2" t="inlineStr">
        <is>
          <t>IMP00379</t>
        </is>
      </c>
      <c r="D493" s="2" t="inlineStr">
        <is>
          <t>Twin Rivers Distribution Ltd</t>
        </is>
      </c>
      <c r="E493" s="2" t="n">
        <v>2</v>
      </c>
      <c r="F493" s="27" t="n">
        <v>1909027.39</v>
      </c>
      <c r="G493" s="28" t="n">
        <v>0.0035</v>
      </c>
      <c r="H493" s="19" t="n">
        <v>0.7075</v>
      </c>
      <c r="I493" s="29" t="n">
        <v>1</v>
      </c>
      <c r="J493" s="2" t="inlineStr">
        <is>
          <t>EXP0186</t>
        </is>
      </c>
      <c r="K493" s="2" t="n">
        <v>3</v>
      </c>
      <c r="L493" s="2" t="inlineStr">
        <is>
          <t>BRK039</t>
        </is>
      </c>
      <c r="M493" s="2" t="inlineStr">
        <is>
          <t>LAND5</t>
        </is>
      </c>
      <c r="N493" s="2" t="n">
        <v>1</v>
      </c>
      <c r="O493" s="2" t="n">
        <v>0</v>
      </c>
      <c r="P493" s="2" t="n">
        <v>1</v>
      </c>
      <c r="Q493" s="2" t="n">
        <v>0</v>
      </c>
      <c r="R493" s="30">
        <f>IF(AND($C$5&lt;&gt;"",$A493=$C$5),1,"")</f>
        <v/>
      </c>
      <c r="S493" s="21">
        <f>IF(AND($C$5&lt;&gt;"",$A493=$C$5),SUMIFS($G$8:$G$715,$A$8:$A$715,$C$5,$B$8:$B$715,"&lt;="&amp;$B493),"")</f>
        <v/>
      </c>
      <c r="T493" s="24" t="n"/>
      <c r="U493" s="24" t="n"/>
    </row>
    <row r="494">
      <c r="A494" s="2" t="inlineStr">
        <is>
          <t>IND-87</t>
        </is>
      </c>
      <c r="B494" s="2" t="n">
        <v>14</v>
      </c>
      <c r="C494" s="2" t="inlineStr">
        <is>
          <t>IMP00343</t>
        </is>
      </c>
      <c r="D494" s="2" t="inlineStr">
        <is>
          <t>Arden Pack Holdings Ltd</t>
        </is>
      </c>
      <c r="E494" s="2" t="n">
        <v>2</v>
      </c>
      <c r="F494" s="27" t="n">
        <v>1073739.48</v>
      </c>
      <c r="G494" s="28" t="n">
        <v>0.002</v>
      </c>
      <c r="H494" s="19" t="n">
        <v>0.8515</v>
      </c>
      <c r="I494" s="29" t="n">
        <v>0</v>
      </c>
      <c r="J494" s="2" t="inlineStr">
        <is>
          <t>EXP0379</t>
        </is>
      </c>
      <c r="K494" s="2" t="n">
        <v>4</v>
      </c>
      <c r="L494" s="2" t="inlineStr">
        <is>
          <t>BRK068</t>
        </is>
      </c>
      <c r="M494" s="2" t="inlineStr">
        <is>
          <t>PORT1</t>
        </is>
      </c>
      <c r="N494" s="2" t="n">
        <v>0</v>
      </c>
      <c r="O494" s="2" t="n">
        <v>0</v>
      </c>
      <c r="P494" s="2" t="n">
        <v>0</v>
      </c>
      <c r="Q494" s="2" t="n">
        <v>0</v>
      </c>
      <c r="R494" s="30">
        <f>IF(AND($C$5&lt;&gt;"",$A494=$C$5),1,"")</f>
        <v/>
      </c>
      <c r="S494" s="21">
        <f>IF(AND($C$5&lt;&gt;"",$A494=$C$5),SUMIFS($G$8:$G$715,$A$8:$A$715,$C$5,$B$8:$B$715,"&lt;="&amp;$B494),"")</f>
        <v/>
      </c>
      <c r="T494" s="24" t="n"/>
      <c r="U494" s="24" t="n"/>
    </row>
    <row r="495">
      <c r="A495" s="2" t="inlineStr">
        <is>
          <t>IND-87</t>
        </is>
      </c>
      <c r="B495" s="2" t="n">
        <v>15</v>
      </c>
      <c r="C495" s="2" t="inlineStr">
        <is>
          <t>IMP00830</t>
        </is>
      </c>
      <c r="D495" s="2" t="inlineStr">
        <is>
          <t>Silver Electronics Limited</t>
        </is>
      </c>
      <c r="E495" s="2" t="n">
        <v>1</v>
      </c>
      <c r="F495" s="27" t="n">
        <v>407199.62</v>
      </c>
      <c r="G495" s="28" t="n">
        <v>0.0007</v>
      </c>
      <c r="H495" s="19" t="n">
        <v>0.777</v>
      </c>
      <c r="I495" s="29" t="n">
        <v>0</v>
      </c>
      <c r="J495" s="2" t="inlineStr">
        <is>
          <t>EXP0468</t>
        </is>
      </c>
      <c r="K495" s="2" t="n">
        <v>5</v>
      </c>
      <c r="L495" s="2" t="inlineStr">
        <is>
          <t>BRK010</t>
        </is>
      </c>
      <c r="M495" s="2" t="inlineStr">
        <is>
          <t>PORT3</t>
        </is>
      </c>
      <c r="N495" s="2" t="n">
        <v>0</v>
      </c>
      <c r="O495" s="2" t="n">
        <v>0</v>
      </c>
      <c r="P495" s="2" t="n">
        <v>0</v>
      </c>
      <c r="Q495" s="2" t="n">
        <v>0</v>
      </c>
      <c r="R495" s="30">
        <f>IF(AND($C$5&lt;&gt;"",$A495=$C$5),1,"")</f>
        <v/>
      </c>
      <c r="S495" s="21">
        <f>IF(AND($C$5&lt;&gt;"",$A495=$C$5),SUMIFS($G$8:$G$715,$A$8:$A$715,$C$5,$B$8:$B$715,"&lt;="&amp;$B495),"")</f>
        <v/>
      </c>
      <c r="T495" s="24" t="n"/>
      <c r="U495" s="24" t="n"/>
    </row>
    <row r="496">
      <c r="A496" s="2" t="inlineStr">
        <is>
          <t>MYS-17</t>
        </is>
      </c>
      <c r="B496" s="2" t="n">
        <v>1</v>
      </c>
      <c r="C496" s="2" t="inlineStr">
        <is>
          <t>IMP00864</t>
        </is>
      </c>
      <c r="D496" s="2" t="inlineStr">
        <is>
          <t>Carrick Textiles &amp; Sons</t>
        </is>
      </c>
      <c r="E496" s="2" t="n">
        <v>132</v>
      </c>
      <c r="F496" s="27" t="n">
        <v>50486053.21</v>
      </c>
      <c r="G496" s="28" t="n">
        <v>0.4717</v>
      </c>
      <c r="H496" s="19" t="n">
        <v>0.9985000000000001</v>
      </c>
      <c r="I496" s="29" t="n">
        <v>0.07580000000000001</v>
      </c>
      <c r="J496" s="2" t="inlineStr">
        <is>
          <t>EXP0206</t>
        </is>
      </c>
      <c r="K496" s="2" t="n">
        <v>4</v>
      </c>
      <c r="L496" s="2" t="inlineStr">
        <is>
          <t>BRK067</t>
        </is>
      </c>
      <c r="M496" s="2" t="inlineStr">
        <is>
          <t>AIR1</t>
        </is>
      </c>
      <c r="N496" s="2" t="n">
        <v>0</v>
      </c>
      <c r="O496" s="2" t="n">
        <v>0</v>
      </c>
      <c r="P496" s="2" t="n">
        <v>0</v>
      </c>
      <c r="Q496" s="2" t="n">
        <v>0</v>
      </c>
      <c r="R496" s="30">
        <f>IF(AND($C$5&lt;&gt;"",$A496=$C$5),1,"")</f>
        <v/>
      </c>
      <c r="S496" s="21">
        <f>IF(AND($C$5&lt;&gt;"",$A496=$C$5),SUMIFS($G$8:$G$715,$A$8:$A$715,$C$5,$B$8:$B$715,"&lt;="&amp;$B496),"")</f>
        <v/>
      </c>
      <c r="T496" s="24" t="n"/>
      <c r="U496" s="24" t="n"/>
    </row>
    <row r="497">
      <c r="A497" s="2" t="inlineStr">
        <is>
          <t>MYS-17</t>
        </is>
      </c>
      <c r="B497" s="2" t="n">
        <v>2</v>
      </c>
      <c r="C497" s="2" t="inlineStr">
        <is>
          <t>IMP01361</t>
        </is>
      </c>
      <c r="D497" s="2" t="inlineStr">
        <is>
          <t>Coral Steel Co., Ltd</t>
        </is>
      </c>
      <c r="E497" s="2" t="n">
        <v>58</v>
      </c>
      <c r="F497" s="27" t="n">
        <v>22801407.55</v>
      </c>
      <c r="G497" s="28" t="n">
        <v>0.213</v>
      </c>
      <c r="H497" s="19" t="n">
        <v>1.0235</v>
      </c>
      <c r="I497" s="29" t="n">
        <v>0.0862</v>
      </c>
      <c r="J497" s="2" t="inlineStr">
        <is>
          <t>EXP0460</t>
        </is>
      </c>
      <c r="K497" s="2" t="n">
        <v>2</v>
      </c>
      <c r="L497" s="2" t="inlineStr">
        <is>
          <t>BRK056</t>
        </is>
      </c>
      <c r="M497" s="2" t="inlineStr">
        <is>
          <t>AIR1</t>
        </is>
      </c>
      <c r="N497" s="2" t="n">
        <v>0</v>
      </c>
      <c r="O497" s="2" t="n">
        <v>0</v>
      </c>
      <c r="P497" s="2" t="n">
        <v>0</v>
      </c>
      <c r="Q497" s="2" t="n">
        <v>0</v>
      </c>
      <c r="R497" s="30">
        <f>IF(AND($C$5&lt;&gt;"",$A497=$C$5),1,"")</f>
        <v/>
      </c>
      <c r="S497" s="21">
        <f>IF(AND($C$5&lt;&gt;"",$A497=$C$5),SUMIFS($G$8:$G$715,$A$8:$A$715,$C$5,$B$8:$B$715,"&lt;="&amp;$B497),"")</f>
        <v/>
      </c>
      <c r="T497" s="24" t="n"/>
      <c r="U497" s="24" t="n"/>
    </row>
    <row r="498">
      <c r="A498" s="2" t="inlineStr">
        <is>
          <t>MYS-17</t>
        </is>
      </c>
      <c r="B498" s="2" t="n">
        <v>3</v>
      </c>
      <c r="C498" s="2" t="inlineStr">
        <is>
          <t>IMP00946</t>
        </is>
      </c>
      <c r="D498" s="2" t="inlineStr">
        <is>
          <t>Dunmore Pack &amp; Sons</t>
        </is>
      </c>
      <c r="E498" s="2" t="n">
        <v>36</v>
      </c>
      <c r="F498" s="27" t="n">
        <v>15062755.67</v>
      </c>
      <c r="G498" s="28" t="n">
        <v>0.1407</v>
      </c>
      <c r="H498" s="19" t="n">
        <v>0.989</v>
      </c>
      <c r="I498" s="29" t="n">
        <v>0.0278</v>
      </c>
      <c r="J498" s="2" t="inlineStr">
        <is>
          <t>EXP0335</t>
        </is>
      </c>
      <c r="K498" s="2" t="n">
        <v>4</v>
      </c>
      <c r="L498" s="2" t="inlineStr">
        <is>
          <t>BRK029</t>
        </is>
      </c>
      <c r="M498" s="2" t="inlineStr">
        <is>
          <t>AIR1</t>
        </is>
      </c>
      <c r="N498" s="2" t="n">
        <v>0</v>
      </c>
      <c r="O498" s="2" t="n">
        <v>1</v>
      </c>
      <c r="P498" s="2" t="n">
        <v>0</v>
      </c>
      <c r="Q498" s="2" t="n">
        <v>0</v>
      </c>
      <c r="R498" s="30">
        <f>IF(AND($C$5&lt;&gt;"",$A498=$C$5),1,"")</f>
        <v/>
      </c>
      <c r="S498" s="21">
        <f>IF(AND($C$5&lt;&gt;"",$A498=$C$5),SUMIFS($G$8:$G$715,$A$8:$A$715,$C$5,$B$8:$B$715,"&lt;="&amp;$B498),"")</f>
        <v/>
      </c>
      <c r="T498" s="24" t="n"/>
      <c r="U498" s="24" t="n"/>
    </row>
    <row r="499">
      <c r="A499" s="2" t="inlineStr">
        <is>
          <t>MYS-17</t>
        </is>
      </c>
      <c r="B499" s="2" t="n">
        <v>4</v>
      </c>
      <c r="C499" s="2" t="inlineStr">
        <is>
          <t>IMP00043</t>
        </is>
      </c>
      <c r="D499" s="2" t="inlineStr">
        <is>
          <t>Lotus Distribution Holdings Ltd</t>
        </is>
      </c>
      <c r="E499" s="2" t="n">
        <v>12</v>
      </c>
      <c r="F499" s="27" t="n">
        <v>4637543.84</v>
      </c>
      <c r="G499" s="28" t="n">
        <v>0.0433</v>
      </c>
      <c r="H499" s="19" t="n">
        <v>1.016</v>
      </c>
      <c r="I499" s="29" t="n">
        <v>0.0833</v>
      </c>
      <c r="J499" s="2" t="inlineStr">
        <is>
          <t>EXP0041</t>
        </is>
      </c>
      <c r="K499" s="2" t="n">
        <v>1</v>
      </c>
      <c r="L499" s="2" t="inlineStr">
        <is>
          <t>BRK070</t>
        </is>
      </c>
      <c r="M499" s="2" t="inlineStr">
        <is>
          <t>PORT3</t>
        </is>
      </c>
      <c r="N499" s="2" t="n">
        <v>0</v>
      </c>
      <c r="O499" s="2" t="n">
        <v>1</v>
      </c>
      <c r="P499" s="2" t="n">
        <v>0</v>
      </c>
      <c r="Q499" s="2" t="n">
        <v>0</v>
      </c>
      <c r="R499" s="30">
        <f>IF(AND($C$5&lt;&gt;"",$A499=$C$5),1,"")</f>
        <v/>
      </c>
      <c r="S499" s="21">
        <f>IF(AND($C$5&lt;&gt;"",$A499=$C$5),SUMIFS($G$8:$G$715,$A$8:$A$715,$C$5,$B$8:$B$715,"&lt;="&amp;$B499),"")</f>
        <v/>
      </c>
      <c r="T499" s="24" t="n"/>
      <c r="U499" s="24" t="n"/>
    </row>
    <row r="500">
      <c r="A500" s="2" t="inlineStr">
        <is>
          <t>MYS-17</t>
        </is>
      </c>
      <c r="B500" s="2" t="n">
        <v>5</v>
      </c>
      <c r="C500" s="2" t="inlineStr">
        <is>
          <t>IMP00608</t>
        </is>
      </c>
      <c r="D500" s="2" t="inlineStr">
        <is>
          <t>Green Valley Enterprises Holdings Ltd</t>
        </is>
      </c>
      <c r="E500" s="2" t="n">
        <v>7</v>
      </c>
      <c r="F500" s="27" t="n">
        <v>2901105.26</v>
      </c>
      <c r="G500" s="28" t="n">
        <v>0.0271</v>
      </c>
      <c r="H500" s="19" t="n">
        <v>0.837</v>
      </c>
      <c r="I500" s="29" t="n">
        <v>0.1429</v>
      </c>
      <c r="J500" s="2" t="inlineStr">
        <is>
          <t>EXP0121</t>
        </is>
      </c>
      <c r="K500" s="2" t="n">
        <v>3</v>
      </c>
      <c r="L500" s="2" t="inlineStr">
        <is>
          <t>BRK014</t>
        </is>
      </c>
      <c r="M500" s="2" t="inlineStr">
        <is>
          <t>LAND4</t>
        </is>
      </c>
      <c r="N500" s="2" t="n">
        <v>0</v>
      </c>
      <c r="O500" s="2" t="n">
        <v>0</v>
      </c>
      <c r="P500" s="2" t="n">
        <v>0</v>
      </c>
      <c r="Q500" s="2" t="n">
        <v>0</v>
      </c>
      <c r="R500" s="30">
        <f>IF(AND($C$5&lt;&gt;"",$A500=$C$5),1,"")</f>
        <v/>
      </c>
      <c r="S500" s="21">
        <f>IF(AND($C$5&lt;&gt;"",$A500=$C$5),SUMIFS($G$8:$G$715,$A$8:$A$715,$C$5,$B$8:$B$715,"&lt;="&amp;$B500),"")</f>
        <v/>
      </c>
      <c r="T500" s="24" t="n"/>
      <c r="U500" s="24" t="n"/>
    </row>
    <row r="501">
      <c r="A501" s="2" t="inlineStr">
        <is>
          <t>MYS-17</t>
        </is>
      </c>
      <c r="B501" s="2" t="n">
        <v>6</v>
      </c>
      <c r="C501" s="2" t="inlineStr">
        <is>
          <t>IMP01427</t>
        </is>
      </c>
      <c r="D501" s="2" t="inlineStr">
        <is>
          <t>Horizon Supply Ltd</t>
        </is>
      </c>
      <c r="E501" s="2" t="n">
        <v>10</v>
      </c>
      <c r="F501" s="27" t="n">
        <v>2004027.56</v>
      </c>
      <c r="G501" s="28" t="n">
        <v>0.0187</v>
      </c>
      <c r="H501" s="19" t="n">
        <v>0.951</v>
      </c>
      <c r="I501" s="29" t="n">
        <v>0.2</v>
      </c>
      <c r="J501" s="2" t="inlineStr">
        <is>
          <t>EXP0432</t>
        </is>
      </c>
      <c r="K501" s="2" t="n">
        <v>3</v>
      </c>
      <c r="L501" s="2" t="inlineStr">
        <is>
          <t>BRK054</t>
        </is>
      </c>
      <c r="M501" s="2" t="inlineStr">
        <is>
          <t>AIR1</t>
        </is>
      </c>
      <c r="N501" s="2" t="n">
        <v>0</v>
      </c>
      <c r="O501" s="2" t="n">
        <v>0</v>
      </c>
      <c r="P501" s="2" t="n">
        <v>0</v>
      </c>
      <c r="Q501" s="2" t="n">
        <v>0</v>
      </c>
      <c r="R501" s="30">
        <f>IF(AND($C$5&lt;&gt;"",$A501=$C$5),1,"")</f>
        <v/>
      </c>
      <c r="S501" s="21">
        <f>IF(AND($C$5&lt;&gt;"",$A501=$C$5),SUMIFS($G$8:$G$715,$A$8:$A$715,$C$5,$B$8:$B$715,"&lt;="&amp;$B501),"")</f>
        <v/>
      </c>
      <c r="T501" s="24" t="n"/>
      <c r="U501" s="24" t="n"/>
    </row>
    <row r="502">
      <c r="A502" s="2" t="inlineStr">
        <is>
          <t>MYS-17</t>
        </is>
      </c>
      <c r="B502" s="2" t="n">
        <v>7</v>
      </c>
      <c r="C502" s="2" t="inlineStr">
        <is>
          <t>IMP00282</t>
        </is>
      </c>
      <c r="D502" s="2" t="inlineStr">
        <is>
          <t>Silver Distribution Co.</t>
        </is>
      </c>
      <c r="E502" s="2" t="n">
        <v>4</v>
      </c>
      <c r="F502" s="27" t="n">
        <v>1689065.56</v>
      </c>
      <c r="G502" s="28" t="n">
        <v>0.0158</v>
      </c>
      <c r="H502" s="19" t="n">
        <v>0.981</v>
      </c>
      <c r="I502" s="29" t="n">
        <v>0</v>
      </c>
      <c r="J502" s="2" t="inlineStr">
        <is>
          <t>EXP0371</t>
        </is>
      </c>
      <c r="K502" s="2" t="n">
        <v>5</v>
      </c>
      <c r="L502" s="2" t="inlineStr">
        <is>
          <t>BRK005</t>
        </is>
      </c>
      <c r="M502" s="2" t="inlineStr">
        <is>
          <t>PORT1</t>
        </is>
      </c>
      <c r="N502" s="2" t="n">
        <v>0</v>
      </c>
      <c r="O502" s="2" t="n">
        <v>0</v>
      </c>
      <c r="P502" s="2" t="n">
        <v>0</v>
      </c>
      <c r="Q502" s="2" t="n">
        <v>0</v>
      </c>
      <c r="R502" s="30">
        <f>IF(AND($C$5&lt;&gt;"",$A502=$C$5),1,"")</f>
        <v/>
      </c>
      <c r="S502" s="21">
        <f>IF(AND($C$5&lt;&gt;"",$A502=$C$5),SUMIFS($G$8:$G$715,$A$8:$A$715,$C$5,$B$8:$B$715,"&lt;="&amp;$B502),"")</f>
        <v/>
      </c>
      <c r="T502" s="24" t="n"/>
      <c r="U502" s="24" t="n"/>
    </row>
    <row r="503">
      <c r="A503" s="2" t="inlineStr">
        <is>
          <t>MYS-17</t>
        </is>
      </c>
      <c r="B503" s="2" t="n">
        <v>8</v>
      </c>
      <c r="C503" s="2" t="inlineStr">
        <is>
          <t>IMP00744</t>
        </is>
      </c>
      <c r="D503" s="2" t="inlineStr">
        <is>
          <t>Saffron Textiles &amp; Sons</t>
        </is>
      </c>
      <c r="E503" s="2" t="n">
        <v>12</v>
      </c>
      <c r="F503" s="27" t="n">
        <v>1546367.01</v>
      </c>
      <c r="G503" s="28" t="n">
        <v>0.0144</v>
      </c>
      <c r="H503" s="19" t="n">
        <v>0.866</v>
      </c>
      <c r="I503" s="29" t="n">
        <v>0.4167</v>
      </c>
      <c r="J503" s="2" t="inlineStr">
        <is>
          <t>EXP0283</t>
        </is>
      </c>
      <c r="K503" s="2" t="n">
        <v>4</v>
      </c>
      <c r="L503" s="2" t="inlineStr">
        <is>
          <t>BRK037</t>
        </is>
      </c>
      <c r="M503" s="2" t="inlineStr">
        <is>
          <t>LAND3</t>
        </is>
      </c>
      <c r="N503" s="2" t="n">
        <v>0</v>
      </c>
      <c r="O503" s="2" t="n">
        <v>0</v>
      </c>
      <c r="P503" s="2" t="n">
        <v>0</v>
      </c>
      <c r="Q503" s="2" t="n">
        <v>0</v>
      </c>
      <c r="R503" s="30">
        <f>IF(AND($C$5&lt;&gt;"",$A503=$C$5),1,"")</f>
        <v/>
      </c>
      <c r="S503" s="21">
        <f>IF(AND($C$5&lt;&gt;"",$A503=$C$5),SUMIFS($G$8:$G$715,$A$8:$A$715,$C$5,$B$8:$B$715,"&lt;="&amp;$B503),"")</f>
        <v/>
      </c>
      <c r="T503" s="24" t="n"/>
      <c r="U503" s="24" t="n"/>
    </row>
    <row r="504">
      <c r="A504" s="2" t="inlineStr">
        <is>
          <t>MYS-17</t>
        </is>
      </c>
      <c r="B504" s="2" t="n">
        <v>9</v>
      </c>
      <c r="C504" s="2" t="inlineStr">
        <is>
          <t>IMP00318</t>
        </is>
      </c>
      <c r="D504" s="2" t="inlineStr">
        <is>
          <t>Green Valley Trading Limited</t>
        </is>
      </c>
      <c r="E504" s="2" t="n">
        <v>5</v>
      </c>
      <c r="F504" s="27" t="n">
        <v>1508025.37</v>
      </c>
      <c r="G504" s="28" t="n">
        <v>0.0141</v>
      </c>
      <c r="H504" s="19" t="n">
        <v>1.018</v>
      </c>
      <c r="I504" s="29" t="n">
        <v>0</v>
      </c>
      <c r="J504" s="2" t="inlineStr">
        <is>
          <t>EXP0106</t>
        </is>
      </c>
      <c r="K504" s="2" t="n">
        <v>3</v>
      </c>
      <c r="L504" s="2" t="inlineStr">
        <is>
          <t>BRK004</t>
        </is>
      </c>
      <c r="M504" s="2" t="inlineStr">
        <is>
          <t>LAND1</t>
        </is>
      </c>
      <c r="N504" s="2" t="n">
        <v>0</v>
      </c>
      <c r="O504" s="2" t="n">
        <v>0</v>
      </c>
      <c r="P504" s="2" t="n">
        <v>0</v>
      </c>
      <c r="Q504" s="2" t="n">
        <v>0</v>
      </c>
      <c r="R504" s="30">
        <f>IF(AND($C$5&lt;&gt;"",$A504=$C$5),1,"")</f>
        <v/>
      </c>
      <c r="S504" s="21">
        <f>IF(AND($C$5&lt;&gt;"",$A504=$C$5),SUMIFS($G$8:$G$715,$A$8:$A$715,$C$5,$B$8:$B$715,"&lt;="&amp;$B504),"")</f>
        <v/>
      </c>
      <c r="T504" s="24" t="n"/>
      <c r="U504" s="24" t="n"/>
    </row>
    <row r="505">
      <c r="A505" s="2" t="inlineStr">
        <is>
          <t>MYS-17</t>
        </is>
      </c>
      <c r="B505" s="2" t="n">
        <v>10</v>
      </c>
      <c r="C505" s="2" t="inlineStr">
        <is>
          <t>IMP01103</t>
        </is>
      </c>
      <c r="D505" s="2" t="inlineStr">
        <is>
          <t>Saffron Distribution Co., Ltd</t>
        </is>
      </c>
      <c r="E505" s="2" t="n">
        <v>2</v>
      </c>
      <c r="F505" s="27" t="n">
        <v>1270024.14</v>
      </c>
      <c r="G505" s="28" t="n">
        <v>0.0119</v>
      </c>
      <c r="H505" s="19" t="n">
        <v>0.968</v>
      </c>
      <c r="I505" s="29" t="n">
        <v>0</v>
      </c>
      <c r="J505" s="2" t="inlineStr">
        <is>
          <t>EXP0109</t>
        </is>
      </c>
      <c r="K505" s="2" t="n">
        <v>2</v>
      </c>
      <c r="L505" s="2" t="inlineStr">
        <is>
          <t>BRK065</t>
        </is>
      </c>
      <c r="M505" s="2" t="inlineStr">
        <is>
          <t>LAND3</t>
        </is>
      </c>
      <c r="N505" s="2" t="n">
        <v>0</v>
      </c>
      <c r="O505" s="2" t="n">
        <v>0</v>
      </c>
      <c r="P505" s="2" t="n">
        <v>0</v>
      </c>
      <c r="Q505" s="2" t="n">
        <v>0</v>
      </c>
      <c r="R505" s="30">
        <f>IF(AND($C$5&lt;&gt;"",$A505=$C$5),1,"")</f>
        <v/>
      </c>
      <c r="S505" s="21">
        <f>IF(AND($C$5&lt;&gt;"",$A505=$C$5),SUMIFS($G$8:$G$715,$A$8:$A$715,$C$5,$B$8:$B$715,"&lt;="&amp;$B505),"")</f>
        <v/>
      </c>
      <c r="T505" s="24" t="n"/>
      <c r="U505" s="24" t="n"/>
    </row>
    <row r="506">
      <c r="A506" s="2" t="inlineStr">
        <is>
          <t>MYS-17</t>
        </is>
      </c>
      <c r="B506" s="2" t="n">
        <v>11</v>
      </c>
      <c r="C506" s="2" t="inlineStr">
        <is>
          <t>IMP00220</t>
        </is>
      </c>
      <c r="D506" s="2" t="inlineStr">
        <is>
          <t>Star Medical Co.</t>
        </is>
      </c>
      <c r="E506" s="2" t="n">
        <v>2</v>
      </c>
      <c r="F506" s="27" t="n">
        <v>873390.55</v>
      </c>
      <c r="G506" s="28" t="n">
        <v>0.008200000000000001</v>
      </c>
      <c r="H506" s="19" t="n">
        <v>1.1945</v>
      </c>
      <c r="I506" s="29" t="n">
        <v>0</v>
      </c>
      <c r="J506" s="2" t="inlineStr">
        <is>
          <t>EXP0206</t>
        </is>
      </c>
      <c r="K506" s="2" t="n">
        <v>4</v>
      </c>
      <c r="L506" s="2" t="inlineStr">
        <is>
          <t>BRK066</t>
        </is>
      </c>
      <c r="M506" s="2" t="inlineStr">
        <is>
          <t>LAND2</t>
        </is>
      </c>
      <c r="N506" s="2" t="n">
        <v>0</v>
      </c>
      <c r="O506" s="2" t="n">
        <v>0</v>
      </c>
      <c r="P506" s="2" t="n">
        <v>0</v>
      </c>
      <c r="Q506" s="2" t="n">
        <v>0</v>
      </c>
      <c r="R506" s="30">
        <f>IF(AND($C$5&lt;&gt;"",$A506=$C$5),1,"")</f>
        <v/>
      </c>
      <c r="S506" s="21">
        <f>IF(AND($C$5&lt;&gt;"",$A506=$C$5),SUMIFS($G$8:$G$715,$A$8:$A$715,$C$5,$B$8:$B$715,"&lt;="&amp;$B506),"")</f>
        <v/>
      </c>
      <c r="T506" s="24" t="n"/>
      <c r="U506" s="24" t="n"/>
    </row>
    <row r="507">
      <c r="A507" s="2" t="inlineStr">
        <is>
          <t>MYS-17</t>
        </is>
      </c>
      <c r="B507" s="2" t="n">
        <v>12</v>
      </c>
      <c r="C507" s="2" t="inlineStr">
        <is>
          <t>IMP00835</t>
        </is>
      </c>
      <c r="D507" s="2" t="inlineStr">
        <is>
          <t>Inverness Living &amp; Sons</t>
        </is>
      </c>
      <c r="E507" s="2" t="n">
        <v>2</v>
      </c>
      <c r="F507" s="27" t="n">
        <v>466846.21</v>
      </c>
      <c r="G507" s="28" t="n">
        <v>0.0044</v>
      </c>
      <c r="H507" s="19" t="n">
        <v>1.1535</v>
      </c>
      <c r="I507" s="29" t="n">
        <v>0</v>
      </c>
      <c r="J507" s="2" t="inlineStr">
        <is>
          <t>EXP0121</t>
        </is>
      </c>
      <c r="K507" s="2" t="n">
        <v>3</v>
      </c>
      <c r="L507" s="2" t="inlineStr">
        <is>
          <t>BRK033</t>
        </is>
      </c>
      <c r="M507" s="2" t="inlineStr">
        <is>
          <t>PORT2</t>
        </is>
      </c>
      <c r="N507" s="2" t="n">
        <v>0</v>
      </c>
      <c r="O507" s="2" t="n">
        <v>0</v>
      </c>
      <c r="P507" s="2" t="n">
        <v>0</v>
      </c>
      <c r="Q507" s="2" t="n">
        <v>0</v>
      </c>
      <c r="R507" s="30">
        <f>IF(AND($C$5&lt;&gt;"",$A507=$C$5),1,"")</f>
        <v/>
      </c>
      <c r="S507" s="21">
        <f>IF(AND($C$5&lt;&gt;"",$A507=$C$5),SUMIFS($G$8:$G$715,$A$8:$A$715,$C$5,$B$8:$B$715,"&lt;="&amp;$B507),"")</f>
        <v/>
      </c>
      <c r="T507" s="24" t="n"/>
      <c r="U507" s="24" t="n"/>
    </row>
    <row r="508">
      <c r="A508" s="2" t="inlineStr">
        <is>
          <t>MYS-17</t>
        </is>
      </c>
      <c r="B508" s="2" t="n">
        <v>13</v>
      </c>
      <c r="C508" s="2" t="inlineStr">
        <is>
          <t>IMP01243</t>
        </is>
      </c>
      <c r="D508" s="2" t="inlineStr">
        <is>
          <t>Golden Steel Co.</t>
        </is>
      </c>
      <c r="E508" s="2" t="n">
        <v>2</v>
      </c>
      <c r="F508" s="27" t="n">
        <v>456085.5</v>
      </c>
      <c r="G508" s="28" t="n">
        <v>0.0043</v>
      </c>
      <c r="H508" s="19" t="n">
        <v>0.918</v>
      </c>
      <c r="I508" s="29" t="n">
        <v>0</v>
      </c>
      <c r="J508" s="2" t="inlineStr">
        <is>
          <t>EXP0410</t>
        </is>
      </c>
      <c r="K508" s="2" t="n">
        <v>3</v>
      </c>
      <c r="L508" s="2" t="inlineStr">
        <is>
          <t>BRK005</t>
        </is>
      </c>
      <c r="M508" s="2" t="inlineStr">
        <is>
          <t>AIR1</t>
        </is>
      </c>
      <c r="N508" s="2" t="n">
        <v>0</v>
      </c>
      <c r="O508" s="2" t="n">
        <v>0</v>
      </c>
      <c r="P508" s="2" t="n">
        <v>0</v>
      </c>
      <c r="Q508" s="2" t="n">
        <v>0</v>
      </c>
      <c r="R508" s="30">
        <f>IF(AND($C$5&lt;&gt;"",$A508=$C$5),1,"")</f>
        <v/>
      </c>
      <c r="S508" s="21">
        <f>IF(AND($C$5&lt;&gt;"",$A508=$C$5),SUMIFS($G$8:$G$715,$A$8:$A$715,$C$5,$B$8:$B$715,"&lt;="&amp;$B508),"")</f>
        <v/>
      </c>
      <c r="T508" s="24" t="n"/>
      <c r="U508" s="24" t="n"/>
    </row>
    <row r="509">
      <c r="A509" s="2" t="inlineStr">
        <is>
          <t>MYS-17</t>
        </is>
      </c>
      <c r="B509" s="2" t="n">
        <v>14</v>
      </c>
      <c r="C509" s="2" t="inlineStr">
        <is>
          <t>IMP01120</t>
        </is>
      </c>
      <c r="D509" s="2" t="inlineStr">
        <is>
          <t>Orchid Steel Enterprises</t>
        </is>
      </c>
      <c r="E509" s="2" t="n">
        <v>1</v>
      </c>
      <c r="F509" s="27" t="n">
        <v>409481.47</v>
      </c>
      <c r="G509" s="28" t="n">
        <v>0.0038</v>
      </c>
      <c r="H509" s="19" t="n">
        <v>1.219</v>
      </c>
      <c r="I509" s="29" t="n">
        <v>0</v>
      </c>
      <c r="J509" s="2" t="inlineStr">
        <is>
          <t>EXP0183</t>
        </is>
      </c>
      <c r="K509" s="2" t="n">
        <v>3</v>
      </c>
      <c r="L509" s="2" t="inlineStr">
        <is>
          <t>BRK042</t>
        </is>
      </c>
      <c r="M509" s="2" t="inlineStr">
        <is>
          <t>PORT1</t>
        </is>
      </c>
      <c r="N509" s="2" t="n">
        <v>0</v>
      </c>
      <c r="O509" s="2" t="n">
        <v>0</v>
      </c>
      <c r="P509" s="2" t="n">
        <v>0</v>
      </c>
      <c r="Q509" s="2" t="n">
        <v>0</v>
      </c>
      <c r="R509" s="30">
        <f>IF(AND($C$5&lt;&gt;"",$A509=$C$5),1,"")</f>
        <v/>
      </c>
      <c r="S509" s="21">
        <f>IF(AND($C$5&lt;&gt;"",$A509=$C$5),SUMIFS($G$8:$G$715,$A$8:$A$715,$C$5,$B$8:$B$715,"&lt;="&amp;$B509),"")</f>
        <v/>
      </c>
      <c r="T509" s="24" t="n"/>
      <c r="U509" s="24" t="n"/>
    </row>
    <row r="510">
      <c r="A510" s="2" t="inlineStr">
        <is>
          <t>MYS-17</t>
        </is>
      </c>
      <c r="B510" s="2" t="n">
        <v>15</v>
      </c>
      <c r="C510" s="2" t="inlineStr">
        <is>
          <t>IMP00198</t>
        </is>
      </c>
      <c r="D510" s="2" t="inlineStr">
        <is>
          <t>Harmony Glow Co.</t>
        </is>
      </c>
      <c r="E510" s="2" t="n">
        <v>2</v>
      </c>
      <c r="F510" s="27" t="n">
        <v>408876.92</v>
      </c>
      <c r="G510" s="28" t="n">
        <v>0.0038</v>
      </c>
      <c r="H510" s="19" t="n">
        <v>0.9125</v>
      </c>
      <c r="I510" s="29" t="n">
        <v>0</v>
      </c>
      <c r="J510" s="2" t="inlineStr">
        <is>
          <t>EXP0206</t>
        </is>
      </c>
      <c r="K510" s="2" t="n">
        <v>4</v>
      </c>
      <c r="L510" s="2" t="inlineStr">
        <is>
          <t>BRK059</t>
        </is>
      </c>
      <c r="M510" s="2" t="inlineStr">
        <is>
          <t>PORT1</t>
        </is>
      </c>
      <c r="N510" s="2" t="n">
        <v>0</v>
      </c>
      <c r="O510" s="2" t="n">
        <v>0</v>
      </c>
      <c r="P510" s="2" t="n">
        <v>0</v>
      </c>
      <c r="Q510" s="2" t="n">
        <v>0</v>
      </c>
      <c r="R510" s="30">
        <f>IF(AND($C$5&lt;&gt;"",$A510=$C$5),1,"")</f>
        <v/>
      </c>
      <c r="S510" s="21">
        <f>IF(AND($C$5&lt;&gt;"",$A510=$C$5),SUMIFS($G$8:$G$715,$A$8:$A$715,$C$5,$B$8:$B$715,"&lt;="&amp;$B510),"")</f>
        <v/>
      </c>
      <c r="T510" s="24" t="n"/>
      <c r="U510" s="24" t="n"/>
    </row>
    <row r="511">
      <c r="A511" s="2" t="inlineStr">
        <is>
          <t>MYS-17</t>
        </is>
      </c>
      <c r="B511" s="2" t="n">
        <v>16</v>
      </c>
      <c r="C511" s="2" t="inlineStr">
        <is>
          <t>IMP00423</t>
        </is>
      </c>
      <c r="D511" s="2" t="inlineStr">
        <is>
          <t>Golden Medical &amp; Sons</t>
        </is>
      </c>
      <c r="E511" s="2" t="n">
        <v>2</v>
      </c>
      <c r="F511" s="27" t="n">
        <v>165629.15</v>
      </c>
      <c r="G511" s="28" t="n">
        <v>0.0015</v>
      </c>
      <c r="H511" s="19" t="n">
        <v>0.749</v>
      </c>
      <c r="I511" s="29" t="n">
        <v>0.5</v>
      </c>
      <c r="J511" s="2" t="inlineStr">
        <is>
          <t>EXP0090</t>
        </is>
      </c>
      <c r="K511" s="2" t="n">
        <v>1</v>
      </c>
      <c r="L511" s="2" t="inlineStr">
        <is>
          <t>BRK007</t>
        </is>
      </c>
      <c r="M511" s="2" t="inlineStr">
        <is>
          <t>AIR2</t>
        </is>
      </c>
      <c r="N511" s="2" t="n">
        <v>0</v>
      </c>
      <c r="O511" s="2" t="n">
        <v>0</v>
      </c>
      <c r="P511" s="2" t="n">
        <v>0</v>
      </c>
      <c r="Q511" s="2" t="n">
        <v>0</v>
      </c>
      <c r="R511" s="30">
        <f>IF(AND($C$5&lt;&gt;"",$A511=$C$5),1,"")</f>
        <v/>
      </c>
      <c r="S511" s="21">
        <f>IF(AND($C$5&lt;&gt;"",$A511=$C$5),SUMIFS($G$8:$G$715,$A$8:$A$715,$C$5,$B$8:$B$715,"&lt;="&amp;$B511),"")</f>
        <v/>
      </c>
      <c r="T511" s="24" t="n"/>
      <c r="U511" s="24" t="n"/>
    </row>
    <row r="512">
      <c r="A512" s="2" t="inlineStr">
        <is>
          <t>MYS-17</t>
        </is>
      </c>
      <c r="B512" s="2" t="n">
        <v>17</v>
      </c>
      <c r="C512" s="2" t="inlineStr">
        <is>
          <t>IMP01190</t>
        </is>
      </c>
      <c r="D512" s="2" t="inlineStr">
        <is>
          <t>Prime Steel &amp; Sons</t>
        </is>
      </c>
      <c r="E512" s="2" t="n">
        <v>1</v>
      </c>
      <c r="F512" s="27" t="n">
        <v>133730.43</v>
      </c>
      <c r="G512" s="28" t="n">
        <v>0.0012</v>
      </c>
      <c r="H512" s="19" t="n">
        <v>0.9379999999999999</v>
      </c>
      <c r="I512" s="29" t="n">
        <v>0</v>
      </c>
      <c r="J512" s="2" t="inlineStr">
        <is>
          <t>EXP0457</t>
        </is>
      </c>
      <c r="K512" s="2" t="n">
        <v>1</v>
      </c>
      <c r="L512" s="2" t="inlineStr">
        <is>
          <t>BRK055</t>
        </is>
      </c>
      <c r="M512" s="2" t="inlineStr">
        <is>
          <t>PORT1</t>
        </is>
      </c>
      <c r="N512" s="2" t="n">
        <v>1</v>
      </c>
      <c r="O512" s="2" t="n">
        <v>0</v>
      </c>
      <c r="P512" s="2" t="n">
        <v>0</v>
      </c>
      <c r="Q512" s="2" t="n">
        <v>0</v>
      </c>
      <c r="R512" s="30">
        <f>IF(AND($C$5&lt;&gt;"",$A512=$C$5),1,"")</f>
        <v/>
      </c>
      <c r="S512" s="21">
        <f>IF(AND($C$5&lt;&gt;"",$A512=$C$5),SUMIFS($G$8:$G$715,$A$8:$A$715,$C$5,$B$8:$B$715,"&lt;="&amp;$B512),"")</f>
        <v/>
      </c>
      <c r="T512" s="24" t="n"/>
      <c r="U512" s="24" t="n"/>
    </row>
    <row r="513">
      <c r="A513" s="2" t="inlineStr">
        <is>
          <t>MYS-17</t>
        </is>
      </c>
      <c r="B513" s="2" t="n">
        <v>18</v>
      </c>
      <c r="C513" s="2" t="inlineStr">
        <is>
          <t>IMP00819</t>
        </is>
      </c>
      <c r="D513" s="2" t="inlineStr">
        <is>
          <t>Sunrise Mobile Co., Ltd</t>
        </is>
      </c>
      <c r="E513" s="2" t="n">
        <v>1</v>
      </c>
      <c r="F513" s="27" t="n">
        <v>119966.41</v>
      </c>
      <c r="G513" s="28" t="n">
        <v>0.0011</v>
      </c>
      <c r="H513" s="19" t="n">
        <v>0.833</v>
      </c>
      <c r="I513" s="29" t="n">
        <v>0</v>
      </c>
      <c r="J513" s="2" t="inlineStr">
        <is>
          <t>EXP0441</t>
        </is>
      </c>
      <c r="K513" s="2" t="n">
        <v>3</v>
      </c>
      <c r="L513" s="2" t="inlineStr">
        <is>
          <t>BRK019</t>
        </is>
      </c>
      <c r="M513" s="2" t="inlineStr">
        <is>
          <t>PORT2</t>
        </is>
      </c>
      <c r="N513" s="2" t="n">
        <v>0</v>
      </c>
      <c r="O513" s="2" t="n">
        <v>0</v>
      </c>
      <c r="P513" s="2" t="n">
        <v>0</v>
      </c>
      <c r="Q513" s="2" t="n">
        <v>0</v>
      </c>
      <c r="R513" s="30">
        <f>IF(AND($C$5&lt;&gt;"",$A513=$C$5),1,"")</f>
        <v/>
      </c>
      <c r="S513" s="21">
        <f>IF(AND($C$5&lt;&gt;"",$A513=$C$5),SUMIFS($G$8:$G$715,$A$8:$A$715,$C$5,$B$8:$B$715,"&lt;="&amp;$B513),"")</f>
        <v/>
      </c>
      <c r="T513" s="24" t="n"/>
      <c r="U513" s="24" t="n"/>
    </row>
    <row r="514">
      <c r="A514" s="2" t="inlineStr">
        <is>
          <t>MYS-17</t>
        </is>
      </c>
      <c r="B514" s="2" t="n">
        <v>19</v>
      </c>
      <c r="C514" s="2" t="inlineStr">
        <is>
          <t>IMP00775</t>
        </is>
      </c>
      <c r="D514" s="2" t="inlineStr">
        <is>
          <t>Lotus Industries Co.</t>
        </is>
      </c>
      <c r="E514" s="2" t="n">
        <v>1</v>
      </c>
      <c r="F514" s="27" t="n">
        <v>92367.67999999999</v>
      </c>
      <c r="G514" s="28" t="n">
        <v>0.0009</v>
      </c>
      <c r="H514" s="19" t="n">
        <v>0.652</v>
      </c>
      <c r="I514" s="29" t="n">
        <v>1</v>
      </c>
      <c r="J514" s="2" t="inlineStr">
        <is>
          <t>EXP0206</t>
        </is>
      </c>
      <c r="K514" s="2" t="n">
        <v>4</v>
      </c>
      <c r="L514" s="2" t="inlineStr">
        <is>
          <t>BRK061</t>
        </is>
      </c>
      <c r="M514" s="2" t="inlineStr">
        <is>
          <t>PORT1</t>
        </is>
      </c>
      <c r="N514" s="2" t="n">
        <v>0</v>
      </c>
      <c r="O514" s="2" t="n">
        <v>0</v>
      </c>
      <c r="P514" s="2" t="n">
        <v>1</v>
      </c>
      <c r="Q514" s="2" t="n">
        <v>0</v>
      </c>
      <c r="R514" s="30">
        <f>IF(AND($C$5&lt;&gt;"",$A514=$C$5),1,"")</f>
        <v/>
      </c>
      <c r="S514" s="21">
        <f>IF(AND($C$5&lt;&gt;"",$A514=$C$5),SUMIFS($G$8:$G$715,$A$8:$A$715,$C$5,$B$8:$B$715,"&lt;="&amp;$B514),"")</f>
        <v/>
      </c>
      <c r="T514" s="24" t="n"/>
      <c r="U514" s="24" t="n"/>
    </row>
    <row r="515">
      <c r="A515" s="2" t="inlineStr">
        <is>
          <t>MYS-33</t>
        </is>
      </c>
      <c r="B515" s="2" t="n">
        <v>1</v>
      </c>
      <c r="C515" s="2" t="inlineStr">
        <is>
          <t>IMP01004</t>
        </is>
      </c>
      <c r="D515" s="2" t="inlineStr">
        <is>
          <t>Star Agro Co.</t>
        </is>
      </c>
      <c r="E515" s="2" t="n">
        <v>111</v>
      </c>
      <c r="F515" s="27" t="n">
        <v>115312737.22</v>
      </c>
      <c r="G515" s="28" t="n">
        <v>0.2684</v>
      </c>
      <c r="H515" s="19" t="n">
        <v>0.86</v>
      </c>
      <c r="I515" s="29" t="n">
        <v>0.1441</v>
      </c>
      <c r="J515" s="2" t="inlineStr">
        <is>
          <t>EXP0336</t>
        </is>
      </c>
      <c r="K515" s="2" t="n">
        <v>2</v>
      </c>
      <c r="L515" s="2" t="inlineStr">
        <is>
          <t>BRK059</t>
        </is>
      </c>
      <c r="M515" s="2" t="inlineStr">
        <is>
          <t>PORT3</t>
        </is>
      </c>
      <c r="N515" s="2" t="n">
        <v>0</v>
      </c>
      <c r="O515" s="2" t="n">
        <v>0</v>
      </c>
      <c r="P515" s="2" t="n">
        <v>0</v>
      </c>
      <c r="Q515" s="2" t="n">
        <v>0</v>
      </c>
      <c r="R515" s="30">
        <f>IF(AND($C$5&lt;&gt;"",$A515=$C$5),1,"")</f>
        <v/>
      </c>
      <c r="S515" s="21">
        <f>IF(AND($C$5&lt;&gt;"",$A515=$C$5),SUMIFS($G$8:$G$715,$A$8:$A$715,$C$5,$B$8:$B$715,"&lt;="&amp;$B515),"")</f>
        <v/>
      </c>
      <c r="T515" s="24" t="n"/>
      <c r="U515" s="24" t="n"/>
    </row>
    <row r="516">
      <c r="A516" s="2" t="inlineStr">
        <is>
          <t>MYS-33</t>
        </is>
      </c>
      <c r="B516" s="2" t="n">
        <v>2</v>
      </c>
      <c r="C516" s="2" t="inlineStr">
        <is>
          <t>IMP00724</t>
        </is>
      </c>
      <c r="D516" s="2" t="inlineStr">
        <is>
          <t>Pacific Motors Enterprises</t>
        </is>
      </c>
      <c r="E516" s="2" t="n">
        <v>32</v>
      </c>
      <c r="F516" s="27" t="n">
        <v>73007395.04000001</v>
      </c>
      <c r="G516" s="28" t="n">
        <v>0.1699</v>
      </c>
      <c r="H516" s="19" t="n">
        <v>1.006</v>
      </c>
      <c r="I516" s="29" t="n">
        <v>0.1875</v>
      </c>
      <c r="J516" s="2" t="inlineStr">
        <is>
          <t>EXP0191</t>
        </is>
      </c>
      <c r="K516" s="2" t="n">
        <v>3</v>
      </c>
      <c r="L516" s="2" t="inlineStr">
        <is>
          <t>BRK032</t>
        </is>
      </c>
      <c r="M516" s="2" t="inlineStr">
        <is>
          <t>AIR1</t>
        </is>
      </c>
      <c r="N516" s="2" t="n">
        <v>0</v>
      </c>
      <c r="O516" s="2" t="n">
        <v>0</v>
      </c>
      <c r="P516" s="2" t="n">
        <v>0</v>
      </c>
      <c r="Q516" s="2" t="n">
        <v>0</v>
      </c>
      <c r="R516" s="30">
        <f>IF(AND($C$5&lt;&gt;"",$A516=$C$5),1,"")</f>
        <v/>
      </c>
      <c r="S516" s="21">
        <f>IF(AND($C$5&lt;&gt;"",$A516=$C$5),SUMIFS($G$8:$G$715,$A$8:$A$715,$C$5,$B$8:$B$715,"&lt;="&amp;$B516),"")</f>
        <v/>
      </c>
      <c r="T516" s="24" t="n"/>
      <c r="U516" s="24" t="n"/>
    </row>
    <row r="517">
      <c r="A517" s="2" t="inlineStr">
        <is>
          <t>MYS-33</t>
        </is>
      </c>
      <c r="B517" s="2" t="n">
        <v>3</v>
      </c>
      <c r="C517" s="2" t="inlineStr">
        <is>
          <t>IMP00128</t>
        </is>
      </c>
      <c r="D517" s="2" t="inlineStr">
        <is>
          <t>Phoenix Pack Limited</t>
        </is>
      </c>
      <c r="E517" s="2" t="n">
        <v>48</v>
      </c>
      <c r="F517" s="27" t="n">
        <v>65899567</v>
      </c>
      <c r="G517" s="28" t="n">
        <v>0.1534</v>
      </c>
      <c r="H517" s="19" t="n">
        <v>0.9385</v>
      </c>
      <c r="I517" s="29" t="n">
        <v>0.0625</v>
      </c>
      <c r="J517" s="2" t="inlineStr">
        <is>
          <t>EXP0041</t>
        </is>
      </c>
      <c r="K517" s="2" t="n">
        <v>3</v>
      </c>
      <c r="L517" s="2" t="inlineStr">
        <is>
          <t>BRK053</t>
        </is>
      </c>
      <c r="M517" s="2" t="inlineStr">
        <is>
          <t>PORT1</t>
        </is>
      </c>
      <c r="N517" s="2" t="n">
        <v>0</v>
      </c>
      <c r="O517" s="2" t="n">
        <v>0</v>
      </c>
      <c r="P517" s="2" t="n">
        <v>0</v>
      </c>
      <c r="Q517" s="2" t="n">
        <v>0</v>
      </c>
      <c r="R517" s="30">
        <f>IF(AND($C$5&lt;&gt;"",$A517=$C$5),1,"")</f>
        <v/>
      </c>
      <c r="S517" s="21">
        <f>IF(AND($C$5&lt;&gt;"",$A517=$C$5),SUMIFS($G$8:$G$715,$A$8:$A$715,$C$5,$B$8:$B$715,"&lt;="&amp;$B517),"")</f>
        <v/>
      </c>
      <c r="T517" s="24" t="n"/>
      <c r="U517" s="24" t="n"/>
    </row>
    <row r="518">
      <c r="A518" s="2" t="inlineStr">
        <is>
          <t>MYS-33</t>
        </is>
      </c>
      <c r="B518" s="2" t="n">
        <v>4</v>
      </c>
      <c r="C518" s="2" t="inlineStr">
        <is>
          <t>IMP01392</t>
        </is>
      </c>
      <c r="D518" s="2" t="inlineStr">
        <is>
          <t>Sunrise Distribution Enterprises</t>
        </is>
      </c>
      <c r="E518" s="2" t="n">
        <v>29</v>
      </c>
      <c r="F518" s="27" t="n">
        <v>63001176.6</v>
      </c>
      <c r="G518" s="28" t="n">
        <v>0.1466</v>
      </c>
      <c r="H518" s="19" t="n">
        <v>0.914</v>
      </c>
      <c r="I518" s="29" t="n">
        <v>0.3103</v>
      </c>
      <c r="J518" s="2" t="inlineStr">
        <is>
          <t>EXP0183</t>
        </is>
      </c>
      <c r="K518" s="2" t="n">
        <v>4</v>
      </c>
      <c r="L518" s="2" t="inlineStr">
        <is>
          <t>BRK066</t>
        </is>
      </c>
      <c r="M518" s="2" t="inlineStr">
        <is>
          <t>LAND1</t>
        </is>
      </c>
      <c r="N518" s="2" t="n">
        <v>0</v>
      </c>
      <c r="O518" s="2" t="n">
        <v>0</v>
      </c>
      <c r="P518" s="2" t="n">
        <v>0</v>
      </c>
      <c r="Q518" s="2" t="n">
        <v>0</v>
      </c>
      <c r="R518" s="30">
        <f>IF(AND($C$5&lt;&gt;"",$A518=$C$5),1,"")</f>
        <v/>
      </c>
      <c r="S518" s="21">
        <f>IF(AND($C$5&lt;&gt;"",$A518=$C$5),SUMIFS($G$8:$G$715,$A$8:$A$715,$C$5,$B$8:$B$715,"&lt;="&amp;$B518),"")</f>
        <v/>
      </c>
      <c r="T518" s="24" t="n"/>
      <c r="U518" s="24" t="n"/>
    </row>
    <row r="519">
      <c r="A519" s="2" t="inlineStr">
        <is>
          <t>MYS-33</t>
        </is>
      </c>
      <c r="B519" s="2" t="n">
        <v>5</v>
      </c>
      <c r="C519" s="2" t="inlineStr">
        <is>
          <t>IMP01380</t>
        </is>
      </c>
      <c r="D519" s="2" t="inlineStr">
        <is>
          <t>Orchid Supply &amp; Sons</t>
        </is>
      </c>
      <c r="E519" s="2" t="n">
        <v>45</v>
      </c>
      <c r="F519" s="27" t="n">
        <v>36416078.26</v>
      </c>
      <c r="G519" s="28" t="n">
        <v>0.0848</v>
      </c>
      <c r="H519" s="19" t="n">
        <v>0.897</v>
      </c>
      <c r="I519" s="29" t="n">
        <v>0.1111</v>
      </c>
      <c r="J519" s="2" t="inlineStr">
        <is>
          <t>EXP0090</t>
        </is>
      </c>
      <c r="K519" s="2" t="n">
        <v>5</v>
      </c>
      <c r="L519" s="2" t="inlineStr">
        <is>
          <t>BRK049</t>
        </is>
      </c>
      <c r="M519" s="2" t="inlineStr">
        <is>
          <t>AIR1</t>
        </is>
      </c>
      <c r="N519" s="2" t="n">
        <v>0</v>
      </c>
      <c r="O519" s="2" t="n">
        <v>0</v>
      </c>
      <c r="P519" s="2" t="n">
        <v>0</v>
      </c>
      <c r="Q519" s="2" t="n">
        <v>0</v>
      </c>
      <c r="R519" s="30">
        <f>IF(AND($C$5&lt;&gt;"",$A519=$C$5),1,"")</f>
        <v/>
      </c>
      <c r="S519" s="21">
        <f>IF(AND($C$5&lt;&gt;"",$A519=$C$5),SUMIFS($G$8:$G$715,$A$8:$A$715,$C$5,$B$8:$B$715,"&lt;="&amp;$B519),"")</f>
        <v/>
      </c>
      <c r="T519" s="24" t="n"/>
      <c r="U519" s="24" t="n"/>
    </row>
    <row r="520">
      <c r="A520" s="2" t="inlineStr">
        <is>
          <t>MYS-33</t>
        </is>
      </c>
      <c r="B520" s="2" t="n">
        <v>6</v>
      </c>
      <c r="C520" s="2" t="inlineStr">
        <is>
          <t>IMP00679</t>
        </is>
      </c>
      <c r="D520" s="2" t="inlineStr">
        <is>
          <t>Coral Pack Group Ltd</t>
        </is>
      </c>
      <c r="E520" s="2" t="n">
        <v>21</v>
      </c>
      <c r="F520" s="27" t="n">
        <v>18181760.36</v>
      </c>
      <c r="G520" s="28" t="n">
        <v>0.0423</v>
      </c>
      <c r="H520" s="19" t="n">
        <v>0.882</v>
      </c>
      <c r="I520" s="29" t="n">
        <v>0.2857</v>
      </c>
      <c r="J520" s="2" t="inlineStr">
        <is>
          <t>EXP0183</t>
        </is>
      </c>
      <c r="K520" s="2" t="n">
        <v>4</v>
      </c>
      <c r="L520" s="2" t="inlineStr">
        <is>
          <t>BRK011</t>
        </is>
      </c>
      <c r="M520" s="2" t="inlineStr">
        <is>
          <t>PORT3</t>
        </is>
      </c>
      <c r="N520" s="2" t="n">
        <v>0</v>
      </c>
      <c r="O520" s="2" t="n">
        <v>0</v>
      </c>
      <c r="P520" s="2" t="n">
        <v>0</v>
      </c>
      <c r="Q520" s="2" t="n">
        <v>0</v>
      </c>
      <c r="R520" s="30">
        <f>IF(AND($C$5&lt;&gt;"",$A520=$C$5),1,"")</f>
        <v/>
      </c>
      <c r="S520" s="21">
        <f>IF(AND($C$5&lt;&gt;"",$A520=$C$5),SUMIFS($G$8:$G$715,$A$8:$A$715,$C$5,$B$8:$B$715,"&lt;="&amp;$B520),"")</f>
        <v/>
      </c>
      <c r="T520" s="24" t="n"/>
      <c r="U520" s="24" t="n"/>
    </row>
    <row r="521">
      <c r="A521" s="2" t="inlineStr">
        <is>
          <t>MYS-33</t>
        </is>
      </c>
      <c r="B521" s="2" t="n">
        <v>7</v>
      </c>
      <c r="C521" s="2" t="inlineStr">
        <is>
          <t>IMP00238</t>
        </is>
      </c>
      <c r="D521" s="2" t="inlineStr">
        <is>
          <t>Silver Commercial Co., Ltd</t>
        </is>
      </c>
      <c r="E521" s="2" t="n">
        <v>7</v>
      </c>
      <c r="F521" s="27" t="n">
        <v>8980736.25</v>
      </c>
      <c r="G521" s="28" t="n">
        <v>0.0209</v>
      </c>
      <c r="H521" s="19" t="n">
        <v>0.879</v>
      </c>
      <c r="I521" s="29" t="n">
        <v>0</v>
      </c>
      <c r="J521" s="2" t="inlineStr">
        <is>
          <t>EXP0371</t>
        </is>
      </c>
      <c r="K521" s="2" t="n">
        <v>2</v>
      </c>
      <c r="L521" s="2" t="inlineStr">
        <is>
          <t>BRK024</t>
        </is>
      </c>
      <c r="M521" s="2" t="inlineStr">
        <is>
          <t>LAND2</t>
        </is>
      </c>
      <c r="N521" s="2" t="n">
        <v>0</v>
      </c>
      <c r="O521" s="2" t="n">
        <v>0</v>
      </c>
      <c r="P521" s="2" t="n">
        <v>0</v>
      </c>
      <c r="Q521" s="2" t="n">
        <v>0</v>
      </c>
      <c r="R521" s="30">
        <f>IF(AND($C$5&lt;&gt;"",$A521=$C$5),1,"")</f>
        <v/>
      </c>
      <c r="S521" s="21">
        <f>IF(AND($C$5&lt;&gt;"",$A521=$C$5),SUMIFS($G$8:$G$715,$A$8:$A$715,$C$5,$B$8:$B$715,"&lt;="&amp;$B521),"")</f>
        <v/>
      </c>
      <c r="T521" s="24" t="n"/>
      <c r="U521" s="24" t="n"/>
    </row>
    <row r="522">
      <c r="A522" s="2" t="inlineStr">
        <is>
          <t>MYS-33</t>
        </is>
      </c>
      <c r="B522" s="2" t="n">
        <v>8</v>
      </c>
      <c r="C522" s="2" t="inlineStr">
        <is>
          <t>IMP00138</t>
        </is>
      </c>
      <c r="D522" s="2" t="inlineStr">
        <is>
          <t>Saffron Electronics Enterprises</t>
        </is>
      </c>
      <c r="E522" s="2" t="n">
        <v>6</v>
      </c>
      <c r="F522" s="27" t="n">
        <v>8493180.5</v>
      </c>
      <c r="G522" s="28" t="n">
        <v>0.0198</v>
      </c>
      <c r="H522" s="19" t="n">
        <v>0.927</v>
      </c>
      <c r="I522" s="29" t="n">
        <v>0</v>
      </c>
      <c r="J522" s="2" t="inlineStr">
        <is>
          <t>EXP0106</t>
        </is>
      </c>
      <c r="K522" s="2" t="n">
        <v>3</v>
      </c>
      <c r="L522" s="2" t="inlineStr">
        <is>
          <t>BRK057</t>
        </is>
      </c>
      <c r="M522" s="2" t="inlineStr">
        <is>
          <t>PORT2</t>
        </is>
      </c>
      <c r="N522" s="2" t="n">
        <v>0</v>
      </c>
      <c r="O522" s="2" t="n">
        <v>0</v>
      </c>
      <c r="P522" s="2" t="n">
        <v>0</v>
      </c>
      <c r="Q522" s="2" t="n">
        <v>0</v>
      </c>
      <c r="R522" s="30">
        <f>IF(AND($C$5&lt;&gt;"",$A522=$C$5),1,"")</f>
        <v/>
      </c>
      <c r="S522" s="21">
        <f>IF(AND($C$5&lt;&gt;"",$A522=$C$5),SUMIFS($G$8:$G$715,$A$8:$A$715,$C$5,$B$8:$B$715,"&lt;="&amp;$B522),"")</f>
        <v/>
      </c>
      <c r="T522" s="24" t="n"/>
      <c r="U522" s="24" t="n"/>
    </row>
    <row r="523">
      <c r="A523" s="2" t="inlineStr">
        <is>
          <t>MYS-33</t>
        </is>
      </c>
      <c r="B523" s="2" t="n">
        <v>9</v>
      </c>
      <c r="C523" s="2" t="inlineStr">
        <is>
          <t>IMP00233</t>
        </is>
      </c>
      <c r="D523" s="2" t="inlineStr">
        <is>
          <t>Meridian Fruits Partners Ltd</t>
        </is>
      </c>
      <c r="E523" s="2" t="n">
        <v>9</v>
      </c>
      <c r="F523" s="27" t="n">
        <v>7615833.52</v>
      </c>
      <c r="G523" s="28" t="n">
        <v>0.0177</v>
      </c>
      <c r="H523" s="19" t="n">
        <v>0.966</v>
      </c>
      <c r="I523" s="29" t="n">
        <v>0.1111</v>
      </c>
      <c r="J523" s="2" t="inlineStr">
        <is>
          <t>EXP0571</t>
        </is>
      </c>
      <c r="K523" s="2" t="n">
        <v>2</v>
      </c>
      <c r="L523" s="2" t="inlineStr">
        <is>
          <t>BRK034</t>
        </is>
      </c>
      <c r="M523" s="2" t="inlineStr">
        <is>
          <t>LAND5</t>
        </is>
      </c>
      <c r="N523" s="2" t="n">
        <v>0</v>
      </c>
      <c r="O523" s="2" t="n">
        <v>0</v>
      </c>
      <c r="P523" s="2" t="n">
        <v>0</v>
      </c>
      <c r="Q523" s="2" t="n">
        <v>0</v>
      </c>
      <c r="R523" s="30">
        <f>IF(AND($C$5&lt;&gt;"",$A523=$C$5),1,"")</f>
        <v/>
      </c>
      <c r="S523" s="21">
        <f>IF(AND($C$5&lt;&gt;"",$A523=$C$5),SUMIFS($G$8:$G$715,$A$8:$A$715,$C$5,$B$8:$B$715,"&lt;="&amp;$B523),"")</f>
        <v/>
      </c>
      <c r="T523" s="24" t="n"/>
      <c r="U523" s="24" t="n"/>
    </row>
    <row r="524">
      <c r="A524" s="2" t="inlineStr">
        <is>
          <t>MYS-33</t>
        </is>
      </c>
      <c r="B524" s="2" t="n">
        <v>10</v>
      </c>
      <c r="C524" s="2" t="inlineStr">
        <is>
          <t>IMP00967</t>
        </is>
      </c>
      <c r="D524" s="2" t="inlineStr">
        <is>
          <t>Prime Electronics Co., Ltd</t>
        </is>
      </c>
      <c r="E524" s="2" t="n">
        <v>3</v>
      </c>
      <c r="F524" s="27" t="n">
        <v>6492094.09</v>
      </c>
      <c r="G524" s="28" t="n">
        <v>0.0151</v>
      </c>
      <c r="H524" s="19" t="n">
        <v>0.387</v>
      </c>
      <c r="I524" s="29" t="n">
        <v>0.6667</v>
      </c>
      <c r="J524" s="2" t="inlineStr">
        <is>
          <t>EXP0181</t>
        </is>
      </c>
      <c r="K524" s="2" t="n">
        <v>4</v>
      </c>
      <c r="L524" s="2" t="inlineStr">
        <is>
          <t>BRK068</t>
        </is>
      </c>
      <c r="M524" s="2" t="inlineStr">
        <is>
          <t>AIR1</t>
        </is>
      </c>
      <c r="N524" s="2" t="n">
        <v>0</v>
      </c>
      <c r="O524" s="2" t="n">
        <v>0</v>
      </c>
      <c r="P524" s="2" t="n">
        <v>0</v>
      </c>
      <c r="Q524" s="2" t="n">
        <v>0</v>
      </c>
      <c r="R524" s="30">
        <f>IF(AND($C$5&lt;&gt;"",$A524=$C$5),1,"")</f>
        <v/>
      </c>
      <c r="S524" s="21">
        <f>IF(AND($C$5&lt;&gt;"",$A524=$C$5),SUMIFS($G$8:$G$715,$A$8:$A$715,$C$5,$B$8:$B$715,"&lt;="&amp;$B524),"")</f>
        <v/>
      </c>
      <c r="T524" s="24" t="n"/>
      <c r="U524" s="24" t="n"/>
    </row>
    <row r="525">
      <c r="A525" s="2" t="inlineStr">
        <is>
          <t>MYS-33</t>
        </is>
      </c>
      <c r="B525" s="2" t="n">
        <v>11</v>
      </c>
      <c r="C525" s="2" t="inlineStr">
        <is>
          <t>IMP00361</t>
        </is>
      </c>
      <c r="D525" s="2" t="inlineStr">
        <is>
          <t>Coral Agro &amp; Sons</t>
        </is>
      </c>
      <c r="E525" s="2" t="n">
        <v>5</v>
      </c>
      <c r="F525" s="27" t="n">
        <v>4495753.89</v>
      </c>
      <c r="G525" s="28" t="n">
        <v>0.0105</v>
      </c>
      <c r="H525" s="19" t="n">
        <v>0.849</v>
      </c>
      <c r="I525" s="29" t="n">
        <v>0.4</v>
      </c>
      <c r="J525" s="2" t="inlineStr">
        <is>
          <t>EXP0090</t>
        </is>
      </c>
      <c r="K525" s="2" t="n">
        <v>5</v>
      </c>
      <c r="L525" s="2" t="inlineStr">
        <is>
          <t>BRK080</t>
        </is>
      </c>
      <c r="M525" s="2" t="inlineStr">
        <is>
          <t>PORT2</t>
        </is>
      </c>
      <c r="N525" s="2" t="n">
        <v>0</v>
      </c>
      <c r="O525" s="2" t="n">
        <v>1</v>
      </c>
      <c r="P525" s="2" t="n">
        <v>0</v>
      </c>
      <c r="Q525" s="2" t="n">
        <v>0</v>
      </c>
      <c r="R525" s="30">
        <f>IF(AND($C$5&lt;&gt;"",$A525=$C$5),1,"")</f>
        <v/>
      </c>
      <c r="S525" s="21">
        <f>IF(AND($C$5&lt;&gt;"",$A525=$C$5),SUMIFS($G$8:$G$715,$A$8:$A$715,$C$5,$B$8:$B$715,"&lt;="&amp;$B525),"")</f>
        <v/>
      </c>
      <c r="T525" s="24" t="n"/>
      <c r="U525" s="24" t="n"/>
    </row>
    <row r="526">
      <c r="A526" s="2" t="inlineStr">
        <is>
          <t>MYS-33</t>
        </is>
      </c>
      <c r="B526" s="2" t="n">
        <v>12</v>
      </c>
      <c r="C526" s="2" t="inlineStr">
        <is>
          <t>IMP00081</t>
        </is>
      </c>
      <c r="D526" s="2" t="inlineStr">
        <is>
          <t>Crown Logistics Group Ltd</t>
        </is>
      </c>
      <c r="E526" s="2" t="n">
        <v>1</v>
      </c>
      <c r="F526" s="27" t="n">
        <v>3417765.45</v>
      </c>
      <c r="G526" s="28" t="n">
        <v>0.008</v>
      </c>
      <c r="H526" s="19" t="n">
        <v>1.231</v>
      </c>
      <c r="I526" s="29" t="n">
        <v>0</v>
      </c>
      <c r="J526" s="2" t="inlineStr">
        <is>
          <t>EXP0097</t>
        </is>
      </c>
      <c r="K526" s="2" t="n">
        <v>1</v>
      </c>
      <c r="L526" s="2" t="inlineStr">
        <is>
          <t>BRK021</t>
        </is>
      </c>
      <c r="M526" s="2" t="inlineStr">
        <is>
          <t>LAND1</t>
        </is>
      </c>
      <c r="N526" s="2" t="n">
        <v>0</v>
      </c>
      <c r="O526" s="2" t="n">
        <v>0</v>
      </c>
      <c r="P526" s="2" t="n">
        <v>0</v>
      </c>
      <c r="Q526" s="2" t="n">
        <v>0</v>
      </c>
      <c r="R526" s="30">
        <f>IF(AND($C$5&lt;&gt;"",$A526=$C$5),1,"")</f>
        <v/>
      </c>
      <c r="S526" s="21">
        <f>IF(AND($C$5&lt;&gt;"",$A526=$C$5),SUMIFS($G$8:$G$715,$A$8:$A$715,$C$5,$B$8:$B$715,"&lt;="&amp;$B526),"")</f>
        <v/>
      </c>
      <c r="T526" s="24" t="n"/>
      <c r="U526" s="24" t="n"/>
    </row>
    <row r="527">
      <c r="A527" s="2" t="inlineStr">
        <is>
          <t>MYS-33</t>
        </is>
      </c>
      <c r="B527" s="2" t="n">
        <v>13</v>
      </c>
      <c r="C527" s="2" t="inlineStr">
        <is>
          <t>IMP01464</t>
        </is>
      </c>
      <c r="D527" s="2" t="inlineStr">
        <is>
          <t>Silk Road Distribution Co.</t>
        </is>
      </c>
      <c r="E527" s="2" t="n">
        <v>3</v>
      </c>
      <c r="F527" s="27" t="n">
        <v>3052778.18</v>
      </c>
      <c r="G527" s="28" t="n">
        <v>0.0071</v>
      </c>
      <c r="H527" s="19" t="n">
        <v>0.793</v>
      </c>
      <c r="I527" s="29" t="n">
        <v>0.3333</v>
      </c>
      <c r="J527" s="2" t="inlineStr">
        <is>
          <t>EXP0109</t>
        </is>
      </c>
      <c r="K527" s="2" t="n">
        <v>2</v>
      </c>
      <c r="L527" s="2" t="inlineStr">
        <is>
          <t>BRK066</t>
        </is>
      </c>
      <c r="M527" s="2" t="inlineStr">
        <is>
          <t>AIR2</t>
        </is>
      </c>
      <c r="N527" s="2" t="n">
        <v>0</v>
      </c>
      <c r="O527" s="2" t="n">
        <v>0</v>
      </c>
      <c r="P527" s="2" t="n">
        <v>0</v>
      </c>
      <c r="Q527" s="2" t="n">
        <v>0</v>
      </c>
      <c r="R527" s="30">
        <f>IF(AND($C$5&lt;&gt;"",$A527=$C$5),1,"")</f>
        <v/>
      </c>
      <c r="S527" s="21">
        <f>IF(AND($C$5&lt;&gt;"",$A527=$C$5),SUMIFS($G$8:$G$715,$A$8:$A$715,$C$5,$B$8:$B$715,"&lt;="&amp;$B527),"")</f>
        <v/>
      </c>
      <c r="T527" s="24" t="n"/>
      <c r="U527" s="24" t="n"/>
    </row>
    <row r="528">
      <c r="A528" s="2" t="inlineStr">
        <is>
          <t>MYS-33</t>
        </is>
      </c>
      <c r="B528" s="2" t="n">
        <v>14</v>
      </c>
      <c r="C528" s="2" t="inlineStr">
        <is>
          <t>IMP01420</t>
        </is>
      </c>
      <c r="D528" s="2" t="inlineStr">
        <is>
          <t>Evergreen Industries Co., Ltd</t>
        </is>
      </c>
      <c r="E528" s="2" t="n">
        <v>1</v>
      </c>
      <c r="F528" s="27" t="n">
        <v>2773522.86</v>
      </c>
      <c r="G528" s="28" t="n">
        <v>0.0065</v>
      </c>
      <c r="H528" s="19" t="n">
        <v>0.91</v>
      </c>
      <c r="I528" s="29" t="n">
        <v>0</v>
      </c>
      <c r="J528" s="2" t="inlineStr">
        <is>
          <t>EXP0185</t>
        </is>
      </c>
      <c r="K528" s="2" t="n">
        <v>2</v>
      </c>
      <c r="L528" s="2" t="inlineStr">
        <is>
          <t>BRK057</t>
        </is>
      </c>
      <c r="M528" s="2" t="inlineStr">
        <is>
          <t>PORT1</t>
        </is>
      </c>
      <c r="N528" s="2" t="n">
        <v>0</v>
      </c>
      <c r="O528" s="2" t="n">
        <v>0</v>
      </c>
      <c r="P528" s="2" t="n">
        <v>0</v>
      </c>
      <c r="Q528" s="2" t="n">
        <v>0</v>
      </c>
      <c r="R528" s="30">
        <f>IF(AND($C$5&lt;&gt;"",$A528=$C$5),1,"")</f>
        <v/>
      </c>
      <c r="S528" s="21">
        <f>IF(AND($C$5&lt;&gt;"",$A528=$C$5),SUMIFS($G$8:$G$715,$A$8:$A$715,$C$5,$B$8:$B$715,"&lt;="&amp;$B528),"")</f>
        <v/>
      </c>
      <c r="T528" s="24" t="n"/>
      <c r="U528" s="24" t="n"/>
    </row>
    <row r="529">
      <c r="A529" s="2" t="inlineStr">
        <is>
          <t>MYS-33</t>
        </is>
      </c>
      <c r="B529" s="2" t="n">
        <v>15</v>
      </c>
      <c r="C529" s="2" t="inlineStr">
        <is>
          <t>IMP00604</t>
        </is>
      </c>
      <c r="D529" s="2" t="inlineStr">
        <is>
          <t>Jade Glow Group Ltd</t>
        </is>
      </c>
      <c r="E529" s="2" t="n">
        <v>4</v>
      </c>
      <c r="F529" s="27" t="n">
        <v>2673278.42</v>
      </c>
      <c r="G529" s="28" t="n">
        <v>0.0062</v>
      </c>
      <c r="H529" s="19" t="n">
        <v>0.8345</v>
      </c>
      <c r="I529" s="29" t="n">
        <v>0</v>
      </c>
      <c r="J529" s="2" t="inlineStr">
        <is>
          <t>EXP0371</t>
        </is>
      </c>
      <c r="K529" s="2" t="n">
        <v>2</v>
      </c>
      <c r="L529" s="2" t="inlineStr">
        <is>
          <t>BRK030</t>
        </is>
      </c>
      <c r="M529" s="2" t="inlineStr">
        <is>
          <t>LAND7</t>
        </is>
      </c>
      <c r="N529" s="2" t="n">
        <v>0</v>
      </c>
      <c r="O529" s="2" t="n">
        <v>0</v>
      </c>
      <c r="P529" s="2" t="n">
        <v>0</v>
      </c>
      <c r="Q529" s="2" t="n">
        <v>0</v>
      </c>
      <c r="R529" s="30">
        <f>IF(AND($C$5&lt;&gt;"",$A529=$C$5),1,"")</f>
        <v/>
      </c>
      <c r="S529" s="21">
        <f>IF(AND($C$5&lt;&gt;"",$A529=$C$5),SUMIFS($G$8:$G$715,$A$8:$A$715,$C$5,$B$8:$B$715,"&lt;="&amp;$B529),"")</f>
        <v/>
      </c>
      <c r="T529" s="24" t="n"/>
      <c r="U529" s="24" t="n"/>
    </row>
    <row r="530">
      <c r="A530" s="2" t="inlineStr">
        <is>
          <t>MYS-33</t>
        </is>
      </c>
      <c r="B530" s="2" t="n">
        <v>16</v>
      </c>
      <c r="C530" s="2" t="inlineStr">
        <is>
          <t>IMP00655</t>
        </is>
      </c>
      <c r="D530" s="2" t="inlineStr">
        <is>
          <t>Ocean Steel Group Ltd</t>
        </is>
      </c>
      <c r="E530" s="2" t="n">
        <v>1</v>
      </c>
      <c r="F530" s="27" t="n">
        <v>2504440.68</v>
      </c>
      <c r="G530" s="28" t="n">
        <v>0.0058</v>
      </c>
      <c r="H530" s="19" t="n">
        <v>0.9320000000000001</v>
      </c>
      <c r="I530" s="29" t="n">
        <v>0</v>
      </c>
      <c r="J530" s="2" t="inlineStr">
        <is>
          <t>EXP0460</t>
        </is>
      </c>
      <c r="K530" s="2" t="n">
        <v>3</v>
      </c>
      <c r="L530" s="2" t="inlineStr">
        <is>
          <t>BRK048</t>
        </is>
      </c>
      <c r="M530" s="2" t="inlineStr">
        <is>
          <t>LAND3</t>
        </is>
      </c>
      <c r="N530" s="2" t="n">
        <v>0</v>
      </c>
      <c r="O530" s="2" t="n">
        <v>0</v>
      </c>
      <c r="P530" s="2" t="n">
        <v>0</v>
      </c>
      <c r="Q530" s="2" t="n">
        <v>0</v>
      </c>
      <c r="R530" s="30">
        <f>IF(AND($C$5&lt;&gt;"",$A530=$C$5),1,"")</f>
        <v/>
      </c>
      <c r="S530" s="21">
        <f>IF(AND($C$5&lt;&gt;"",$A530=$C$5),SUMIFS($G$8:$G$715,$A$8:$A$715,$C$5,$B$8:$B$715,"&lt;="&amp;$B530),"")</f>
        <v/>
      </c>
      <c r="T530" s="24" t="n"/>
      <c r="U530" s="24" t="n"/>
    </row>
    <row r="531">
      <c r="A531" s="2" t="inlineStr">
        <is>
          <t>MYS-33</t>
        </is>
      </c>
      <c r="B531" s="2" t="n">
        <v>17</v>
      </c>
      <c r="C531" s="2" t="inlineStr">
        <is>
          <t>IMP00305</t>
        </is>
      </c>
      <c r="D531" s="2" t="inlineStr">
        <is>
          <t>Jade Pack Partners Ltd</t>
        </is>
      </c>
      <c r="E531" s="2" t="n">
        <v>1</v>
      </c>
      <c r="F531" s="27" t="n">
        <v>2086908.85</v>
      </c>
      <c r="G531" s="28" t="n">
        <v>0.0049</v>
      </c>
      <c r="H531" s="19" t="n">
        <v>0.891</v>
      </c>
      <c r="I531" s="29" t="n">
        <v>0</v>
      </c>
      <c r="J531" s="2" t="inlineStr">
        <is>
          <t>EXP0090</t>
        </is>
      </c>
      <c r="K531" s="2" t="n">
        <v>5</v>
      </c>
      <c r="L531" s="2" t="inlineStr">
        <is>
          <t>BRK020</t>
        </is>
      </c>
      <c r="M531" s="2" t="inlineStr">
        <is>
          <t>LAND3</t>
        </is>
      </c>
      <c r="N531" s="2" t="n">
        <v>0</v>
      </c>
      <c r="O531" s="2" t="n">
        <v>0</v>
      </c>
      <c r="P531" s="2" t="n">
        <v>0</v>
      </c>
      <c r="Q531" s="2" t="n">
        <v>0</v>
      </c>
      <c r="R531" s="30">
        <f>IF(AND($C$5&lt;&gt;"",$A531=$C$5),1,"")</f>
        <v/>
      </c>
      <c r="S531" s="21">
        <f>IF(AND($C$5&lt;&gt;"",$A531=$C$5),SUMIFS($G$8:$G$715,$A$8:$A$715,$C$5,$B$8:$B$715,"&lt;="&amp;$B531),"")</f>
        <v/>
      </c>
      <c r="T531" s="24" t="n"/>
      <c r="U531" s="24" t="n"/>
    </row>
    <row r="532">
      <c r="A532" s="2" t="inlineStr">
        <is>
          <t>MYS-33</t>
        </is>
      </c>
      <c r="B532" s="2" t="n">
        <v>18</v>
      </c>
      <c r="C532" s="2" t="inlineStr">
        <is>
          <t>IMP00178</t>
        </is>
      </c>
      <c r="D532" s="2" t="inlineStr">
        <is>
          <t>Delta Logistics Co., Ltd</t>
        </is>
      </c>
      <c r="E532" s="2" t="n">
        <v>2</v>
      </c>
      <c r="F532" s="27" t="n">
        <v>1588866.59</v>
      </c>
      <c r="G532" s="28" t="n">
        <v>0.0037</v>
      </c>
      <c r="H532" s="19" t="n">
        <v>0.8075</v>
      </c>
      <c r="I532" s="29" t="n">
        <v>0</v>
      </c>
      <c r="J532" s="2" t="inlineStr">
        <is>
          <t>EXP0335</t>
        </is>
      </c>
      <c r="K532" s="2" t="n">
        <v>2</v>
      </c>
      <c r="L532" s="2" t="inlineStr">
        <is>
          <t>BRK014</t>
        </is>
      </c>
      <c r="M532" s="2" t="inlineStr">
        <is>
          <t>LAND2</t>
        </is>
      </c>
      <c r="N532" s="2" t="n">
        <v>0</v>
      </c>
      <c r="O532" s="2" t="n">
        <v>0</v>
      </c>
      <c r="P532" s="2" t="n">
        <v>0</v>
      </c>
      <c r="Q532" s="2" t="n">
        <v>0</v>
      </c>
      <c r="R532" s="30">
        <f>IF(AND($C$5&lt;&gt;"",$A532=$C$5),1,"")</f>
        <v/>
      </c>
      <c r="S532" s="21">
        <f>IF(AND($C$5&lt;&gt;"",$A532=$C$5),SUMIFS($G$8:$G$715,$A$8:$A$715,$C$5,$B$8:$B$715,"&lt;="&amp;$B532),"")</f>
        <v/>
      </c>
      <c r="T532" s="24" t="n"/>
      <c r="U532" s="24" t="n"/>
    </row>
    <row r="533">
      <c r="A533" s="2" t="inlineStr">
        <is>
          <t>MYS-33</t>
        </is>
      </c>
      <c r="B533" s="2" t="n">
        <v>19</v>
      </c>
      <c r="C533" s="2" t="inlineStr">
        <is>
          <t>IMP00288</t>
        </is>
      </c>
      <c r="D533" s="2" t="inlineStr">
        <is>
          <t>Arden Fruits Enterprises</t>
        </is>
      </c>
      <c r="E533" s="2" t="n">
        <v>1</v>
      </c>
      <c r="F533" s="27" t="n">
        <v>857734.51</v>
      </c>
      <c r="G533" s="28" t="n">
        <v>0.002</v>
      </c>
      <c r="H533" s="19" t="n">
        <v>1.184</v>
      </c>
      <c r="I533" s="29" t="n">
        <v>0</v>
      </c>
      <c r="J533" s="2" t="inlineStr">
        <is>
          <t>EXP0258</t>
        </is>
      </c>
      <c r="K533" s="2" t="n">
        <v>1</v>
      </c>
      <c r="L533" s="2" t="inlineStr">
        <is>
          <t>BRK016</t>
        </is>
      </c>
      <c r="M533" s="2" t="inlineStr">
        <is>
          <t>PORT3</t>
        </is>
      </c>
      <c r="N533" s="2" t="n">
        <v>0</v>
      </c>
      <c r="O533" s="2" t="n">
        <v>1</v>
      </c>
      <c r="P533" s="2" t="n">
        <v>0</v>
      </c>
      <c r="Q533" s="2" t="n">
        <v>0</v>
      </c>
      <c r="R533" s="30">
        <f>IF(AND($C$5&lt;&gt;"",$A533=$C$5),1,"")</f>
        <v/>
      </c>
      <c r="S533" s="21">
        <f>IF(AND($C$5&lt;&gt;"",$A533=$C$5),SUMIFS($G$8:$G$715,$A$8:$A$715,$C$5,$B$8:$B$715,"&lt;="&amp;$B533),"")</f>
        <v/>
      </c>
      <c r="T533" s="24" t="n"/>
      <c r="U533" s="24" t="n"/>
    </row>
    <row r="534">
      <c r="A534" s="2" t="inlineStr">
        <is>
          <t>MYS-33</t>
        </is>
      </c>
      <c r="B534" s="2" t="n">
        <v>20</v>
      </c>
      <c r="C534" s="2" t="inlineStr">
        <is>
          <t>IMP00413</t>
        </is>
      </c>
      <c r="D534" s="2" t="inlineStr">
        <is>
          <t>Aldergate Agro Co.</t>
        </is>
      </c>
      <c r="E534" s="2" t="n">
        <v>1</v>
      </c>
      <c r="F534" s="27" t="n">
        <v>787890.28</v>
      </c>
      <c r="G534" s="28" t="n">
        <v>0.0018</v>
      </c>
      <c r="H534" s="19" t="n">
        <v>0.876</v>
      </c>
      <c r="I534" s="29" t="n">
        <v>0</v>
      </c>
      <c r="J534" s="2" t="inlineStr">
        <is>
          <t>EXP0128</t>
        </is>
      </c>
      <c r="K534" s="2" t="n">
        <v>1</v>
      </c>
      <c r="L534" s="2" t="inlineStr">
        <is>
          <t>BRK001</t>
        </is>
      </c>
      <c r="M534" s="2" t="inlineStr">
        <is>
          <t>LAND1</t>
        </is>
      </c>
      <c r="N534" s="2" t="n">
        <v>0</v>
      </c>
      <c r="O534" s="2" t="n">
        <v>0</v>
      </c>
      <c r="P534" s="2" t="n">
        <v>0</v>
      </c>
      <c r="Q534" s="2" t="n">
        <v>0</v>
      </c>
      <c r="R534" s="30">
        <f>IF(AND($C$5&lt;&gt;"",$A534=$C$5),1,"")</f>
        <v/>
      </c>
      <c r="S534" s="21">
        <f>IF(AND($C$5&lt;&gt;"",$A534=$C$5),SUMIFS($G$8:$G$715,$A$8:$A$715,$C$5,$B$8:$B$715,"&lt;="&amp;$B534),"")</f>
        <v/>
      </c>
      <c r="T534" s="24" t="n"/>
      <c r="U534" s="24" t="n"/>
    </row>
    <row r="535">
      <c r="A535" s="2" t="inlineStr">
        <is>
          <t>MYS-33</t>
        </is>
      </c>
      <c r="B535" s="2" t="n">
        <v>21</v>
      </c>
      <c r="C535" s="2" t="inlineStr">
        <is>
          <t>IMP01254</t>
        </is>
      </c>
      <c r="D535" s="2" t="inlineStr">
        <is>
          <t>Phoenix Supply Holdings Ltd</t>
        </is>
      </c>
      <c r="E535" s="2" t="n">
        <v>1</v>
      </c>
      <c r="F535" s="27" t="n">
        <v>719365.6899999999</v>
      </c>
      <c r="G535" s="28" t="n">
        <v>0.0017</v>
      </c>
      <c r="H535" s="19" t="n">
        <v>0.672</v>
      </c>
      <c r="I535" s="29" t="n">
        <v>1</v>
      </c>
      <c r="J535" s="2" t="inlineStr">
        <is>
          <t>EXP0181</t>
        </is>
      </c>
      <c r="K535" s="2" t="n">
        <v>4</v>
      </c>
      <c r="L535" s="2" t="inlineStr">
        <is>
          <t>BRK055</t>
        </is>
      </c>
      <c r="M535" s="2" t="inlineStr">
        <is>
          <t>LAND2</t>
        </is>
      </c>
      <c r="N535" s="2" t="n">
        <v>0</v>
      </c>
      <c r="O535" s="2" t="n">
        <v>0</v>
      </c>
      <c r="P535" s="2" t="n">
        <v>1</v>
      </c>
      <c r="Q535" s="2" t="n">
        <v>0</v>
      </c>
      <c r="R535" s="30">
        <f>IF(AND($C$5&lt;&gt;"",$A535=$C$5),1,"")</f>
        <v/>
      </c>
      <c r="S535" s="21">
        <f>IF(AND($C$5&lt;&gt;"",$A535=$C$5),SUMIFS($G$8:$G$715,$A$8:$A$715,$C$5,$B$8:$B$715,"&lt;="&amp;$B535),"")</f>
        <v/>
      </c>
      <c r="T535" s="24" t="n"/>
      <c r="U535" s="24" t="n"/>
    </row>
    <row r="536">
      <c r="A536" s="2" t="inlineStr">
        <is>
          <t>MYS-33</t>
        </is>
      </c>
      <c r="B536" s="2" t="n">
        <v>22</v>
      </c>
      <c r="C536" s="2" t="inlineStr">
        <is>
          <t>IMP00557</t>
        </is>
      </c>
      <c r="D536" s="2" t="inlineStr">
        <is>
          <t>Northern Electronics Co., Ltd</t>
        </is>
      </c>
      <c r="E536" s="2" t="n">
        <v>1</v>
      </c>
      <c r="F536" s="27" t="n">
        <v>481512.91</v>
      </c>
      <c r="G536" s="28" t="n">
        <v>0.0011</v>
      </c>
      <c r="H536" s="19" t="n">
        <v>0.793</v>
      </c>
      <c r="I536" s="29" t="n">
        <v>0</v>
      </c>
      <c r="J536" s="2" t="inlineStr">
        <is>
          <t>EXP0181</t>
        </is>
      </c>
      <c r="K536" s="2" t="n">
        <v>4</v>
      </c>
      <c r="L536" s="2" t="inlineStr">
        <is>
          <t>BRK049</t>
        </is>
      </c>
      <c r="M536" s="2" t="inlineStr">
        <is>
          <t>PORT2</t>
        </is>
      </c>
      <c r="N536" s="2" t="n">
        <v>0</v>
      </c>
      <c r="O536" s="2" t="n">
        <v>0</v>
      </c>
      <c r="P536" s="2" t="n">
        <v>0</v>
      </c>
      <c r="Q536" s="2" t="n">
        <v>0</v>
      </c>
      <c r="R536" s="30">
        <f>IF(AND($C$5&lt;&gt;"",$A536=$C$5),1,"")</f>
        <v/>
      </c>
      <c r="S536" s="21">
        <f>IF(AND($C$5&lt;&gt;"",$A536=$C$5),SUMIFS($G$8:$G$715,$A$8:$A$715,$C$5,$B$8:$B$715,"&lt;="&amp;$B536),"")</f>
        <v/>
      </c>
      <c r="T536" s="24" t="n"/>
      <c r="U536" s="24" t="n"/>
    </row>
    <row r="537">
      <c r="A537" s="2" t="inlineStr">
        <is>
          <t>MYS-33</t>
        </is>
      </c>
      <c r="B537" s="2" t="n">
        <v>23</v>
      </c>
      <c r="C537" s="2" t="inlineStr">
        <is>
          <t>IMP01357</t>
        </is>
      </c>
      <c r="D537" s="2" t="inlineStr">
        <is>
          <t>Ashcombe Commercial Enterprises</t>
        </is>
      </c>
      <c r="E537" s="2" t="n">
        <v>1</v>
      </c>
      <c r="F537" s="27" t="n">
        <v>477300.7</v>
      </c>
      <c r="G537" s="28" t="n">
        <v>0.0011</v>
      </c>
      <c r="H537" s="19" t="n">
        <v>0.732</v>
      </c>
      <c r="I537" s="29" t="n">
        <v>1</v>
      </c>
      <c r="J537" s="2" t="inlineStr">
        <is>
          <t>EXP0206</t>
        </is>
      </c>
      <c r="K537" s="2" t="n">
        <v>3</v>
      </c>
      <c r="L537" s="2" t="inlineStr">
        <is>
          <t>BRK042</t>
        </is>
      </c>
      <c r="M537" s="2" t="inlineStr">
        <is>
          <t>PORT3</t>
        </is>
      </c>
      <c r="N537" s="2" t="n">
        <v>0</v>
      </c>
      <c r="O537" s="2" t="n">
        <v>0</v>
      </c>
      <c r="P537" s="2" t="n">
        <v>0</v>
      </c>
      <c r="Q537" s="2" t="n">
        <v>0</v>
      </c>
      <c r="R537" s="30">
        <f>IF(AND($C$5&lt;&gt;"",$A537=$C$5),1,"")</f>
        <v/>
      </c>
      <c r="S537" s="21">
        <f>IF(AND($C$5&lt;&gt;"",$A537=$C$5),SUMIFS($G$8:$G$715,$A$8:$A$715,$C$5,$B$8:$B$715,"&lt;="&amp;$B537),"")</f>
        <v/>
      </c>
      <c r="T537" s="24" t="n"/>
      <c r="U537" s="24" t="n"/>
    </row>
    <row r="538">
      <c r="A538" s="2" t="inlineStr">
        <is>
          <t>MYS-33</t>
        </is>
      </c>
      <c r="B538" s="2" t="n">
        <v>24</v>
      </c>
      <c r="C538" s="2" t="inlineStr">
        <is>
          <t>IMP00905</t>
        </is>
      </c>
      <c r="D538" s="2" t="inlineStr">
        <is>
          <t>Summit Agro Holdings Ltd</t>
        </is>
      </c>
      <c r="E538" s="2" t="n">
        <v>1</v>
      </c>
      <c r="F538" s="27" t="n">
        <v>325145.32</v>
      </c>
      <c r="G538" s="28" t="n">
        <v>0.0008</v>
      </c>
      <c r="H538" s="19" t="n">
        <v>1.098</v>
      </c>
      <c r="I538" s="29" t="n">
        <v>0</v>
      </c>
      <c r="J538" s="2" t="inlineStr">
        <is>
          <t>EXP0339</t>
        </is>
      </c>
      <c r="K538" s="2" t="n">
        <v>1</v>
      </c>
      <c r="L538" s="2" t="inlineStr">
        <is>
          <t>BRK023</t>
        </is>
      </c>
      <c r="M538" s="2" t="inlineStr">
        <is>
          <t>PORT3</t>
        </is>
      </c>
      <c r="N538" s="2" t="n">
        <v>0</v>
      </c>
      <c r="O538" s="2" t="n">
        <v>0</v>
      </c>
      <c r="P538" s="2" t="n">
        <v>0</v>
      </c>
      <c r="Q538" s="2" t="n">
        <v>0</v>
      </c>
      <c r="R538" s="30">
        <f>IF(AND($C$5&lt;&gt;"",$A538=$C$5),1,"")</f>
        <v/>
      </c>
      <c r="S538" s="21">
        <f>IF(AND($C$5&lt;&gt;"",$A538=$C$5),SUMIFS($G$8:$G$715,$A$8:$A$715,$C$5,$B$8:$B$715,"&lt;="&amp;$B538),"")</f>
        <v/>
      </c>
      <c r="T538" s="24" t="n"/>
      <c r="U538" s="24" t="n"/>
    </row>
    <row r="539">
      <c r="A539" s="2" t="inlineStr">
        <is>
          <t>MYS-39</t>
        </is>
      </c>
      <c r="B539" s="2" t="n">
        <v>1</v>
      </c>
      <c r="C539" s="2" t="inlineStr">
        <is>
          <t>IMP00427</t>
        </is>
      </c>
      <c r="D539" s="2" t="inlineStr">
        <is>
          <t>Arden Logistics Limited</t>
        </is>
      </c>
      <c r="E539" s="2" t="n">
        <v>62</v>
      </c>
      <c r="F539" s="27" t="n">
        <v>47334667.65</v>
      </c>
      <c r="G539" s="28" t="n">
        <v>0.2363</v>
      </c>
      <c r="H539" s="19" t="n">
        <v>0.955</v>
      </c>
      <c r="I539" s="29" t="n">
        <v>0.0968</v>
      </c>
      <c r="J539" s="2" t="inlineStr">
        <is>
          <t>EXP0336</t>
        </is>
      </c>
      <c r="K539" s="2" t="n">
        <v>1</v>
      </c>
      <c r="L539" s="2" t="inlineStr">
        <is>
          <t>BRK061</t>
        </is>
      </c>
      <c r="M539" s="2" t="inlineStr">
        <is>
          <t>PORT1</t>
        </is>
      </c>
      <c r="N539" s="2" t="n">
        <v>0</v>
      </c>
      <c r="O539" s="2" t="n">
        <v>0</v>
      </c>
      <c r="P539" s="2" t="n">
        <v>0</v>
      </c>
      <c r="Q539" s="2" t="n">
        <v>0</v>
      </c>
      <c r="R539" s="30">
        <f>IF(AND($C$5&lt;&gt;"",$A539=$C$5),1,"")</f>
        <v/>
      </c>
      <c r="S539" s="21">
        <f>IF(AND($C$5&lt;&gt;"",$A539=$C$5),SUMIFS($G$8:$G$715,$A$8:$A$715,$C$5,$B$8:$B$715,"&lt;="&amp;$B539),"")</f>
        <v/>
      </c>
      <c r="T539" s="24" t="n"/>
      <c r="U539" s="24" t="n"/>
    </row>
    <row r="540">
      <c r="A540" s="2" t="inlineStr">
        <is>
          <t>MYS-39</t>
        </is>
      </c>
      <c r="B540" s="2" t="n">
        <v>2</v>
      </c>
      <c r="C540" s="2" t="inlineStr">
        <is>
          <t>IMP00676</t>
        </is>
      </c>
      <c r="D540" s="2" t="inlineStr">
        <is>
          <t>Cobalt Pack Co.</t>
        </is>
      </c>
      <c r="E540" s="2" t="n">
        <v>50</v>
      </c>
      <c r="F540" s="27" t="n">
        <v>21708509.18</v>
      </c>
      <c r="G540" s="28" t="n">
        <v>0.1084</v>
      </c>
      <c r="H540" s="19" t="n">
        <v>0.974</v>
      </c>
      <c r="I540" s="29" t="n">
        <v>0.02</v>
      </c>
      <c r="J540" s="2" t="inlineStr">
        <is>
          <t>EXP0371</t>
        </is>
      </c>
      <c r="K540" s="2" t="n">
        <v>5</v>
      </c>
      <c r="L540" s="2" t="inlineStr">
        <is>
          <t>BRK006</t>
        </is>
      </c>
      <c r="M540" s="2" t="inlineStr">
        <is>
          <t>PORT1</t>
        </is>
      </c>
      <c r="N540" s="2" t="n">
        <v>0</v>
      </c>
      <c r="O540" s="2" t="n">
        <v>0</v>
      </c>
      <c r="P540" s="2" t="n">
        <v>0</v>
      </c>
      <c r="Q540" s="2" t="n">
        <v>0</v>
      </c>
      <c r="R540" s="30">
        <f>IF(AND($C$5&lt;&gt;"",$A540=$C$5),1,"")</f>
        <v/>
      </c>
      <c r="S540" s="21">
        <f>IF(AND($C$5&lt;&gt;"",$A540=$C$5),SUMIFS($G$8:$G$715,$A$8:$A$715,$C$5,$B$8:$B$715,"&lt;="&amp;$B540),"")</f>
        <v/>
      </c>
      <c r="T540" s="24" t="n"/>
      <c r="U540" s="24" t="n"/>
    </row>
    <row r="541">
      <c r="A541" s="2" t="inlineStr">
        <is>
          <t>MYS-39</t>
        </is>
      </c>
      <c r="B541" s="2" t="n">
        <v>3</v>
      </c>
      <c r="C541" s="2" t="inlineStr">
        <is>
          <t>IMP01486</t>
        </is>
      </c>
      <c r="D541" s="2" t="inlineStr">
        <is>
          <t>Twin Rivers Commercial Co.</t>
        </is>
      </c>
      <c r="E541" s="2" t="n">
        <v>37</v>
      </c>
      <c r="F541" s="27" t="n">
        <v>18543351.8</v>
      </c>
      <c r="G541" s="28" t="n">
        <v>0.0926</v>
      </c>
      <c r="H541" s="19" t="n">
        <v>0.961</v>
      </c>
      <c r="I541" s="29" t="n">
        <v>0</v>
      </c>
      <c r="J541" s="2" t="inlineStr">
        <is>
          <t>EXP0090</t>
        </is>
      </c>
      <c r="K541" s="2" t="n">
        <v>4</v>
      </c>
      <c r="L541" s="2" t="inlineStr">
        <is>
          <t>BRK078</t>
        </is>
      </c>
      <c r="M541" s="2" t="inlineStr">
        <is>
          <t>AIR2</t>
        </is>
      </c>
      <c r="N541" s="2" t="n">
        <v>0</v>
      </c>
      <c r="O541" s="2" t="n">
        <v>0</v>
      </c>
      <c r="P541" s="2" t="n">
        <v>0</v>
      </c>
      <c r="Q541" s="2" t="n">
        <v>0</v>
      </c>
      <c r="R541" s="30">
        <f>IF(AND($C$5&lt;&gt;"",$A541=$C$5),1,"")</f>
        <v/>
      </c>
      <c r="S541" s="21">
        <f>IF(AND($C$5&lt;&gt;"",$A541=$C$5),SUMIFS($G$8:$G$715,$A$8:$A$715,$C$5,$B$8:$B$715,"&lt;="&amp;$B541),"")</f>
        <v/>
      </c>
      <c r="T541" s="24" t="n"/>
      <c r="U541" s="24" t="n"/>
    </row>
    <row r="542">
      <c r="A542" s="2" t="inlineStr">
        <is>
          <t>MYS-39</t>
        </is>
      </c>
      <c r="B542" s="2" t="n">
        <v>4</v>
      </c>
      <c r="C542" s="2" t="inlineStr">
        <is>
          <t>IMP01106</t>
        </is>
      </c>
      <c r="D542" s="2" t="inlineStr">
        <is>
          <t>Blue Ocean Glow Co., Ltd</t>
        </is>
      </c>
      <c r="E542" s="2" t="n">
        <v>32</v>
      </c>
      <c r="F542" s="27" t="n">
        <v>13661998.28</v>
      </c>
      <c r="G542" s="28" t="n">
        <v>0.0682</v>
      </c>
      <c r="H542" s="19" t="n">
        <v>0.955</v>
      </c>
      <c r="I542" s="29" t="n">
        <v>0.0312</v>
      </c>
      <c r="J542" s="2" t="inlineStr">
        <is>
          <t>EXP0185</t>
        </is>
      </c>
      <c r="K542" s="2" t="n">
        <v>4</v>
      </c>
      <c r="L542" s="2" t="inlineStr">
        <is>
          <t>BRK073</t>
        </is>
      </c>
      <c r="M542" s="2" t="inlineStr">
        <is>
          <t>PORT3</t>
        </is>
      </c>
      <c r="N542" s="2" t="n">
        <v>0</v>
      </c>
      <c r="O542" s="2" t="n">
        <v>0</v>
      </c>
      <c r="P542" s="2" t="n">
        <v>0</v>
      </c>
      <c r="Q542" s="2" t="n">
        <v>0</v>
      </c>
      <c r="R542" s="30">
        <f>IF(AND($C$5&lt;&gt;"",$A542=$C$5),1,"")</f>
        <v/>
      </c>
      <c r="S542" s="21">
        <f>IF(AND($C$5&lt;&gt;"",$A542=$C$5),SUMIFS($G$8:$G$715,$A$8:$A$715,$C$5,$B$8:$B$715,"&lt;="&amp;$B542),"")</f>
        <v/>
      </c>
      <c r="T542" s="24" t="n"/>
      <c r="U542" s="24" t="n"/>
    </row>
    <row r="543">
      <c r="A543" s="2" t="inlineStr">
        <is>
          <t>MYS-39</t>
        </is>
      </c>
      <c r="B543" s="2" t="n">
        <v>5</v>
      </c>
      <c r="C543" s="2" t="inlineStr">
        <is>
          <t>IMP00717</t>
        </is>
      </c>
      <c r="D543" s="2" t="inlineStr">
        <is>
          <t>Dunmore Mobile Partners Ltd</t>
        </is>
      </c>
      <c r="E543" s="2" t="n">
        <v>37</v>
      </c>
      <c r="F543" s="27" t="n">
        <v>12828912.19</v>
      </c>
      <c r="G543" s="28" t="n">
        <v>0.064</v>
      </c>
      <c r="H543" s="19" t="n">
        <v>0.951</v>
      </c>
      <c r="I543" s="29" t="n">
        <v>0</v>
      </c>
      <c r="J543" s="2" t="inlineStr">
        <is>
          <t>EXP0441</t>
        </is>
      </c>
      <c r="K543" s="2" t="n">
        <v>4</v>
      </c>
      <c r="L543" s="2" t="inlineStr">
        <is>
          <t>BRK013</t>
        </is>
      </c>
      <c r="M543" s="2" t="inlineStr">
        <is>
          <t>PORT1</t>
        </is>
      </c>
      <c r="N543" s="2" t="n">
        <v>0</v>
      </c>
      <c r="O543" s="2" t="n">
        <v>0</v>
      </c>
      <c r="P543" s="2" t="n">
        <v>0</v>
      </c>
      <c r="Q543" s="2" t="n">
        <v>0</v>
      </c>
      <c r="R543" s="30">
        <f>IF(AND($C$5&lt;&gt;"",$A543=$C$5),1,"")</f>
        <v/>
      </c>
      <c r="S543" s="21">
        <f>IF(AND($C$5&lt;&gt;"",$A543=$C$5),SUMIFS($G$8:$G$715,$A$8:$A$715,$C$5,$B$8:$B$715,"&lt;="&amp;$B543),"")</f>
        <v/>
      </c>
      <c r="T543" s="24" t="n"/>
      <c r="U543" s="24" t="n"/>
    </row>
    <row r="544">
      <c r="A544" s="2" t="inlineStr">
        <is>
          <t>MYS-39</t>
        </is>
      </c>
      <c r="B544" s="2" t="n">
        <v>6</v>
      </c>
      <c r="C544" s="2" t="inlineStr">
        <is>
          <t>IMP00679</t>
        </is>
      </c>
      <c r="D544" s="2" t="inlineStr">
        <is>
          <t>Coral Pack Group Ltd</t>
        </is>
      </c>
      <c r="E544" s="2" t="n">
        <v>23</v>
      </c>
      <c r="F544" s="27" t="n">
        <v>12729798.25</v>
      </c>
      <c r="G544" s="28" t="n">
        <v>0.0635</v>
      </c>
      <c r="H544" s="19" t="n">
        <v>1.034</v>
      </c>
      <c r="I544" s="29" t="n">
        <v>0.1739</v>
      </c>
      <c r="J544" s="2" t="inlineStr">
        <is>
          <t>EXP0183</t>
        </is>
      </c>
      <c r="K544" s="2" t="n">
        <v>4</v>
      </c>
      <c r="L544" s="2" t="inlineStr">
        <is>
          <t>BRK011</t>
        </is>
      </c>
      <c r="M544" s="2" t="inlineStr">
        <is>
          <t>PORT3</t>
        </is>
      </c>
      <c r="N544" s="2" t="n">
        <v>0</v>
      </c>
      <c r="O544" s="2" t="n">
        <v>0</v>
      </c>
      <c r="P544" s="2" t="n">
        <v>0</v>
      </c>
      <c r="Q544" s="2" t="n">
        <v>0</v>
      </c>
      <c r="R544" s="30">
        <f>IF(AND($C$5&lt;&gt;"",$A544=$C$5),1,"")</f>
        <v/>
      </c>
      <c r="S544" s="21">
        <f>IF(AND($C$5&lt;&gt;"",$A544=$C$5),SUMIFS($G$8:$G$715,$A$8:$A$715,$C$5,$B$8:$B$715,"&lt;="&amp;$B544),"")</f>
        <v/>
      </c>
      <c r="T544" s="24" t="n"/>
      <c r="U544" s="24" t="n"/>
    </row>
    <row r="545">
      <c r="A545" s="2" t="inlineStr">
        <is>
          <t>MYS-39</t>
        </is>
      </c>
      <c r="B545" s="2" t="n">
        <v>7</v>
      </c>
      <c r="C545" s="2" t="inlineStr">
        <is>
          <t>IMP01419</t>
        </is>
      </c>
      <c r="D545" s="2" t="inlineStr">
        <is>
          <t>Star Electronics Partners Ltd</t>
        </is>
      </c>
      <c r="E545" s="2" t="n">
        <v>22</v>
      </c>
      <c r="F545" s="27" t="n">
        <v>10742319.52</v>
      </c>
      <c r="G545" s="28" t="n">
        <v>0.0536</v>
      </c>
      <c r="H545" s="19" t="n">
        <v>0.9955000000000001</v>
      </c>
      <c r="I545" s="29" t="n">
        <v>0</v>
      </c>
      <c r="J545" s="2" t="inlineStr">
        <is>
          <t>EXP0335</t>
        </is>
      </c>
      <c r="K545" s="2" t="n">
        <v>6</v>
      </c>
      <c r="L545" s="2" t="inlineStr">
        <is>
          <t>BRK012</t>
        </is>
      </c>
      <c r="M545" s="2" t="inlineStr">
        <is>
          <t>LAND4</t>
        </is>
      </c>
      <c r="N545" s="2" t="n">
        <v>0</v>
      </c>
      <c r="O545" s="2" t="n">
        <v>0</v>
      </c>
      <c r="P545" s="2" t="n">
        <v>0</v>
      </c>
      <c r="Q545" s="2" t="n">
        <v>0</v>
      </c>
      <c r="R545" s="30">
        <f>IF(AND($C$5&lt;&gt;"",$A545=$C$5),1,"")</f>
        <v/>
      </c>
      <c r="S545" s="21">
        <f>IF(AND($C$5&lt;&gt;"",$A545=$C$5),SUMIFS($G$8:$G$715,$A$8:$A$715,$C$5,$B$8:$B$715,"&lt;="&amp;$B545),"")</f>
        <v/>
      </c>
      <c r="T545" s="24" t="n"/>
      <c r="U545" s="24" t="n"/>
    </row>
    <row r="546">
      <c r="A546" s="2" t="inlineStr">
        <is>
          <t>MYS-39</t>
        </is>
      </c>
      <c r="B546" s="2" t="n">
        <v>8</v>
      </c>
      <c r="C546" s="2" t="inlineStr">
        <is>
          <t>IMP00915</t>
        </is>
      </c>
      <c r="D546" s="2" t="inlineStr">
        <is>
          <t>Aldergate Distribution Holdings Ltd</t>
        </is>
      </c>
      <c r="E546" s="2" t="n">
        <v>17</v>
      </c>
      <c r="F546" s="27" t="n">
        <v>10149291.53</v>
      </c>
      <c r="G546" s="28" t="n">
        <v>0.0507</v>
      </c>
      <c r="H546" s="19" t="n">
        <v>1</v>
      </c>
      <c r="I546" s="29" t="n">
        <v>0</v>
      </c>
      <c r="J546" s="2" t="inlineStr">
        <is>
          <t>EXP0371</t>
        </is>
      </c>
      <c r="K546" s="2" t="n">
        <v>5</v>
      </c>
      <c r="L546" s="2" t="inlineStr">
        <is>
          <t>BRK037</t>
        </is>
      </c>
      <c r="M546" s="2" t="inlineStr">
        <is>
          <t>PORT1</t>
        </is>
      </c>
      <c r="N546" s="2" t="n">
        <v>0</v>
      </c>
      <c r="O546" s="2" t="n">
        <v>0</v>
      </c>
      <c r="P546" s="2" t="n">
        <v>0</v>
      </c>
      <c r="Q546" s="2" t="n">
        <v>0</v>
      </c>
      <c r="R546" s="30">
        <f>IF(AND($C$5&lt;&gt;"",$A546=$C$5),1,"")</f>
        <v/>
      </c>
      <c r="S546" s="21">
        <f>IF(AND($C$5&lt;&gt;"",$A546=$C$5),SUMIFS($G$8:$G$715,$A$8:$A$715,$C$5,$B$8:$B$715,"&lt;="&amp;$B546),"")</f>
        <v/>
      </c>
      <c r="T546" s="24" t="n"/>
      <c r="U546" s="24" t="n"/>
    </row>
    <row r="547">
      <c r="A547" s="2" t="inlineStr">
        <is>
          <t>MYS-39</t>
        </is>
      </c>
      <c r="B547" s="2" t="n">
        <v>9</v>
      </c>
      <c r="C547" s="2" t="inlineStr">
        <is>
          <t>IMP00818</t>
        </is>
      </c>
      <c r="D547" s="2" t="inlineStr">
        <is>
          <t>Meridian Trading Limited</t>
        </is>
      </c>
      <c r="E547" s="2" t="n">
        <v>18</v>
      </c>
      <c r="F547" s="27" t="n">
        <v>9655841.390000001</v>
      </c>
      <c r="G547" s="28" t="n">
        <v>0.0482</v>
      </c>
      <c r="H547" s="19" t="n">
        <v>0.9350000000000001</v>
      </c>
      <c r="I547" s="29" t="n">
        <v>0</v>
      </c>
      <c r="J547" s="2" t="inlineStr">
        <is>
          <t>EXP0212</t>
        </is>
      </c>
      <c r="K547" s="2" t="n">
        <v>5</v>
      </c>
      <c r="L547" s="2" t="inlineStr">
        <is>
          <t>BRK059</t>
        </is>
      </c>
      <c r="M547" s="2" t="inlineStr">
        <is>
          <t>AIR1</t>
        </is>
      </c>
      <c r="N547" s="2" t="n">
        <v>0</v>
      </c>
      <c r="O547" s="2" t="n">
        <v>0</v>
      </c>
      <c r="P547" s="2" t="n">
        <v>0</v>
      </c>
      <c r="Q547" s="2" t="n">
        <v>0</v>
      </c>
      <c r="R547" s="30">
        <f>IF(AND($C$5&lt;&gt;"",$A547=$C$5),1,"")</f>
        <v/>
      </c>
      <c r="S547" s="21">
        <f>IF(AND($C$5&lt;&gt;"",$A547=$C$5),SUMIFS($G$8:$G$715,$A$8:$A$715,$C$5,$B$8:$B$715,"&lt;="&amp;$B547),"")</f>
        <v/>
      </c>
      <c r="T547" s="24" t="n"/>
      <c r="U547" s="24" t="n"/>
    </row>
    <row r="548">
      <c r="A548" s="2" t="inlineStr">
        <is>
          <t>MYS-39</t>
        </is>
      </c>
      <c r="B548" s="2" t="n">
        <v>10</v>
      </c>
      <c r="C548" s="2" t="inlineStr">
        <is>
          <t>IMP01011</t>
        </is>
      </c>
      <c r="D548" s="2" t="inlineStr">
        <is>
          <t>Phoenix Steel International Ltd</t>
        </is>
      </c>
      <c r="E548" s="2" t="n">
        <v>18</v>
      </c>
      <c r="F548" s="27" t="n">
        <v>8312618.9</v>
      </c>
      <c r="G548" s="28" t="n">
        <v>0.0415</v>
      </c>
      <c r="H548" s="19" t="n">
        <v>0.891</v>
      </c>
      <c r="I548" s="29" t="n">
        <v>0.2778</v>
      </c>
      <c r="J548" s="2" t="inlineStr">
        <is>
          <t>EXP0571</t>
        </is>
      </c>
      <c r="K548" s="2" t="n">
        <v>5</v>
      </c>
      <c r="L548" s="2" t="inlineStr">
        <is>
          <t>BRK023</t>
        </is>
      </c>
      <c r="M548" s="2" t="inlineStr">
        <is>
          <t>PORT2</t>
        </is>
      </c>
      <c r="N548" s="2" t="n">
        <v>0</v>
      </c>
      <c r="O548" s="2" t="n">
        <v>0</v>
      </c>
      <c r="P548" s="2" t="n">
        <v>0</v>
      </c>
      <c r="Q548" s="2" t="n">
        <v>0</v>
      </c>
      <c r="R548" s="30">
        <f>IF(AND($C$5&lt;&gt;"",$A548=$C$5),1,"")</f>
        <v/>
      </c>
      <c r="S548" s="21">
        <f>IF(AND($C$5&lt;&gt;"",$A548=$C$5),SUMIFS($G$8:$G$715,$A$8:$A$715,$C$5,$B$8:$B$715,"&lt;="&amp;$B548),"")</f>
        <v/>
      </c>
      <c r="T548" s="24" t="n"/>
      <c r="U548" s="24" t="n"/>
    </row>
    <row r="549">
      <c r="A549" s="2" t="inlineStr">
        <is>
          <t>MYS-39</t>
        </is>
      </c>
      <c r="B549" s="2" t="n">
        <v>11</v>
      </c>
      <c r="C549" s="2" t="inlineStr">
        <is>
          <t>IMP00654</t>
        </is>
      </c>
      <c r="D549" s="2" t="inlineStr">
        <is>
          <t>Global Pack Co., Ltd</t>
        </is>
      </c>
      <c r="E549" s="2" t="n">
        <v>6</v>
      </c>
      <c r="F549" s="27" t="n">
        <v>6724749.06</v>
      </c>
      <c r="G549" s="28" t="n">
        <v>0.0336</v>
      </c>
      <c r="H549" s="19" t="n">
        <v>0.825</v>
      </c>
      <c r="I549" s="29" t="n">
        <v>0</v>
      </c>
      <c r="J549" s="2" t="inlineStr">
        <is>
          <t>EXP0349</t>
        </is>
      </c>
      <c r="K549" s="2" t="n">
        <v>5</v>
      </c>
      <c r="L549" s="2" t="inlineStr">
        <is>
          <t>BRK009</t>
        </is>
      </c>
      <c r="M549" s="2" t="inlineStr">
        <is>
          <t>PORT3</t>
        </is>
      </c>
      <c r="N549" s="2" t="n">
        <v>0</v>
      </c>
      <c r="O549" s="2" t="n">
        <v>0</v>
      </c>
      <c r="P549" s="2" t="n">
        <v>0</v>
      </c>
      <c r="Q549" s="2" t="n">
        <v>0</v>
      </c>
      <c r="R549" s="30">
        <f>IF(AND($C$5&lt;&gt;"",$A549=$C$5),1,"")</f>
        <v/>
      </c>
      <c r="S549" s="21">
        <f>IF(AND($C$5&lt;&gt;"",$A549=$C$5),SUMIFS($G$8:$G$715,$A$8:$A$715,$C$5,$B$8:$B$715,"&lt;="&amp;$B549),"")</f>
        <v/>
      </c>
      <c r="T549" s="24" t="n"/>
      <c r="U549" s="24" t="n"/>
    </row>
    <row r="550">
      <c r="A550" s="2" t="inlineStr">
        <is>
          <t>MYS-39</t>
        </is>
      </c>
      <c r="B550" s="2" t="n">
        <v>12</v>
      </c>
      <c r="C550" s="2" t="inlineStr">
        <is>
          <t>IMP00435</t>
        </is>
      </c>
      <c r="D550" s="2" t="inlineStr">
        <is>
          <t>Delta Agro &amp; Sons</t>
        </is>
      </c>
      <c r="E550" s="2" t="n">
        <v>8</v>
      </c>
      <c r="F550" s="27" t="n">
        <v>4596839.11</v>
      </c>
      <c r="G550" s="28" t="n">
        <v>0.0229</v>
      </c>
      <c r="H550" s="19" t="n">
        <v>0.919</v>
      </c>
      <c r="I550" s="29" t="n">
        <v>0</v>
      </c>
      <c r="J550" s="2" t="inlineStr">
        <is>
          <t>EXP0349</t>
        </is>
      </c>
      <c r="K550" s="2" t="n">
        <v>5</v>
      </c>
      <c r="L550" s="2" t="inlineStr">
        <is>
          <t>BRK079</t>
        </is>
      </c>
      <c r="M550" s="2" t="inlineStr">
        <is>
          <t>PORT1</t>
        </is>
      </c>
      <c r="N550" s="2" t="n">
        <v>0</v>
      </c>
      <c r="O550" s="2" t="n">
        <v>0</v>
      </c>
      <c r="P550" s="2" t="n">
        <v>0</v>
      </c>
      <c r="Q550" s="2" t="n">
        <v>0</v>
      </c>
      <c r="R550" s="30">
        <f>IF(AND($C$5&lt;&gt;"",$A550=$C$5),1,"")</f>
        <v/>
      </c>
      <c r="S550" s="21">
        <f>IF(AND($C$5&lt;&gt;"",$A550=$C$5),SUMIFS($G$8:$G$715,$A$8:$A$715,$C$5,$B$8:$B$715,"&lt;="&amp;$B550),"")</f>
        <v/>
      </c>
      <c r="T550" s="24" t="n"/>
      <c r="U550" s="24" t="n"/>
    </row>
    <row r="551">
      <c r="A551" s="2" t="inlineStr">
        <is>
          <t>MYS-39</t>
        </is>
      </c>
      <c r="B551" s="2" t="n">
        <v>13</v>
      </c>
      <c r="C551" s="2" t="inlineStr">
        <is>
          <t>IMP00898</t>
        </is>
      </c>
      <c r="D551" s="2" t="inlineStr">
        <is>
          <t>Great Vellmoor Textiles Ltd</t>
        </is>
      </c>
      <c r="E551" s="2" t="n">
        <v>3</v>
      </c>
      <c r="F551" s="27" t="n">
        <v>2948247.4</v>
      </c>
      <c r="G551" s="28" t="n">
        <v>0.0147</v>
      </c>
      <c r="H551" s="19" t="n">
        <v>1.085</v>
      </c>
      <c r="I551" s="29" t="n">
        <v>0</v>
      </c>
      <c r="J551" s="2" t="inlineStr">
        <is>
          <t>EXP0041</t>
        </is>
      </c>
      <c r="K551" s="2" t="n">
        <v>3</v>
      </c>
      <c r="L551" s="2" t="inlineStr">
        <is>
          <t>BRK008</t>
        </is>
      </c>
      <c r="M551" s="2" t="inlineStr">
        <is>
          <t>PORT1</t>
        </is>
      </c>
      <c r="N551" s="2" t="n">
        <v>0</v>
      </c>
      <c r="O551" s="2" t="n">
        <v>0</v>
      </c>
      <c r="P551" s="2" t="n">
        <v>0</v>
      </c>
      <c r="Q551" s="2" t="n">
        <v>0</v>
      </c>
      <c r="R551" s="30">
        <f>IF(AND($C$5&lt;&gt;"",$A551=$C$5),1,"")</f>
        <v/>
      </c>
      <c r="S551" s="21">
        <f>IF(AND($C$5&lt;&gt;"",$A551=$C$5),SUMIFS($G$8:$G$715,$A$8:$A$715,$C$5,$B$8:$B$715,"&lt;="&amp;$B551),"")</f>
        <v/>
      </c>
      <c r="T551" s="24" t="n"/>
      <c r="U551" s="24" t="n"/>
    </row>
    <row r="552">
      <c r="A552" s="2" t="inlineStr">
        <is>
          <t>MYS-39</t>
        </is>
      </c>
      <c r="B552" s="2" t="n">
        <v>14</v>
      </c>
      <c r="C552" s="2" t="inlineStr">
        <is>
          <t>IMP00055</t>
        </is>
      </c>
      <c r="D552" s="2" t="inlineStr">
        <is>
          <t>Aldergate Steel Group Ltd</t>
        </is>
      </c>
      <c r="E552" s="2" t="n">
        <v>7</v>
      </c>
      <c r="F552" s="27" t="n">
        <v>2479019.54</v>
      </c>
      <c r="G552" s="28" t="n">
        <v>0.0124</v>
      </c>
      <c r="H552" s="19" t="n">
        <v>0.845</v>
      </c>
      <c r="I552" s="29" t="n">
        <v>0</v>
      </c>
      <c r="J552" s="2" t="inlineStr">
        <is>
          <t>EXP0212</t>
        </is>
      </c>
      <c r="K552" s="2" t="n">
        <v>5</v>
      </c>
      <c r="L552" s="2" t="inlineStr">
        <is>
          <t>BRK067</t>
        </is>
      </c>
      <c r="M552" s="2" t="inlineStr">
        <is>
          <t>AIR2</t>
        </is>
      </c>
      <c r="N552" s="2" t="n">
        <v>0</v>
      </c>
      <c r="O552" s="2" t="n">
        <v>0</v>
      </c>
      <c r="P552" s="2" t="n">
        <v>0</v>
      </c>
      <c r="Q552" s="2" t="n">
        <v>0</v>
      </c>
      <c r="R552" s="30">
        <f>IF(AND($C$5&lt;&gt;"",$A552=$C$5),1,"")</f>
        <v/>
      </c>
      <c r="S552" s="21">
        <f>IF(AND($C$5&lt;&gt;"",$A552=$C$5),SUMIFS($G$8:$G$715,$A$8:$A$715,$C$5,$B$8:$B$715,"&lt;="&amp;$B552),"")</f>
        <v/>
      </c>
      <c r="T552" s="24" t="n"/>
      <c r="U552" s="24" t="n"/>
    </row>
    <row r="553">
      <c r="A553" s="2" t="inlineStr">
        <is>
          <t>MYS-39</t>
        </is>
      </c>
      <c r="B553" s="2" t="n">
        <v>15</v>
      </c>
      <c r="C553" s="2" t="inlineStr">
        <is>
          <t>IMP01297</t>
        </is>
      </c>
      <c r="D553" s="2" t="inlineStr">
        <is>
          <t>Metro Distribution Co., Ltd</t>
        </is>
      </c>
      <c r="E553" s="2" t="n">
        <v>2</v>
      </c>
      <c r="F553" s="27" t="n">
        <v>2424928.61</v>
      </c>
      <c r="G553" s="28" t="n">
        <v>0.0121</v>
      </c>
      <c r="H553" s="19" t="n">
        <v>1.3125</v>
      </c>
      <c r="I553" s="29" t="n">
        <v>0</v>
      </c>
      <c r="J553" s="2" t="inlineStr">
        <is>
          <t>EXP0441</t>
        </is>
      </c>
      <c r="K553" s="2" t="n">
        <v>4</v>
      </c>
      <c r="L553" s="2" t="inlineStr">
        <is>
          <t>BRK001</t>
        </is>
      </c>
      <c r="M553" s="2" t="inlineStr">
        <is>
          <t>PORT3</t>
        </is>
      </c>
      <c r="N553" s="2" t="n">
        <v>0</v>
      </c>
      <c r="O553" s="2" t="n">
        <v>0</v>
      </c>
      <c r="P553" s="2" t="n">
        <v>0</v>
      </c>
      <c r="Q553" s="2" t="n">
        <v>0</v>
      </c>
      <c r="R553" s="30">
        <f>IF(AND($C$5&lt;&gt;"",$A553=$C$5),1,"")</f>
        <v/>
      </c>
      <c r="S553" s="21">
        <f>IF(AND($C$5&lt;&gt;"",$A553=$C$5),SUMIFS($G$8:$G$715,$A$8:$A$715,$C$5,$B$8:$B$715,"&lt;="&amp;$B553),"")</f>
        <v/>
      </c>
      <c r="T553" s="24" t="n"/>
      <c r="U553" s="24" t="n"/>
    </row>
    <row r="554">
      <c r="A554" s="2" t="inlineStr">
        <is>
          <t>MYS-39</t>
        </is>
      </c>
      <c r="B554" s="2" t="n">
        <v>16</v>
      </c>
      <c r="C554" s="2" t="inlineStr">
        <is>
          <t>IMP00522</t>
        </is>
      </c>
      <c r="D554" s="2" t="inlineStr">
        <is>
          <t>Evergreen Pack Limited</t>
        </is>
      </c>
      <c r="E554" s="2" t="n">
        <v>4</v>
      </c>
      <c r="F554" s="27" t="n">
        <v>2379675.58</v>
      </c>
      <c r="G554" s="28" t="n">
        <v>0.0119</v>
      </c>
      <c r="H554" s="19" t="n">
        <v>0.9705</v>
      </c>
      <c r="I554" s="29" t="n">
        <v>0</v>
      </c>
      <c r="J554" s="2" t="inlineStr">
        <is>
          <t>EXP0109</t>
        </is>
      </c>
      <c r="K554" s="2" t="n">
        <v>4</v>
      </c>
      <c r="L554" s="2" t="inlineStr">
        <is>
          <t>BRK062</t>
        </is>
      </c>
      <c r="M554" s="2" t="inlineStr">
        <is>
          <t>PORT2</t>
        </is>
      </c>
      <c r="N554" s="2" t="n">
        <v>0</v>
      </c>
      <c r="O554" s="2" t="n">
        <v>0</v>
      </c>
      <c r="P554" s="2" t="n">
        <v>0</v>
      </c>
      <c r="Q554" s="2" t="n">
        <v>0</v>
      </c>
      <c r="R554" s="30">
        <f>IF(AND($C$5&lt;&gt;"",$A554=$C$5),1,"")</f>
        <v/>
      </c>
      <c r="S554" s="21">
        <f>IF(AND($C$5&lt;&gt;"",$A554=$C$5),SUMIFS($G$8:$G$715,$A$8:$A$715,$C$5,$B$8:$B$715,"&lt;="&amp;$B554),"")</f>
        <v/>
      </c>
      <c r="T554" s="24" t="n"/>
      <c r="U554" s="24" t="n"/>
    </row>
    <row r="555">
      <c r="A555" s="2" t="inlineStr">
        <is>
          <t>MYS-39</t>
        </is>
      </c>
      <c r="B555" s="2" t="n">
        <v>17</v>
      </c>
      <c r="C555" s="2" t="inlineStr">
        <is>
          <t>IMP01464</t>
        </is>
      </c>
      <c r="D555" s="2" t="inlineStr">
        <is>
          <t>Silk Road Distribution Co.</t>
        </is>
      </c>
      <c r="E555" s="2" t="n">
        <v>3</v>
      </c>
      <c r="F555" s="27" t="n">
        <v>1472721.56</v>
      </c>
      <c r="G555" s="28" t="n">
        <v>0.0074</v>
      </c>
      <c r="H555" s="19" t="n">
        <v>0.962</v>
      </c>
      <c r="I555" s="29" t="n">
        <v>0</v>
      </c>
      <c r="J555" s="2" t="inlineStr">
        <is>
          <t>EXP0109</t>
        </is>
      </c>
      <c r="K555" s="2" t="n">
        <v>4</v>
      </c>
      <c r="L555" s="2" t="inlineStr">
        <is>
          <t>BRK066</t>
        </is>
      </c>
      <c r="M555" s="2" t="inlineStr">
        <is>
          <t>AIR2</t>
        </is>
      </c>
      <c r="N555" s="2" t="n">
        <v>0</v>
      </c>
      <c r="O555" s="2" t="n">
        <v>0</v>
      </c>
      <c r="P555" s="2" t="n">
        <v>0</v>
      </c>
      <c r="Q555" s="2" t="n">
        <v>0</v>
      </c>
      <c r="R555" s="30">
        <f>IF(AND($C$5&lt;&gt;"",$A555=$C$5),1,"")</f>
        <v/>
      </c>
      <c r="S555" s="21">
        <f>IF(AND($C$5&lt;&gt;"",$A555=$C$5),SUMIFS($G$8:$G$715,$A$8:$A$715,$C$5,$B$8:$B$715,"&lt;="&amp;$B555),"")</f>
        <v/>
      </c>
      <c r="T555" s="24" t="n"/>
      <c r="U555" s="24" t="n"/>
    </row>
    <row r="556">
      <c r="A556" s="2" t="inlineStr">
        <is>
          <t>MYS-39</t>
        </is>
      </c>
      <c r="B556" s="2" t="n">
        <v>18</v>
      </c>
      <c r="C556" s="2" t="inlineStr">
        <is>
          <t>IMP00178</t>
        </is>
      </c>
      <c r="D556" s="2" t="inlineStr">
        <is>
          <t>Delta Logistics Co., Ltd</t>
        </is>
      </c>
      <c r="E556" s="2" t="n">
        <v>3</v>
      </c>
      <c r="F556" s="27" t="n">
        <v>1321835.5</v>
      </c>
      <c r="G556" s="28" t="n">
        <v>0.0066</v>
      </c>
      <c r="H556" s="19" t="n">
        <v>1.042</v>
      </c>
      <c r="I556" s="29" t="n">
        <v>0</v>
      </c>
      <c r="J556" s="2" t="inlineStr">
        <is>
          <t>EXP0335</t>
        </is>
      </c>
      <c r="K556" s="2" t="n">
        <v>6</v>
      </c>
      <c r="L556" s="2" t="inlineStr">
        <is>
          <t>BRK014</t>
        </is>
      </c>
      <c r="M556" s="2" t="inlineStr">
        <is>
          <t>LAND2</t>
        </is>
      </c>
      <c r="N556" s="2" t="n">
        <v>0</v>
      </c>
      <c r="O556" s="2" t="n">
        <v>0</v>
      </c>
      <c r="P556" s="2" t="n">
        <v>0</v>
      </c>
      <c r="Q556" s="2" t="n">
        <v>0</v>
      </c>
      <c r="R556" s="30">
        <f>IF(AND($C$5&lt;&gt;"",$A556=$C$5),1,"")</f>
        <v/>
      </c>
      <c r="S556" s="21">
        <f>IF(AND($C$5&lt;&gt;"",$A556=$C$5),SUMIFS($G$8:$G$715,$A$8:$A$715,$C$5,$B$8:$B$715,"&lt;="&amp;$B556),"")</f>
        <v/>
      </c>
      <c r="T556" s="24" t="n"/>
      <c r="U556" s="24" t="n"/>
    </row>
    <row r="557">
      <c r="A557" s="2" t="inlineStr">
        <is>
          <t>MYS-39</t>
        </is>
      </c>
      <c r="B557" s="2" t="n">
        <v>19</v>
      </c>
      <c r="C557" s="2" t="inlineStr">
        <is>
          <t>IMP00085</t>
        </is>
      </c>
      <c r="D557" s="2" t="inlineStr">
        <is>
          <t>Delta Imports &amp; Sons</t>
        </is>
      </c>
      <c r="E557" s="2" t="n">
        <v>1</v>
      </c>
      <c r="F557" s="27" t="n">
        <v>1188037.22</v>
      </c>
      <c r="G557" s="28" t="n">
        <v>0.0059</v>
      </c>
      <c r="H557" s="19" t="n">
        <v>0.887</v>
      </c>
      <c r="I557" s="29" t="n">
        <v>0</v>
      </c>
      <c r="J557" s="2" t="inlineStr">
        <is>
          <t>EXP0191</t>
        </is>
      </c>
      <c r="K557" s="2" t="n">
        <v>2</v>
      </c>
      <c r="L557" s="2" t="inlineStr">
        <is>
          <t>BRK067</t>
        </is>
      </c>
      <c r="M557" s="2" t="inlineStr">
        <is>
          <t>AIR1</t>
        </is>
      </c>
      <c r="N557" s="2" t="n">
        <v>0</v>
      </c>
      <c r="O557" s="2" t="n">
        <v>0</v>
      </c>
      <c r="P557" s="2" t="n">
        <v>0</v>
      </c>
      <c r="Q557" s="2" t="n">
        <v>0</v>
      </c>
      <c r="R557" s="30">
        <f>IF(AND($C$5&lt;&gt;"",$A557=$C$5),1,"")</f>
        <v/>
      </c>
      <c r="S557" s="21">
        <f>IF(AND($C$5&lt;&gt;"",$A557=$C$5),SUMIFS($G$8:$G$715,$A$8:$A$715,$C$5,$B$8:$B$715,"&lt;="&amp;$B557),"")</f>
        <v/>
      </c>
      <c r="T557" s="24" t="n"/>
      <c r="U557" s="24" t="n"/>
    </row>
    <row r="558">
      <c r="A558" s="2" t="inlineStr">
        <is>
          <t>MYS-39</t>
        </is>
      </c>
      <c r="B558" s="2" t="n">
        <v>20</v>
      </c>
      <c r="C558" s="2" t="inlineStr">
        <is>
          <t>IMP00092</t>
        </is>
      </c>
      <c r="D558" s="2" t="inlineStr">
        <is>
          <t>Lotus Commercial &amp; Sons</t>
        </is>
      </c>
      <c r="E558" s="2" t="n">
        <v>3</v>
      </c>
      <c r="F558" s="27" t="n">
        <v>1177887.58</v>
      </c>
      <c r="G558" s="28" t="n">
        <v>0.0059</v>
      </c>
      <c r="H558" s="19" t="n">
        <v>0.92</v>
      </c>
      <c r="I558" s="29" t="n">
        <v>0</v>
      </c>
      <c r="J558" s="2" t="inlineStr">
        <is>
          <t>EXP0283</t>
        </is>
      </c>
      <c r="K558" s="2" t="n">
        <v>5</v>
      </c>
      <c r="L558" s="2" t="inlineStr">
        <is>
          <t>BRK031</t>
        </is>
      </c>
      <c r="M558" s="2" t="inlineStr">
        <is>
          <t>PORT1</t>
        </is>
      </c>
      <c r="N558" s="2" t="n">
        <v>0</v>
      </c>
      <c r="O558" s="2" t="n">
        <v>0</v>
      </c>
      <c r="P558" s="2" t="n">
        <v>0</v>
      </c>
      <c r="Q558" s="2" t="n">
        <v>0</v>
      </c>
      <c r="R558" s="30">
        <f>IF(AND($C$5&lt;&gt;"",$A558=$C$5),1,"")</f>
        <v/>
      </c>
      <c r="S558" s="21">
        <f>IF(AND($C$5&lt;&gt;"",$A558=$C$5),SUMIFS($G$8:$G$715,$A$8:$A$715,$C$5,$B$8:$B$715,"&lt;="&amp;$B558),"")</f>
        <v/>
      </c>
      <c r="T558" s="24" t="n"/>
      <c r="U558" s="24" t="n"/>
    </row>
    <row r="559">
      <c r="A559" s="2" t="inlineStr">
        <is>
          <t>MYS-39</t>
        </is>
      </c>
      <c r="B559" s="2" t="n">
        <v>21</v>
      </c>
      <c r="C559" s="2" t="inlineStr">
        <is>
          <t>IMP00705</t>
        </is>
      </c>
      <c r="D559" s="2" t="inlineStr">
        <is>
          <t>Metro Medical International Ltd</t>
        </is>
      </c>
      <c r="E559" s="2" t="n">
        <v>2</v>
      </c>
      <c r="F559" s="27" t="n">
        <v>991318.28</v>
      </c>
      <c r="G559" s="28" t="n">
        <v>0.0049</v>
      </c>
      <c r="H559" s="19" t="n">
        <v>0.923</v>
      </c>
      <c r="I559" s="29" t="n">
        <v>0</v>
      </c>
      <c r="J559" s="2" t="inlineStr">
        <is>
          <t>EXP0206</t>
        </is>
      </c>
      <c r="K559" s="2" t="n">
        <v>4</v>
      </c>
      <c r="L559" s="2" t="inlineStr">
        <is>
          <t>BRK056</t>
        </is>
      </c>
      <c r="M559" s="2" t="inlineStr">
        <is>
          <t>AIR2</t>
        </is>
      </c>
      <c r="N559" s="2" t="n">
        <v>0</v>
      </c>
      <c r="O559" s="2" t="n">
        <v>0</v>
      </c>
      <c r="P559" s="2" t="n">
        <v>0</v>
      </c>
      <c r="Q559" s="2" t="n">
        <v>0</v>
      </c>
      <c r="R559" s="30">
        <f>IF(AND($C$5&lt;&gt;"",$A559=$C$5),1,"")</f>
        <v/>
      </c>
      <c r="S559" s="21">
        <f>IF(AND($C$5&lt;&gt;"",$A559=$C$5),SUMIFS($G$8:$G$715,$A$8:$A$715,$C$5,$B$8:$B$715,"&lt;="&amp;$B559),"")</f>
        <v/>
      </c>
      <c r="T559" s="24" t="n"/>
      <c r="U559" s="24" t="n"/>
    </row>
    <row r="560">
      <c r="A560" s="2" t="inlineStr">
        <is>
          <t>MYS-39</t>
        </is>
      </c>
      <c r="B560" s="2" t="n">
        <v>22</v>
      </c>
      <c r="C560" s="2" t="inlineStr">
        <is>
          <t>IMP00003</t>
        </is>
      </c>
      <c r="D560" s="2" t="inlineStr">
        <is>
          <t>Saffron Trading &amp; Sons</t>
        </is>
      </c>
      <c r="E560" s="2" t="n">
        <v>2</v>
      </c>
      <c r="F560" s="27" t="n">
        <v>976379.6800000001</v>
      </c>
      <c r="G560" s="28" t="n">
        <v>0.0049</v>
      </c>
      <c r="H560" s="19" t="n">
        <v>0.8835</v>
      </c>
      <c r="I560" s="29" t="n">
        <v>0</v>
      </c>
      <c r="J560" s="2" t="inlineStr">
        <is>
          <t>EXP0181</t>
        </is>
      </c>
      <c r="K560" s="2" t="n">
        <v>5</v>
      </c>
      <c r="L560" s="2" t="inlineStr">
        <is>
          <t>BRK054</t>
        </is>
      </c>
      <c r="M560" s="2" t="inlineStr">
        <is>
          <t>PORT1</t>
        </is>
      </c>
      <c r="N560" s="2" t="n">
        <v>0</v>
      </c>
      <c r="O560" s="2" t="n">
        <v>0</v>
      </c>
      <c r="P560" s="2" t="n">
        <v>0</v>
      </c>
      <c r="Q560" s="2" t="n">
        <v>0</v>
      </c>
      <c r="R560" s="30">
        <f>IF(AND($C$5&lt;&gt;"",$A560=$C$5),1,"")</f>
        <v/>
      </c>
      <c r="S560" s="21">
        <f>IF(AND($C$5&lt;&gt;"",$A560=$C$5),SUMIFS($G$8:$G$715,$A$8:$A$715,$C$5,$B$8:$B$715,"&lt;="&amp;$B560),"")</f>
        <v/>
      </c>
      <c r="T560" s="24" t="n"/>
      <c r="U560" s="24" t="n"/>
    </row>
    <row r="561">
      <c r="A561" s="2" t="inlineStr">
        <is>
          <t>MYS-39</t>
        </is>
      </c>
      <c r="B561" s="2" t="n">
        <v>23</v>
      </c>
      <c r="C561" s="2" t="inlineStr">
        <is>
          <t>IMP01200</t>
        </is>
      </c>
      <c r="D561" s="2" t="inlineStr">
        <is>
          <t>Delta Textiles Enterprises</t>
        </is>
      </c>
      <c r="E561" s="2" t="n">
        <v>1</v>
      </c>
      <c r="F561" s="27" t="n">
        <v>931200.92</v>
      </c>
      <c r="G561" s="28" t="n">
        <v>0.0046</v>
      </c>
      <c r="H561" s="19" t="n">
        <v>1.02</v>
      </c>
      <c r="I561" s="29" t="n">
        <v>0</v>
      </c>
      <c r="J561" s="2" t="inlineStr">
        <is>
          <t>EXP0167</t>
        </is>
      </c>
      <c r="K561" s="2" t="n">
        <v>1</v>
      </c>
      <c r="L561" s="2" t="inlineStr">
        <is>
          <t>BRK024</t>
        </is>
      </c>
      <c r="M561" s="2" t="inlineStr">
        <is>
          <t>PORT2</t>
        </is>
      </c>
      <c r="N561" s="2" t="n">
        <v>0</v>
      </c>
      <c r="O561" s="2" t="n">
        <v>0</v>
      </c>
      <c r="P561" s="2" t="n">
        <v>0</v>
      </c>
      <c r="Q561" s="2" t="n">
        <v>0</v>
      </c>
      <c r="R561" s="30">
        <f>IF(AND($C$5&lt;&gt;"",$A561=$C$5),1,"")</f>
        <v/>
      </c>
      <c r="S561" s="21">
        <f>IF(AND($C$5&lt;&gt;"",$A561=$C$5),SUMIFS($G$8:$G$715,$A$8:$A$715,$C$5,$B$8:$B$715,"&lt;="&amp;$B561),"")</f>
        <v/>
      </c>
      <c r="T561" s="24" t="n"/>
      <c r="U561" s="24" t="n"/>
    </row>
    <row r="562">
      <c r="A562" s="2" t="inlineStr">
        <is>
          <t>MYS-39</t>
        </is>
      </c>
      <c r="B562" s="2" t="n">
        <v>24</v>
      </c>
      <c r="C562" s="2" t="inlineStr">
        <is>
          <t>IMP00152</t>
        </is>
      </c>
      <c r="D562" s="2" t="inlineStr">
        <is>
          <t>Twin Rivers Living Enterprises</t>
        </is>
      </c>
      <c r="E562" s="2" t="n">
        <v>1</v>
      </c>
      <c r="F562" s="27" t="n">
        <v>863096.97</v>
      </c>
      <c r="G562" s="28" t="n">
        <v>0.0043</v>
      </c>
      <c r="H562" s="19" t="n">
        <v>1.222</v>
      </c>
      <c r="I562" s="29" t="n">
        <v>0</v>
      </c>
      <c r="J562" s="2" t="inlineStr">
        <is>
          <t>EXP0349</t>
        </is>
      </c>
      <c r="K562" s="2" t="n">
        <v>5</v>
      </c>
      <c r="L562" s="2" t="inlineStr">
        <is>
          <t>BRK024</t>
        </is>
      </c>
      <c r="M562" s="2" t="inlineStr">
        <is>
          <t>LAND1</t>
        </is>
      </c>
      <c r="N562" s="2" t="n">
        <v>0</v>
      </c>
      <c r="O562" s="2" t="n">
        <v>0</v>
      </c>
      <c r="P562" s="2" t="n">
        <v>0</v>
      </c>
      <c r="Q562" s="2" t="n">
        <v>0</v>
      </c>
      <c r="R562" s="30">
        <f>IF(AND($C$5&lt;&gt;"",$A562=$C$5),1,"")</f>
        <v/>
      </c>
      <c r="S562" s="21">
        <f>IF(AND($C$5&lt;&gt;"",$A562=$C$5),SUMIFS($G$8:$G$715,$A$8:$A$715,$C$5,$B$8:$B$715,"&lt;="&amp;$B562),"")</f>
        <v/>
      </c>
      <c r="T562" s="24" t="n"/>
      <c r="U562" s="24" t="n"/>
    </row>
    <row r="563">
      <c r="A563" s="2" t="inlineStr">
        <is>
          <t>MYS-39</t>
        </is>
      </c>
      <c r="B563" s="2" t="n">
        <v>25</v>
      </c>
      <c r="C563" s="2" t="inlineStr">
        <is>
          <t>IMP00788</t>
        </is>
      </c>
      <c r="D563" s="2" t="inlineStr">
        <is>
          <t>Meridian Living Enterprises</t>
        </is>
      </c>
      <c r="E563" s="2" t="n">
        <v>2</v>
      </c>
      <c r="F563" s="27" t="n">
        <v>607404.26</v>
      </c>
      <c r="G563" s="28" t="n">
        <v>0.003</v>
      </c>
      <c r="H563" s="19" t="n">
        <v>0.9385</v>
      </c>
      <c r="I563" s="29" t="n">
        <v>0</v>
      </c>
      <c r="J563" s="2" t="inlineStr">
        <is>
          <t>EXP0283</t>
        </is>
      </c>
      <c r="K563" s="2" t="n">
        <v>5</v>
      </c>
      <c r="L563" s="2" t="inlineStr">
        <is>
          <t>BRK044</t>
        </is>
      </c>
      <c r="M563" s="2" t="inlineStr">
        <is>
          <t>LAND3</t>
        </is>
      </c>
      <c r="N563" s="2" t="n">
        <v>0</v>
      </c>
      <c r="O563" s="2" t="n">
        <v>0</v>
      </c>
      <c r="P563" s="2" t="n">
        <v>0</v>
      </c>
      <c r="Q563" s="2" t="n">
        <v>0</v>
      </c>
      <c r="R563" s="30">
        <f>IF(AND($C$5&lt;&gt;"",$A563=$C$5),1,"")</f>
        <v/>
      </c>
      <c r="S563" s="21">
        <f>IF(AND($C$5&lt;&gt;"",$A563=$C$5),SUMIFS($G$8:$G$715,$A$8:$A$715,$C$5,$B$8:$B$715,"&lt;="&amp;$B563),"")</f>
        <v/>
      </c>
      <c r="T563" s="24" t="n"/>
      <c r="U563" s="24" t="n"/>
    </row>
    <row r="564">
      <c r="A564" s="2" t="inlineStr">
        <is>
          <t>MYS-39</t>
        </is>
      </c>
      <c r="B564" s="2" t="n">
        <v>26</v>
      </c>
      <c r="C564" s="2" t="inlineStr">
        <is>
          <t>IMP00767</t>
        </is>
      </c>
      <c r="D564" s="2" t="inlineStr">
        <is>
          <t>Crown Mobile Ltd</t>
        </is>
      </c>
      <c r="E564" s="2" t="n">
        <v>2</v>
      </c>
      <c r="F564" s="27" t="n">
        <v>504437.06</v>
      </c>
      <c r="G564" s="28" t="n">
        <v>0.0025</v>
      </c>
      <c r="H564" s="19" t="n">
        <v>1.0675</v>
      </c>
      <c r="I564" s="29" t="n">
        <v>0</v>
      </c>
      <c r="J564" s="2" t="inlineStr">
        <is>
          <t>EXP0121</t>
        </is>
      </c>
      <c r="K564" s="2" t="n">
        <v>4</v>
      </c>
      <c r="L564" s="2" t="inlineStr">
        <is>
          <t>BRK055</t>
        </is>
      </c>
      <c r="M564" s="2" t="inlineStr">
        <is>
          <t>LAND5</t>
        </is>
      </c>
      <c r="N564" s="2" t="n">
        <v>0</v>
      </c>
      <c r="O564" s="2" t="n">
        <v>0</v>
      </c>
      <c r="P564" s="2" t="n">
        <v>0</v>
      </c>
      <c r="Q564" s="2" t="n">
        <v>0</v>
      </c>
      <c r="R564" s="30">
        <f>IF(AND($C$5&lt;&gt;"",$A564=$C$5),1,"")</f>
        <v/>
      </c>
      <c r="S564" s="21">
        <f>IF(AND($C$5&lt;&gt;"",$A564=$C$5),SUMIFS($G$8:$G$715,$A$8:$A$715,$C$5,$B$8:$B$715,"&lt;="&amp;$B564),"")</f>
        <v/>
      </c>
      <c r="T564" s="24" t="n"/>
      <c r="U564" s="24" t="n"/>
    </row>
    <row r="565">
      <c r="A565" s="2" t="inlineStr">
        <is>
          <t>MYS-39</t>
        </is>
      </c>
      <c r="B565" s="2" t="n">
        <v>27</v>
      </c>
      <c r="C565" s="2" t="inlineStr">
        <is>
          <t>IMP00493</t>
        </is>
      </c>
      <c r="D565" s="2" t="inlineStr">
        <is>
          <t>Horizon Logistics International Ltd</t>
        </is>
      </c>
      <c r="E565" s="2" t="n">
        <v>2</v>
      </c>
      <c r="F565" s="27" t="n">
        <v>477051.12</v>
      </c>
      <c r="G565" s="28" t="n">
        <v>0.0024</v>
      </c>
      <c r="H565" s="19" t="n">
        <v>0.786</v>
      </c>
      <c r="I565" s="29" t="n">
        <v>0.5</v>
      </c>
      <c r="J565" s="2" t="inlineStr">
        <is>
          <t>EXP0121</t>
        </is>
      </c>
      <c r="K565" s="2" t="n">
        <v>4</v>
      </c>
      <c r="L565" s="2" t="inlineStr">
        <is>
          <t>BRK001</t>
        </is>
      </c>
      <c r="M565" s="2" t="inlineStr">
        <is>
          <t>AIR1</t>
        </is>
      </c>
      <c r="N565" s="2" t="n">
        <v>0</v>
      </c>
      <c r="O565" s="2" t="n">
        <v>0</v>
      </c>
      <c r="P565" s="2" t="n">
        <v>0</v>
      </c>
      <c r="Q565" s="2" t="n">
        <v>0</v>
      </c>
      <c r="R565" s="30">
        <f>IF(AND($C$5&lt;&gt;"",$A565=$C$5),1,"")</f>
        <v/>
      </c>
      <c r="S565" s="21">
        <f>IF(AND($C$5&lt;&gt;"",$A565=$C$5),SUMIFS($G$8:$G$715,$A$8:$A$715,$C$5,$B$8:$B$715,"&lt;="&amp;$B565),"")</f>
        <v/>
      </c>
      <c r="T565" s="24" t="n"/>
      <c r="U565" s="24" t="n"/>
    </row>
    <row r="566">
      <c r="A566" s="2" t="inlineStr">
        <is>
          <t>MYS-39</t>
        </is>
      </c>
      <c r="B566" s="2" t="n">
        <v>28</v>
      </c>
      <c r="C566" s="2" t="inlineStr">
        <is>
          <t>IMP00207</t>
        </is>
      </c>
      <c r="D566" s="2" t="inlineStr">
        <is>
          <t>Aldergate Logistics International Ltd</t>
        </is>
      </c>
      <c r="E566" s="2" t="n">
        <v>1</v>
      </c>
      <c r="F566" s="27" t="n">
        <v>457841.49</v>
      </c>
      <c r="G566" s="28" t="n">
        <v>0.0023</v>
      </c>
      <c r="H566" s="19" t="n">
        <v>1.02</v>
      </c>
      <c r="I566" s="29" t="n">
        <v>0</v>
      </c>
      <c r="J566" s="2" t="inlineStr">
        <is>
          <t>EXP0212</t>
        </is>
      </c>
      <c r="K566" s="2" t="n">
        <v>5</v>
      </c>
      <c r="L566" s="2" t="inlineStr">
        <is>
          <t>BRK044</t>
        </is>
      </c>
      <c r="M566" s="2" t="inlineStr">
        <is>
          <t>LAND1</t>
        </is>
      </c>
      <c r="N566" s="2" t="n">
        <v>0</v>
      </c>
      <c r="O566" s="2" t="n">
        <v>1</v>
      </c>
      <c r="P566" s="2" t="n">
        <v>0</v>
      </c>
      <c r="Q566" s="2" t="n">
        <v>0</v>
      </c>
      <c r="R566" s="30">
        <f>IF(AND($C$5&lt;&gt;"",$A566=$C$5),1,"")</f>
        <v/>
      </c>
      <c r="S566" s="21">
        <f>IF(AND($C$5&lt;&gt;"",$A566=$C$5),SUMIFS($G$8:$G$715,$A$8:$A$715,$C$5,$B$8:$B$715,"&lt;="&amp;$B566),"")</f>
        <v/>
      </c>
      <c r="T566" s="24" t="n"/>
      <c r="U566" s="24" t="n"/>
    </row>
    <row r="567">
      <c r="A567" s="2" t="inlineStr">
        <is>
          <t>MYS-39</t>
        </is>
      </c>
      <c r="B567" s="2" t="n">
        <v>29</v>
      </c>
      <c r="C567" s="2" t="inlineStr">
        <is>
          <t>IMP00695</t>
        </is>
      </c>
      <c r="D567" s="2" t="inlineStr">
        <is>
          <t>Delta Enterprises &amp; Sons</t>
        </is>
      </c>
      <c r="E567" s="2" t="n">
        <v>1</v>
      </c>
      <c r="F567" s="27" t="n">
        <v>436590.8</v>
      </c>
      <c r="G567" s="28" t="n">
        <v>0.0022</v>
      </c>
      <c r="H567" s="19" t="n">
        <v>0.976</v>
      </c>
      <c r="I567" s="29" t="n">
        <v>0</v>
      </c>
      <c r="J567" s="2" t="inlineStr">
        <is>
          <t>EXP0283</t>
        </is>
      </c>
      <c r="K567" s="2" t="n">
        <v>5</v>
      </c>
      <c r="L567" s="2" t="inlineStr">
        <is>
          <t>BRK057</t>
        </is>
      </c>
      <c r="M567" s="2" t="inlineStr">
        <is>
          <t>PORT1</t>
        </is>
      </c>
      <c r="N567" s="2" t="n">
        <v>0</v>
      </c>
      <c r="O567" s="2" t="n">
        <v>0</v>
      </c>
      <c r="P567" s="2" t="n">
        <v>0</v>
      </c>
      <c r="Q567" s="2" t="n">
        <v>0</v>
      </c>
      <c r="R567" s="30">
        <f>IF(AND($C$5&lt;&gt;"",$A567=$C$5),1,"")</f>
        <v/>
      </c>
      <c r="S567" s="21">
        <f>IF(AND($C$5&lt;&gt;"",$A567=$C$5),SUMIFS($G$8:$G$715,$A$8:$A$715,$C$5,$B$8:$B$715,"&lt;="&amp;$B567),"")</f>
        <v/>
      </c>
      <c r="T567" s="24" t="n"/>
      <c r="U567" s="24" t="n"/>
    </row>
    <row r="568">
      <c r="A568" s="2" t="inlineStr">
        <is>
          <t>MYS-39</t>
        </is>
      </c>
      <c r="B568" s="2" t="n">
        <v>30</v>
      </c>
      <c r="C568" s="2" t="inlineStr">
        <is>
          <t>IMP00442</t>
        </is>
      </c>
      <c r="D568" s="2" t="inlineStr">
        <is>
          <t>Royal Textiles Co.</t>
        </is>
      </c>
      <c r="E568" s="2" t="n">
        <v>1</v>
      </c>
      <c r="F568" s="27" t="n">
        <v>385883.39</v>
      </c>
      <c r="G568" s="28" t="n">
        <v>0.0019</v>
      </c>
      <c r="H568" s="19" t="n"/>
      <c r="I568" s="29" t="n">
        <v>0</v>
      </c>
      <c r="J568" s="2" t="inlineStr">
        <is>
          <t>EXP0183</t>
        </is>
      </c>
      <c r="K568" s="2" t="n">
        <v>4</v>
      </c>
      <c r="L568" s="2" t="inlineStr">
        <is>
          <t>BRK044</t>
        </is>
      </c>
      <c r="M568" s="2" t="inlineStr">
        <is>
          <t>PORT1</t>
        </is>
      </c>
      <c r="N568" s="2" t="n">
        <v>0</v>
      </c>
      <c r="O568" s="2" t="n">
        <v>0</v>
      </c>
      <c r="P568" s="2" t="n">
        <v>0</v>
      </c>
      <c r="Q568" s="2" t="n">
        <v>0</v>
      </c>
      <c r="R568" s="30">
        <f>IF(AND($C$5&lt;&gt;"",$A568=$C$5),1,"")</f>
        <v/>
      </c>
      <c r="S568" s="21">
        <f>IF(AND($C$5&lt;&gt;"",$A568=$C$5),SUMIFS($G$8:$G$715,$A$8:$A$715,$C$5,$B$8:$B$715,"&lt;="&amp;$B568),"")</f>
        <v/>
      </c>
      <c r="T568" s="24" t="n"/>
      <c r="U568" s="24" t="n"/>
    </row>
    <row r="569">
      <c r="A569" s="2" t="inlineStr">
        <is>
          <t>MYS-39</t>
        </is>
      </c>
      <c r="B569" s="2" t="n">
        <v>31</v>
      </c>
      <c r="C569" s="2" t="inlineStr">
        <is>
          <t>IMP01372</t>
        </is>
      </c>
      <c r="D569" s="2" t="inlineStr">
        <is>
          <t>Prime Textiles Co.</t>
        </is>
      </c>
      <c r="E569" s="2" t="n">
        <v>1</v>
      </c>
      <c r="F569" s="27" t="n">
        <v>358320.3</v>
      </c>
      <c r="G569" s="28" t="n">
        <v>0.0018</v>
      </c>
      <c r="H569" s="19" t="n">
        <v>1.018</v>
      </c>
      <c r="I569" s="29" t="n">
        <v>0</v>
      </c>
      <c r="J569" s="2" t="inlineStr">
        <is>
          <t>EXP0335</t>
        </is>
      </c>
      <c r="K569" s="2" t="n">
        <v>6</v>
      </c>
      <c r="L569" s="2" t="inlineStr">
        <is>
          <t>BRK013</t>
        </is>
      </c>
      <c r="M569" s="2" t="inlineStr">
        <is>
          <t>PORT1</t>
        </is>
      </c>
      <c r="N569" s="2" t="n">
        <v>1</v>
      </c>
      <c r="O569" s="2" t="n">
        <v>0</v>
      </c>
      <c r="P569" s="2" t="n">
        <v>0</v>
      </c>
      <c r="Q569" s="2" t="n">
        <v>0</v>
      </c>
      <c r="R569" s="30">
        <f>IF(AND($C$5&lt;&gt;"",$A569=$C$5),1,"")</f>
        <v/>
      </c>
      <c r="S569" s="21">
        <f>IF(AND($C$5&lt;&gt;"",$A569=$C$5),SUMIFS($G$8:$G$715,$A$8:$A$715,$C$5,$B$8:$B$715,"&lt;="&amp;$B569),"")</f>
        <v/>
      </c>
      <c r="T569" s="24" t="n"/>
      <c r="U569" s="24" t="n"/>
    </row>
    <row r="570">
      <c r="A570" s="2" t="inlineStr">
        <is>
          <t>MYS-39</t>
        </is>
      </c>
      <c r="B570" s="2" t="n">
        <v>32</v>
      </c>
      <c r="C570" s="2" t="inlineStr">
        <is>
          <t>IMP00996</t>
        </is>
      </c>
      <c r="D570" s="2" t="inlineStr">
        <is>
          <t>Ocean Commercial Limited</t>
        </is>
      </c>
      <c r="E570" s="2" t="n">
        <v>1</v>
      </c>
      <c r="F570" s="27" t="n">
        <v>342272.55</v>
      </c>
      <c r="G570" s="28" t="n">
        <v>0.0017</v>
      </c>
      <c r="H570" s="19" t="n">
        <v>0.928</v>
      </c>
      <c r="I570" s="29" t="n">
        <v>0</v>
      </c>
      <c r="J570" s="2" t="inlineStr">
        <is>
          <t>EXP0055</t>
        </is>
      </c>
      <c r="K570" s="2" t="n">
        <v>4</v>
      </c>
      <c r="L570" s="2" t="inlineStr">
        <is>
          <t>BRK020</t>
        </is>
      </c>
      <c r="M570" s="2" t="inlineStr">
        <is>
          <t>PORT1</t>
        </is>
      </c>
      <c r="N570" s="2" t="n">
        <v>0</v>
      </c>
      <c r="O570" s="2" t="n">
        <v>0</v>
      </c>
      <c r="P570" s="2" t="n">
        <v>0</v>
      </c>
      <c r="Q570" s="2" t="n">
        <v>0</v>
      </c>
      <c r="R570" s="30">
        <f>IF(AND($C$5&lt;&gt;"",$A570=$C$5),1,"")</f>
        <v/>
      </c>
      <c r="S570" s="21">
        <f>IF(AND($C$5&lt;&gt;"",$A570=$C$5),SUMIFS($G$8:$G$715,$A$8:$A$715,$C$5,$B$8:$B$715,"&lt;="&amp;$B570),"")</f>
        <v/>
      </c>
      <c r="T570" s="24" t="n"/>
      <c r="U570" s="24" t="n"/>
    </row>
    <row r="571">
      <c r="A571" s="2" t="inlineStr">
        <is>
          <t>MYS-39</t>
        </is>
      </c>
      <c r="B571" s="2" t="n">
        <v>33</v>
      </c>
      <c r="C571" s="2" t="inlineStr">
        <is>
          <t>IMP00892</t>
        </is>
      </c>
      <c r="D571" s="2" t="inlineStr">
        <is>
          <t>Delta Fruits Holdings Ltd</t>
        </is>
      </c>
      <c r="E571" s="2" t="n">
        <v>1</v>
      </c>
      <c r="F571" s="27" t="n">
        <v>207433.18</v>
      </c>
      <c r="G571" s="28" t="n">
        <v>0.001</v>
      </c>
      <c r="H571" s="19" t="n">
        <v>0.897</v>
      </c>
      <c r="I571" s="29" t="n">
        <v>0</v>
      </c>
      <c r="J571" s="2" t="inlineStr">
        <is>
          <t>EXP0335</t>
        </is>
      </c>
      <c r="K571" s="2" t="n">
        <v>6</v>
      </c>
      <c r="L571" s="2" t="inlineStr">
        <is>
          <t>BRK027</t>
        </is>
      </c>
      <c r="M571" s="2" t="inlineStr">
        <is>
          <t>PORT1</t>
        </is>
      </c>
      <c r="N571" s="2" t="n">
        <v>0</v>
      </c>
      <c r="O571" s="2" t="n">
        <v>0</v>
      </c>
      <c r="P571" s="2" t="n">
        <v>0</v>
      </c>
      <c r="Q571" s="2" t="n">
        <v>0</v>
      </c>
      <c r="R571" s="30">
        <f>IF(AND($C$5&lt;&gt;"",$A571=$C$5),1,"")</f>
        <v/>
      </c>
      <c r="S571" s="21">
        <f>IF(AND($C$5&lt;&gt;"",$A571=$C$5),SUMIFS($G$8:$G$715,$A$8:$A$715,$C$5,$B$8:$B$715,"&lt;="&amp;$B571),"")</f>
        <v/>
      </c>
      <c r="T571" s="24" t="n"/>
      <c r="U571" s="24" t="n"/>
    </row>
    <row r="572">
      <c r="A572" s="2" t="inlineStr">
        <is>
          <t>MYS-39</t>
        </is>
      </c>
      <c r="B572" s="2" t="n">
        <v>34</v>
      </c>
      <c r="C572" s="2" t="inlineStr">
        <is>
          <t>IMP01254</t>
        </is>
      </c>
      <c r="D572" s="2" t="inlineStr">
        <is>
          <t>Phoenix Supply Holdings Ltd</t>
        </is>
      </c>
      <c r="E572" s="2" t="n">
        <v>1</v>
      </c>
      <c r="F572" s="27" t="n">
        <v>166366.34</v>
      </c>
      <c r="G572" s="28" t="n">
        <v>0.0008</v>
      </c>
      <c r="H572" s="19" t="n">
        <v>0.714</v>
      </c>
      <c r="I572" s="29" t="n">
        <v>1</v>
      </c>
      <c r="J572" s="2" t="inlineStr">
        <is>
          <t>EXP0181</t>
        </is>
      </c>
      <c r="K572" s="2" t="n">
        <v>5</v>
      </c>
      <c r="L572" s="2" t="inlineStr">
        <is>
          <t>BRK055</t>
        </is>
      </c>
      <c r="M572" s="2" t="inlineStr">
        <is>
          <t>LAND2</t>
        </is>
      </c>
      <c r="N572" s="2" t="n">
        <v>0</v>
      </c>
      <c r="O572" s="2" t="n">
        <v>0</v>
      </c>
      <c r="P572" s="2" t="n">
        <v>0</v>
      </c>
      <c r="Q572" s="2" t="n">
        <v>0</v>
      </c>
      <c r="R572" s="30">
        <f>IF(AND($C$5&lt;&gt;"",$A572=$C$5),1,"")</f>
        <v/>
      </c>
      <c r="S572" s="21">
        <f>IF(AND($C$5&lt;&gt;"",$A572=$C$5),SUMIFS($G$8:$G$715,$A$8:$A$715,$C$5,$B$8:$B$715,"&lt;="&amp;$B572),"")</f>
        <v/>
      </c>
      <c r="T572" s="24" t="n"/>
      <c r="U572" s="24" t="n"/>
    </row>
    <row r="573">
      <c r="A573" s="2" t="inlineStr">
        <is>
          <t>MYS-39</t>
        </is>
      </c>
      <c r="B573" s="2" t="n">
        <v>35</v>
      </c>
      <c r="C573" s="2" t="inlineStr">
        <is>
          <t>IMP00706</t>
        </is>
      </c>
      <c r="D573" s="2" t="inlineStr">
        <is>
          <t>Phoenix Supply Limited</t>
        </is>
      </c>
      <c r="E573" s="2" t="n">
        <v>1</v>
      </c>
      <c r="F573" s="27" t="n">
        <v>149118.46</v>
      </c>
      <c r="G573" s="28" t="n">
        <v>0.0007</v>
      </c>
      <c r="H573" s="19" t="n">
        <v>0.803</v>
      </c>
      <c r="I573" s="29" t="n">
        <v>0</v>
      </c>
      <c r="J573" s="2" t="inlineStr">
        <is>
          <t>EXP0252</t>
        </is>
      </c>
      <c r="K573" s="2" t="n">
        <v>1</v>
      </c>
      <c r="L573" s="2" t="inlineStr">
        <is>
          <t>BRK020</t>
        </is>
      </c>
      <c r="M573" s="2" t="inlineStr">
        <is>
          <t>LAND1</t>
        </is>
      </c>
      <c r="N573" s="2" t="n">
        <v>0</v>
      </c>
      <c r="O573" s="2" t="n">
        <v>0</v>
      </c>
      <c r="P573" s="2" t="n">
        <v>0</v>
      </c>
      <c r="Q573" s="2" t="n">
        <v>0</v>
      </c>
      <c r="R573" s="30">
        <f>IF(AND($C$5&lt;&gt;"",$A573=$C$5),1,"")</f>
        <v/>
      </c>
      <c r="S573" s="21">
        <f>IF(AND($C$5&lt;&gt;"",$A573=$C$5),SUMIFS($G$8:$G$715,$A$8:$A$715,$C$5,$B$8:$B$715,"&lt;="&amp;$B573),"")</f>
        <v/>
      </c>
      <c r="T573" s="24" t="n"/>
      <c r="U573" s="24" t="n"/>
    </row>
    <row r="574">
      <c r="A574" s="2" t="inlineStr">
        <is>
          <t>MYS-39</t>
        </is>
      </c>
      <c r="B574" s="2" t="n">
        <v>36</v>
      </c>
      <c r="C574" s="2" t="inlineStr">
        <is>
          <t>IMP00639</t>
        </is>
      </c>
      <c r="D574" s="2" t="inlineStr">
        <is>
          <t>Sunrise Living International Ltd</t>
        </is>
      </c>
      <c r="E574" s="2" t="n">
        <v>1</v>
      </c>
      <c r="F574" s="27" t="n">
        <v>106928.6</v>
      </c>
      <c r="G574" s="28" t="n">
        <v>0.0005</v>
      </c>
      <c r="H574" s="19" t="n">
        <v>0.696</v>
      </c>
      <c r="I574" s="29" t="n">
        <v>1</v>
      </c>
      <c r="J574" s="2" t="inlineStr">
        <is>
          <t>EXP0571</t>
        </is>
      </c>
      <c r="K574" s="2" t="n">
        <v>5</v>
      </c>
      <c r="L574" s="2" t="inlineStr">
        <is>
          <t>BRK067</t>
        </is>
      </c>
      <c r="M574" s="2" t="inlineStr">
        <is>
          <t>AIR2</t>
        </is>
      </c>
      <c r="N574" s="2" t="n">
        <v>0</v>
      </c>
      <c r="O574" s="2" t="n">
        <v>0</v>
      </c>
      <c r="P574" s="2" t="n">
        <v>1</v>
      </c>
      <c r="Q574" s="2" t="n">
        <v>0</v>
      </c>
      <c r="R574" s="30">
        <f>IF(AND($C$5&lt;&gt;"",$A574=$C$5),1,"")</f>
        <v/>
      </c>
      <c r="S574" s="21">
        <f>IF(AND($C$5&lt;&gt;"",$A574=$C$5),SUMIFS($G$8:$G$715,$A$8:$A$715,$C$5,$B$8:$B$715,"&lt;="&amp;$B574),"")</f>
        <v/>
      </c>
      <c r="T574" s="24" t="n"/>
      <c r="U574" s="24" t="n"/>
    </row>
    <row r="575">
      <c r="A575" s="2" t="inlineStr">
        <is>
          <t>MYS-52</t>
        </is>
      </c>
      <c r="B575" s="2" t="n">
        <v>1</v>
      </c>
      <c r="C575" s="2" t="inlineStr">
        <is>
          <t>IMP01039</t>
        </is>
      </c>
      <c r="D575" s="2" t="inlineStr">
        <is>
          <t>Metro Commercial Co.</t>
        </is>
      </c>
      <c r="E575" s="2" t="n">
        <v>3</v>
      </c>
      <c r="F575" s="27" t="n">
        <v>5253346.45</v>
      </c>
      <c r="G575" s="28" t="n">
        <v>0.3052</v>
      </c>
      <c r="H575" s="19" t="n">
        <v>1.668</v>
      </c>
      <c r="I575" s="29" t="n">
        <v>0</v>
      </c>
      <c r="J575" s="2" t="inlineStr">
        <is>
          <t>EXP0335</t>
        </is>
      </c>
      <c r="K575" s="2" t="n">
        <v>1</v>
      </c>
      <c r="L575" s="2" t="inlineStr">
        <is>
          <t>BRK048</t>
        </is>
      </c>
      <c r="M575" s="2" t="inlineStr">
        <is>
          <t>AIR2</t>
        </is>
      </c>
      <c r="N575" s="2" t="n">
        <v>0</v>
      </c>
      <c r="O575" s="2" t="n">
        <v>0</v>
      </c>
      <c r="P575" s="2" t="n">
        <v>0</v>
      </c>
      <c r="Q575" s="2" t="n">
        <v>0</v>
      </c>
      <c r="R575" s="30">
        <f>IF(AND($C$5&lt;&gt;"",$A575=$C$5),1,"")</f>
        <v/>
      </c>
      <c r="S575" s="21">
        <f>IF(AND($C$5&lt;&gt;"",$A575=$C$5),SUMIFS($G$8:$G$715,$A$8:$A$715,$C$5,$B$8:$B$715,"&lt;="&amp;$B575),"")</f>
        <v/>
      </c>
      <c r="T575" s="24" t="n"/>
      <c r="U575" s="24" t="n"/>
    </row>
    <row r="576">
      <c r="A576" s="2" t="inlineStr">
        <is>
          <t>MYS-52</t>
        </is>
      </c>
      <c r="B576" s="2" t="n">
        <v>2</v>
      </c>
      <c r="C576" s="2" t="inlineStr">
        <is>
          <t>IMP00780</t>
        </is>
      </c>
      <c r="D576" s="2" t="inlineStr">
        <is>
          <t>Aldergate Pack Enterprises</t>
        </is>
      </c>
      <c r="E576" s="2" t="n">
        <v>5</v>
      </c>
      <c r="F576" s="27" t="n">
        <v>3544713.17</v>
      </c>
      <c r="G576" s="28" t="n">
        <v>0.2059</v>
      </c>
      <c r="H576" s="19" t="n">
        <v>0.9399999999999999</v>
      </c>
      <c r="I576" s="29" t="n">
        <v>0</v>
      </c>
      <c r="J576" s="2" t="inlineStr">
        <is>
          <t>EXP0571</t>
        </is>
      </c>
      <c r="K576" s="2" t="n">
        <v>2</v>
      </c>
      <c r="L576" s="2" t="inlineStr">
        <is>
          <t>BRK055</t>
        </is>
      </c>
      <c r="M576" s="2" t="inlineStr">
        <is>
          <t>PORT1</t>
        </is>
      </c>
      <c r="N576" s="2" t="n">
        <v>0</v>
      </c>
      <c r="O576" s="2" t="n">
        <v>0</v>
      </c>
      <c r="P576" s="2" t="n">
        <v>0</v>
      </c>
      <c r="Q576" s="2" t="n">
        <v>0</v>
      </c>
      <c r="R576" s="30">
        <f>IF(AND($C$5&lt;&gt;"",$A576=$C$5),1,"")</f>
        <v/>
      </c>
      <c r="S576" s="21">
        <f>IF(AND($C$5&lt;&gt;"",$A576=$C$5),SUMIFS($G$8:$G$715,$A$8:$A$715,$C$5,$B$8:$B$715,"&lt;="&amp;$B576),"")</f>
        <v/>
      </c>
      <c r="T576" s="24" t="n"/>
      <c r="U576" s="24" t="n"/>
    </row>
    <row r="577">
      <c r="A577" s="2" t="inlineStr">
        <is>
          <t>MYS-52</t>
        </is>
      </c>
      <c r="B577" s="2" t="n">
        <v>3</v>
      </c>
      <c r="C577" s="2" t="inlineStr">
        <is>
          <t>IMP00057</t>
        </is>
      </c>
      <c r="D577" s="2" t="inlineStr">
        <is>
          <t>Central Textiles Limited</t>
        </is>
      </c>
      <c r="E577" s="2" t="n">
        <v>4</v>
      </c>
      <c r="F577" s="27" t="n">
        <v>2673877.06</v>
      </c>
      <c r="G577" s="28" t="n">
        <v>0.1553</v>
      </c>
      <c r="H577" s="19" t="n">
        <v>1.1525</v>
      </c>
      <c r="I577" s="29" t="n">
        <v>0</v>
      </c>
      <c r="J577" s="2" t="inlineStr">
        <is>
          <t>EXP0055</t>
        </is>
      </c>
      <c r="K577" s="2" t="n">
        <v>1</v>
      </c>
      <c r="L577" s="2" t="inlineStr">
        <is>
          <t>BRK021</t>
        </is>
      </c>
      <c r="M577" s="2" t="inlineStr">
        <is>
          <t>AIR1</t>
        </is>
      </c>
      <c r="N577" s="2" t="n">
        <v>0</v>
      </c>
      <c r="O577" s="2" t="n">
        <v>0</v>
      </c>
      <c r="P577" s="2" t="n">
        <v>0</v>
      </c>
      <c r="Q577" s="2" t="n">
        <v>0</v>
      </c>
      <c r="R577" s="30">
        <f>IF(AND($C$5&lt;&gt;"",$A577=$C$5),1,"")</f>
        <v/>
      </c>
      <c r="S577" s="21">
        <f>IF(AND($C$5&lt;&gt;"",$A577=$C$5),SUMIFS($G$8:$G$715,$A$8:$A$715,$C$5,$B$8:$B$715,"&lt;="&amp;$B577),"")</f>
        <v/>
      </c>
      <c r="T577" s="24" t="n"/>
      <c r="U577" s="24" t="n"/>
    </row>
    <row r="578">
      <c r="A578" s="2" t="inlineStr">
        <is>
          <t>MYS-52</t>
        </is>
      </c>
      <c r="B578" s="2" t="n">
        <v>4</v>
      </c>
      <c r="C578" s="2" t="inlineStr">
        <is>
          <t>IMP01411</t>
        </is>
      </c>
      <c r="D578" s="2" t="inlineStr">
        <is>
          <t>Pacific Industries Co.</t>
        </is>
      </c>
      <c r="E578" s="2" t="n">
        <v>6</v>
      </c>
      <c r="F578" s="27" t="n">
        <v>2217671.81</v>
      </c>
      <c r="G578" s="28" t="n">
        <v>0.1288</v>
      </c>
      <c r="H578" s="19" t="n">
        <v>0.983</v>
      </c>
      <c r="I578" s="29" t="n">
        <v>0</v>
      </c>
      <c r="J578" s="2" t="inlineStr">
        <is>
          <t>EXP0371</t>
        </is>
      </c>
      <c r="K578" s="2" t="n">
        <v>3</v>
      </c>
      <c r="L578" s="2" t="inlineStr">
        <is>
          <t>BRK050</t>
        </is>
      </c>
      <c r="M578" s="2" t="inlineStr">
        <is>
          <t>LAND2</t>
        </is>
      </c>
      <c r="N578" s="2" t="n">
        <v>0</v>
      </c>
      <c r="O578" s="2" t="n">
        <v>0</v>
      </c>
      <c r="P578" s="2" t="n">
        <v>0</v>
      </c>
      <c r="Q578" s="2" t="n">
        <v>0</v>
      </c>
      <c r="R578" s="30">
        <f>IF(AND($C$5&lt;&gt;"",$A578=$C$5),1,"")</f>
        <v/>
      </c>
      <c r="S578" s="21">
        <f>IF(AND($C$5&lt;&gt;"",$A578=$C$5),SUMIFS($G$8:$G$715,$A$8:$A$715,$C$5,$B$8:$B$715,"&lt;="&amp;$B578),"")</f>
        <v/>
      </c>
      <c r="T578" s="24" t="n"/>
      <c r="U578" s="24" t="n"/>
    </row>
    <row r="579">
      <c r="A579" s="2" t="inlineStr">
        <is>
          <t>MYS-52</t>
        </is>
      </c>
      <c r="B579" s="2" t="n">
        <v>5</v>
      </c>
      <c r="C579" s="2" t="inlineStr">
        <is>
          <t>IMP01310</t>
        </is>
      </c>
      <c r="D579" s="2" t="inlineStr">
        <is>
          <t>Pacific Living Co.</t>
        </is>
      </c>
      <c r="E579" s="2" t="n">
        <v>2</v>
      </c>
      <c r="F579" s="27" t="n">
        <v>1785522.81</v>
      </c>
      <c r="G579" s="28" t="n">
        <v>0.1037</v>
      </c>
      <c r="H579" s="19" t="n">
        <v>1.3265</v>
      </c>
      <c r="I579" s="29" t="n">
        <v>0</v>
      </c>
      <c r="J579" s="2" t="inlineStr">
        <is>
          <t>EXP0048</t>
        </is>
      </c>
      <c r="K579" s="2" t="n">
        <v>1</v>
      </c>
      <c r="L579" s="2" t="inlineStr">
        <is>
          <t>BRK069</t>
        </is>
      </c>
      <c r="M579" s="2" t="inlineStr">
        <is>
          <t>LAND1</t>
        </is>
      </c>
      <c r="N579" s="2" t="n">
        <v>0</v>
      </c>
      <c r="O579" s="2" t="n">
        <v>0</v>
      </c>
      <c r="P579" s="2" t="n">
        <v>0</v>
      </c>
      <c r="Q579" s="2" t="n">
        <v>0</v>
      </c>
      <c r="R579" s="30">
        <f>IF(AND($C$5&lt;&gt;"",$A579=$C$5),1,"")</f>
        <v/>
      </c>
      <c r="S579" s="21">
        <f>IF(AND($C$5&lt;&gt;"",$A579=$C$5),SUMIFS($G$8:$G$715,$A$8:$A$715,$C$5,$B$8:$B$715,"&lt;="&amp;$B579),"")</f>
        <v/>
      </c>
      <c r="T579" s="24" t="n"/>
      <c r="U579" s="24" t="n"/>
    </row>
    <row r="580">
      <c r="A580" s="2" t="inlineStr">
        <is>
          <t>MYS-52</t>
        </is>
      </c>
      <c r="B580" s="2" t="n">
        <v>6</v>
      </c>
      <c r="C580" s="2" t="inlineStr">
        <is>
          <t>IMP01399</t>
        </is>
      </c>
      <c r="D580" s="2" t="inlineStr">
        <is>
          <t>Great Vellmoor Mobile Partners Ltd</t>
        </is>
      </c>
      <c r="E580" s="2" t="n">
        <v>1</v>
      </c>
      <c r="F580" s="27" t="n">
        <v>1109733.54</v>
      </c>
      <c r="G580" s="28" t="n">
        <v>0.0645</v>
      </c>
      <c r="H580" s="19" t="n">
        <v>1.003</v>
      </c>
      <c r="I580" s="29" t="n">
        <v>0</v>
      </c>
      <c r="J580" s="2" t="inlineStr">
        <is>
          <t>EXP0371</t>
        </is>
      </c>
      <c r="K580" s="2" t="n">
        <v>3</v>
      </c>
      <c r="L580" s="2" t="inlineStr">
        <is>
          <t>BRK015</t>
        </is>
      </c>
      <c r="M580" s="2" t="inlineStr">
        <is>
          <t>LAND6</t>
        </is>
      </c>
      <c r="N580" s="2" t="n">
        <v>0</v>
      </c>
      <c r="O580" s="2" t="n">
        <v>1</v>
      </c>
      <c r="P580" s="2" t="n">
        <v>0</v>
      </c>
      <c r="Q580" s="2" t="n">
        <v>0</v>
      </c>
      <c r="R580" s="30">
        <f>IF(AND($C$5&lt;&gt;"",$A580=$C$5),1,"")</f>
        <v/>
      </c>
      <c r="S580" s="21">
        <f>IF(AND($C$5&lt;&gt;"",$A580=$C$5),SUMIFS($G$8:$G$715,$A$8:$A$715,$C$5,$B$8:$B$715,"&lt;="&amp;$B580),"")</f>
        <v/>
      </c>
      <c r="T580" s="24" t="n"/>
      <c r="U580" s="24" t="n"/>
    </row>
    <row r="581">
      <c r="A581" s="2" t="inlineStr">
        <is>
          <t>MYS-52</t>
        </is>
      </c>
      <c r="B581" s="2" t="n">
        <v>7</v>
      </c>
      <c r="C581" s="2" t="inlineStr">
        <is>
          <t>IMP01216</t>
        </is>
      </c>
      <c r="D581" s="2" t="inlineStr">
        <is>
          <t>Aldergate Mobile Holdings Ltd</t>
        </is>
      </c>
      <c r="E581" s="2" t="n">
        <v>1</v>
      </c>
      <c r="F581" s="27" t="n">
        <v>630467.65</v>
      </c>
      <c r="G581" s="28" t="n">
        <v>0.0366</v>
      </c>
      <c r="H581" s="19" t="n">
        <v>1.214</v>
      </c>
      <c r="I581" s="29" t="n">
        <v>0</v>
      </c>
      <c r="J581" s="2" t="inlineStr">
        <is>
          <t>EXP0371</t>
        </is>
      </c>
      <c r="K581" s="2" t="n">
        <v>3</v>
      </c>
      <c r="L581" s="2" t="inlineStr">
        <is>
          <t>BRK017</t>
        </is>
      </c>
      <c r="M581" s="2" t="inlineStr">
        <is>
          <t>AIR2</t>
        </is>
      </c>
      <c r="N581" s="2" t="n">
        <v>0</v>
      </c>
      <c r="O581" s="2" t="n">
        <v>0</v>
      </c>
      <c r="P581" s="2" t="n">
        <v>0</v>
      </c>
      <c r="Q581" s="2" t="n">
        <v>0</v>
      </c>
      <c r="R581" s="30">
        <f>IF(AND($C$5&lt;&gt;"",$A581=$C$5),1,"")</f>
        <v/>
      </c>
      <c r="S581" s="21">
        <f>IF(AND($C$5&lt;&gt;"",$A581=$C$5),SUMIFS($G$8:$G$715,$A$8:$A$715,$C$5,$B$8:$B$715,"&lt;="&amp;$B581),"")</f>
        <v/>
      </c>
      <c r="T581" s="24" t="n"/>
      <c r="U581" s="24" t="n"/>
    </row>
    <row r="582">
      <c r="A582" s="2" t="inlineStr">
        <is>
          <t>MYS-61</t>
        </is>
      </c>
      <c r="B582" s="2" t="n">
        <v>1</v>
      </c>
      <c r="C582" s="2" t="inlineStr">
        <is>
          <t>IMP00200</t>
        </is>
      </c>
      <c r="D582" s="2" t="inlineStr">
        <is>
          <t>Arden Commercial Co.</t>
        </is>
      </c>
      <c r="E582" s="2" t="n">
        <v>42</v>
      </c>
      <c r="F582" s="27" t="n">
        <v>53519513.58</v>
      </c>
      <c r="G582" s="28" t="n">
        <v>0.4255</v>
      </c>
      <c r="H582" s="19" t="n">
        <v>0.894</v>
      </c>
      <c r="I582" s="29" t="n">
        <v>0.07140000000000001</v>
      </c>
      <c r="J582" s="2" t="inlineStr">
        <is>
          <t>EXP0191</t>
        </is>
      </c>
      <c r="K582" s="2" t="n">
        <v>3</v>
      </c>
      <c r="L582" s="2" t="inlineStr">
        <is>
          <t>BRK044</t>
        </is>
      </c>
      <c r="M582" s="2" t="inlineStr">
        <is>
          <t>PORT1</t>
        </is>
      </c>
      <c r="N582" s="2" t="n">
        <v>0</v>
      </c>
      <c r="O582" s="2" t="n">
        <v>0</v>
      </c>
      <c r="P582" s="2" t="n">
        <v>0</v>
      </c>
      <c r="Q582" s="2" t="n">
        <v>0</v>
      </c>
      <c r="R582" s="30">
        <f>IF(AND($C$5&lt;&gt;"",$A582=$C$5),1,"")</f>
        <v/>
      </c>
      <c r="S582" s="21">
        <f>IF(AND($C$5&lt;&gt;"",$A582=$C$5),SUMIFS($G$8:$G$715,$A$8:$A$715,$C$5,$B$8:$B$715,"&lt;="&amp;$B582),"")</f>
        <v/>
      </c>
      <c r="T582" s="24" t="n"/>
      <c r="U582" s="24" t="n"/>
    </row>
    <row r="583">
      <c r="A583" s="2" t="inlineStr">
        <is>
          <t>MYS-61</t>
        </is>
      </c>
      <c r="B583" s="2" t="n">
        <v>2</v>
      </c>
      <c r="C583" s="2" t="inlineStr">
        <is>
          <t>IMP00780</t>
        </is>
      </c>
      <c r="D583" s="2" t="inlineStr">
        <is>
          <t>Aldergate Pack Enterprises</t>
        </is>
      </c>
      <c r="E583" s="2" t="n">
        <v>34</v>
      </c>
      <c r="F583" s="27" t="n">
        <v>25524720.23</v>
      </c>
      <c r="G583" s="28" t="n">
        <v>0.2029</v>
      </c>
      <c r="H583" s="19" t="n">
        <v>1.001</v>
      </c>
      <c r="I583" s="29" t="n">
        <v>0</v>
      </c>
      <c r="J583" s="2" t="inlineStr">
        <is>
          <t>EXP0571</t>
        </is>
      </c>
      <c r="K583" s="2" t="n">
        <v>1</v>
      </c>
      <c r="L583" s="2" t="inlineStr">
        <is>
          <t>BRK055</t>
        </is>
      </c>
      <c r="M583" s="2" t="inlineStr">
        <is>
          <t>PORT1</t>
        </is>
      </c>
      <c r="N583" s="2" t="n">
        <v>0</v>
      </c>
      <c r="O583" s="2" t="n">
        <v>0</v>
      </c>
      <c r="P583" s="2" t="n">
        <v>0</v>
      </c>
      <c r="Q583" s="2" t="n">
        <v>1</v>
      </c>
      <c r="R583" s="30">
        <f>IF(AND($C$5&lt;&gt;"",$A583=$C$5),1,"")</f>
        <v/>
      </c>
      <c r="S583" s="21">
        <f>IF(AND($C$5&lt;&gt;"",$A583=$C$5),SUMIFS($G$8:$G$715,$A$8:$A$715,$C$5,$B$8:$B$715,"&lt;="&amp;$B583),"")</f>
        <v/>
      </c>
      <c r="T583" s="24" t="n"/>
      <c r="U583" s="24" t="n"/>
    </row>
    <row r="584">
      <c r="A584" s="2" t="inlineStr">
        <is>
          <t>MYS-61</t>
        </is>
      </c>
      <c r="B584" s="2" t="n">
        <v>3</v>
      </c>
      <c r="C584" s="2" t="inlineStr">
        <is>
          <t>IMP01095</t>
        </is>
      </c>
      <c r="D584" s="2" t="inlineStr">
        <is>
          <t>Arden Supply Co., Ltd</t>
        </is>
      </c>
      <c r="E584" s="2" t="n">
        <v>7</v>
      </c>
      <c r="F584" s="27" t="n">
        <v>9437196.02</v>
      </c>
      <c r="G584" s="28" t="n">
        <v>0.075</v>
      </c>
      <c r="H584" s="19" t="n">
        <v>0.957</v>
      </c>
      <c r="I584" s="29" t="n">
        <v>0</v>
      </c>
      <c r="J584" s="2" t="inlineStr">
        <is>
          <t>EXP0336</t>
        </is>
      </c>
      <c r="K584" s="2" t="n">
        <v>3</v>
      </c>
      <c r="L584" s="2" t="inlineStr">
        <is>
          <t>BRK052</t>
        </is>
      </c>
      <c r="M584" s="2" t="inlineStr">
        <is>
          <t>LAND5</t>
        </is>
      </c>
      <c r="N584" s="2" t="n">
        <v>0</v>
      </c>
      <c r="O584" s="2" t="n">
        <v>0</v>
      </c>
      <c r="P584" s="2" t="n">
        <v>0</v>
      </c>
      <c r="Q584" s="2" t="n">
        <v>1</v>
      </c>
      <c r="R584" s="30">
        <f>IF(AND($C$5&lt;&gt;"",$A584=$C$5),1,"")</f>
        <v/>
      </c>
      <c r="S584" s="21">
        <f>IF(AND($C$5&lt;&gt;"",$A584=$C$5),SUMIFS($G$8:$G$715,$A$8:$A$715,$C$5,$B$8:$B$715,"&lt;="&amp;$B584),"")</f>
        <v/>
      </c>
      <c r="T584" s="24" t="n"/>
      <c r="U584" s="24" t="n"/>
    </row>
    <row r="585">
      <c r="A585" s="2" t="inlineStr">
        <is>
          <t>MYS-61</t>
        </is>
      </c>
      <c r="B585" s="2" t="n">
        <v>4</v>
      </c>
      <c r="C585" s="2" t="inlineStr">
        <is>
          <t>IMP00298</t>
        </is>
      </c>
      <c r="D585" s="2" t="inlineStr">
        <is>
          <t>Green Valley Fruits International Ltd</t>
        </is>
      </c>
      <c r="E585" s="2" t="n">
        <v>5</v>
      </c>
      <c r="F585" s="27" t="n">
        <v>6982327.18</v>
      </c>
      <c r="G585" s="28" t="n">
        <v>0.0555</v>
      </c>
      <c r="H585" s="19" t="n">
        <v>0.9320000000000001</v>
      </c>
      <c r="I585" s="29" t="n">
        <v>0</v>
      </c>
      <c r="J585" s="2" t="inlineStr">
        <is>
          <t>EXP0206</t>
        </is>
      </c>
      <c r="K585" s="2" t="n">
        <v>1</v>
      </c>
      <c r="L585" s="2" t="inlineStr">
        <is>
          <t>BRK008</t>
        </is>
      </c>
      <c r="M585" s="2" t="inlineStr">
        <is>
          <t>PORT1</t>
        </is>
      </c>
      <c r="N585" s="2" t="n">
        <v>0</v>
      </c>
      <c r="O585" s="2" t="n">
        <v>0</v>
      </c>
      <c r="P585" s="2" t="n">
        <v>0</v>
      </c>
      <c r="Q585" s="2" t="n">
        <v>0</v>
      </c>
      <c r="R585" s="30">
        <f>IF(AND($C$5&lt;&gt;"",$A585=$C$5),1,"")</f>
        <v/>
      </c>
      <c r="S585" s="21">
        <f>IF(AND($C$5&lt;&gt;"",$A585=$C$5),SUMIFS($G$8:$G$715,$A$8:$A$715,$C$5,$B$8:$B$715,"&lt;="&amp;$B585),"")</f>
        <v/>
      </c>
      <c r="T585" s="24" t="n"/>
      <c r="U585" s="24" t="n"/>
    </row>
    <row r="586">
      <c r="A586" s="2" t="inlineStr">
        <is>
          <t>MYS-61</t>
        </is>
      </c>
      <c r="B586" s="2" t="n">
        <v>5</v>
      </c>
      <c r="C586" s="2" t="inlineStr">
        <is>
          <t>IMP00057</t>
        </is>
      </c>
      <c r="D586" s="2" t="inlineStr">
        <is>
          <t>Central Textiles Limited</t>
        </is>
      </c>
      <c r="E586" s="2" t="n">
        <v>3</v>
      </c>
      <c r="F586" s="27" t="n">
        <v>5578010.46</v>
      </c>
      <c r="G586" s="28" t="n">
        <v>0.0443</v>
      </c>
      <c r="H586" s="19" t="n">
        <v>0.714</v>
      </c>
      <c r="I586" s="29" t="n">
        <v>0.6667</v>
      </c>
      <c r="J586" s="2" t="inlineStr">
        <is>
          <t>EXP0055</t>
        </is>
      </c>
      <c r="K586" s="2" t="n">
        <v>5</v>
      </c>
      <c r="L586" s="2" t="inlineStr">
        <is>
          <t>BRK021</t>
        </is>
      </c>
      <c r="M586" s="2" t="inlineStr">
        <is>
          <t>LAND5</t>
        </is>
      </c>
      <c r="N586" s="2" t="n">
        <v>0</v>
      </c>
      <c r="O586" s="2" t="n">
        <v>0</v>
      </c>
      <c r="P586" s="2" t="n">
        <v>0</v>
      </c>
      <c r="Q586" s="2" t="n">
        <v>0</v>
      </c>
      <c r="R586" s="30">
        <f>IF(AND($C$5&lt;&gt;"",$A586=$C$5),1,"")</f>
        <v/>
      </c>
      <c r="S586" s="21">
        <f>IF(AND($C$5&lt;&gt;"",$A586=$C$5),SUMIFS($G$8:$G$715,$A$8:$A$715,$C$5,$B$8:$B$715,"&lt;="&amp;$B586),"")</f>
        <v/>
      </c>
      <c r="T586" s="24" t="n"/>
      <c r="U586" s="24" t="n"/>
    </row>
    <row r="587">
      <c r="A587" s="2" t="inlineStr">
        <is>
          <t>MYS-61</t>
        </is>
      </c>
      <c r="B587" s="2" t="n">
        <v>6</v>
      </c>
      <c r="C587" s="2" t="inlineStr">
        <is>
          <t>IMP01039</t>
        </is>
      </c>
      <c r="D587" s="2" t="inlineStr">
        <is>
          <t>Metro Commercial Co.</t>
        </is>
      </c>
      <c r="E587" s="2" t="n">
        <v>5</v>
      </c>
      <c r="F587" s="27" t="n">
        <v>5411705.54</v>
      </c>
      <c r="G587" s="28" t="n">
        <v>0.043</v>
      </c>
      <c r="H587" s="19" t="n">
        <v>1.175</v>
      </c>
      <c r="I587" s="29" t="n">
        <v>0</v>
      </c>
      <c r="J587" s="2" t="inlineStr">
        <is>
          <t>EXP0335</t>
        </is>
      </c>
      <c r="K587" s="2" t="n">
        <v>1</v>
      </c>
      <c r="L587" s="2" t="inlineStr">
        <is>
          <t>BRK048</t>
        </is>
      </c>
      <c r="M587" s="2" t="inlineStr">
        <is>
          <t>AIR2</t>
        </is>
      </c>
      <c r="N587" s="2" t="n">
        <v>0</v>
      </c>
      <c r="O587" s="2" t="n">
        <v>0</v>
      </c>
      <c r="P587" s="2" t="n">
        <v>0</v>
      </c>
      <c r="Q587" s="2" t="n">
        <v>0</v>
      </c>
      <c r="R587" s="30">
        <f>IF(AND($C$5&lt;&gt;"",$A587=$C$5),1,"")</f>
        <v/>
      </c>
      <c r="S587" s="21">
        <f>IF(AND($C$5&lt;&gt;"",$A587=$C$5),SUMIFS($G$8:$G$715,$A$8:$A$715,$C$5,$B$8:$B$715,"&lt;="&amp;$B587),"")</f>
        <v/>
      </c>
      <c r="T587" s="24" t="n"/>
      <c r="U587" s="24" t="n"/>
    </row>
    <row r="588">
      <c r="A588" s="2" t="inlineStr">
        <is>
          <t>MYS-61</t>
        </is>
      </c>
      <c r="B588" s="2" t="n">
        <v>7</v>
      </c>
      <c r="C588" s="2" t="inlineStr">
        <is>
          <t>IMP01331</t>
        </is>
      </c>
      <c r="D588" s="2" t="inlineStr">
        <is>
          <t>Pacific Supply Ltd</t>
        </is>
      </c>
      <c r="E588" s="2" t="n">
        <v>8</v>
      </c>
      <c r="F588" s="27" t="n">
        <v>5100505.24</v>
      </c>
      <c r="G588" s="28" t="n">
        <v>0.0405</v>
      </c>
      <c r="H588" s="19" t="n">
        <v>1.0045</v>
      </c>
      <c r="I588" s="29" t="n">
        <v>0</v>
      </c>
      <c r="J588" s="2" t="inlineStr">
        <is>
          <t>EXP0191</t>
        </is>
      </c>
      <c r="K588" s="2" t="n">
        <v>3</v>
      </c>
      <c r="L588" s="2" t="inlineStr">
        <is>
          <t>BRK049</t>
        </is>
      </c>
      <c r="M588" s="2" t="inlineStr">
        <is>
          <t>AIR1</t>
        </is>
      </c>
      <c r="N588" s="2" t="n">
        <v>0</v>
      </c>
      <c r="O588" s="2" t="n">
        <v>0</v>
      </c>
      <c r="P588" s="2" t="n">
        <v>0</v>
      </c>
      <c r="Q588" s="2" t="n">
        <v>1</v>
      </c>
      <c r="R588" s="30">
        <f>IF(AND($C$5&lt;&gt;"",$A588=$C$5),1,"")</f>
        <v/>
      </c>
      <c r="S588" s="21">
        <f>IF(AND($C$5&lt;&gt;"",$A588=$C$5),SUMIFS($G$8:$G$715,$A$8:$A$715,$C$5,$B$8:$B$715,"&lt;="&amp;$B588),"")</f>
        <v/>
      </c>
      <c r="T588" s="24" t="n"/>
      <c r="U588" s="24" t="n"/>
    </row>
    <row r="589">
      <c r="A589" s="2" t="inlineStr">
        <is>
          <t>MYS-61</t>
        </is>
      </c>
      <c r="B589" s="2" t="n">
        <v>8</v>
      </c>
      <c r="C589" s="2" t="inlineStr">
        <is>
          <t>IMP00015</t>
        </is>
      </c>
      <c r="D589" s="2" t="inlineStr">
        <is>
          <t>Silver Logistics Co., Ltd</t>
        </is>
      </c>
      <c r="E589" s="2" t="n">
        <v>2</v>
      </c>
      <c r="F589" s="27" t="n">
        <v>4444522.34</v>
      </c>
      <c r="G589" s="28" t="n">
        <v>0.0353</v>
      </c>
      <c r="H589" s="19" t="n">
        <v>0.777</v>
      </c>
      <c r="I589" s="29" t="n">
        <v>0.5</v>
      </c>
      <c r="J589" s="2" t="inlineStr">
        <is>
          <t>EXP0055</t>
        </is>
      </c>
      <c r="K589" s="2" t="n">
        <v>5</v>
      </c>
      <c r="L589" s="2" t="inlineStr">
        <is>
          <t>BRK034</t>
        </is>
      </c>
      <c r="M589" s="2" t="inlineStr">
        <is>
          <t>AIR1</t>
        </is>
      </c>
      <c r="N589" s="2" t="n">
        <v>0</v>
      </c>
      <c r="O589" s="2" t="n">
        <v>0</v>
      </c>
      <c r="P589" s="2" t="n">
        <v>1</v>
      </c>
      <c r="Q589" s="2" t="n">
        <v>0</v>
      </c>
      <c r="R589" s="30">
        <f>IF(AND($C$5&lt;&gt;"",$A589=$C$5),1,"")</f>
        <v/>
      </c>
      <c r="S589" s="21">
        <f>IF(AND($C$5&lt;&gt;"",$A589=$C$5),SUMIFS($G$8:$G$715,$A$8:$A$715,$C$5,$B$8:$B$715,"&lt;="&amp;$B589),"")</f>
        <v/>
      </c>
      <c r="T589" s="24" t="n"/>
      <c r="U589" s="24" t="n"/>
    </row>
    <row r="590">
      <c r="A590" s="2" t="inlineStr">
        <is>
          <t>MYS-61</t>
        </is>
      </c>
      <c r="B590" s="2" t="n">
        <v>9</v>
      </c>
      <c r="C590" s="2" t="inlineStr">
        <is>
          <t>IMP01216</t>
        </is>
      </c>
      <c r="D590" s="2" t="inlineStr">
        <is>
          <t>Aldergate Mobile Holdings Ltd</t>
        </is>
      </c>
      <c r="E590" s="2" t="n">
        <v>3</v>
      </c>
      <c r="F590" s="27" t="n">
        <v>2479879.54</v>
      </c>
      <c r="G590" s="28" t="n">
        <v>0.0197</v>
      </c>
      <c r="H590" s="19" t="n">
        <v>0.996</v>
      </c>
      <c r="I590" s="29" t="n">
        <v>0</v>
      </c>
      <c r="J590" s="2" t="inlineStr">
        <is>
          <t>EXP0371</t>
        </is>
      </c>
      <c r="K590" s="2" t="n">
        <v>2</v>
      </c>
      <c r="L590" s="2" t="inlineStr">
        <is>
          <t>BRK017</t>
        </is>
      </c>
      <c r="M590" s="2" t="inlineStr">
        <is>
          <t>AIR2</t>
        </is>
      </c>
      <c r="N590" s="2" t="n">
        <v>0</v>
      </c>
      <c r="O590" s="2" t="n">
        <v>0</v>
      </c>
      <c r="P590" s="2" t="n">
        <v>0</v>
      </c>
      <c r="Q590" s="2" t="n">
        <v>0</v>
      </c>
      <c r="R590" s="30">
        <f>IF(AND($C$5&lt;&gt;"",$A590=$C$5),1,"")</f>
        <v/>
      </c>
      <c r="S590" s="21">
        <f>IF(AND($C$5&lt;&gt;"",$A590=$C$5),SUMIFS($G$8:$G$715,$A$8:$A$715,$C$5,$B$8:$B$715,"&lt;="&amp;$B590),"")</f>
        <v/>
      </c>
      <c r="T590" s="24" t="n"/>
      <c r="U590" s="24" t="n"/>
    </row>
    <row r="591">
      <c r="A591" s="2" t="inlineStr">
        <is>
          <t>MYS-61</t>
        </is>
      </c>
      <c r="B591" s="2" t="n">
        <v>10</v>
      </c>
      <c r="C591" s="2" t="inlineStr">
        <is>
          <t>IMP01411</t>
        </is>
      </c>
      <c r="D591" s="2" t="inlineStr">
        <is>
          <t>Pacific Industries Co.</t>
        </is>
      </c>
      <c r="E591" s="2" t="n">
        <v>2</v>
      </c>
      <c r="F591" s="27" t="n">
        <v>1708691.9</v>
      </c>
      <c r="G591" s="28" t="n">
        <v>0.0136</v>
      </c>
      <c r="H591" s="19" t="n">
        <v>1.0695</v>
      </c>
      <c r="I591" s="29" t="n">
        <v>0</v>
      </c>
      <c r="J591" s="2" t="inlineStr">
        <is>
          <t>EXP0371</t>
        </is>
      </c>
      <c r="K591" s="2" t="n">
        <v>2</v>
      </c>
      <c r="L591" s="2" t="inlineStr">
        <is>
          <t>BRK050</t>
        </is>
      </c>
      <c r="M591" s="2" t="inlineStr">
        <is>
          <t>LAND3</t>
        </is>
      </c>
      <c r="N591" s="2" t="n">
        <v>0</v>
      </c>
      <c r="O591" s="2" t="n">
        <v>0</v>
      </c>
      <c r="P591" s="2" t="n">
        <v>0</v>
      </c>
      <c r="Q591" s="2" t="n">
        <v>0</v>
      </c>
      <c r="R591" s="30">
        <f>IF(AND($C$5&lt;&gt;"",$A591=$C$5),1,"")</f>
        <v/>
      </c>
      <c r="S591" s="21">
        <f>IF(AND($C$5&lt;&gt;"",$A591=$C$5),SUMIFS($G$8:$G$715,$A$8:$A$715,$C$5,$B$8:$B$715,"&lt;="&amp;$B591),"")</f>
        <v/>
      </c>
      <c r="T591" s="24" t="n"/>
      <c r="U591" s="24" t="n"/>
    </row>
    <row r="592">
      <c r="A592" s="2" t="inlineStr">
        <is>
          <t>MYS-61</t>
        </is>
      </c>
      <c r="B592" s="2" t="n">
        <v>11</v>
      </c>
      <c r="C592" s="2" t="inlineStr">
        <is>
          <t>IMP00006</t>
        </is>
      </c>
      <c r="D592" s="2" t="inlineStr">
        <is>
          <t>Saffron Textiles Co.</t>
        </is>
      </c>
      <c r="E592" s="2" t="n">
        <v>2</v>
      </c>
      <c r="F592" s="27" t="n">
        <v>1699885.88</v>
      </c>
      <c r="G592" s="28" t="n">
        <v>0.0135</v>
      </c>
      <c r="H592" s="19" t="n">
        <v>1.0965</v>
      </c>
      <c r="I592" s="29" t="n">
        <v>0</v>
      </c>
      <c r="J592" s="2" t="inlineStr">
        <is>
          <t>EXP0090</t>
        </is>
      </c>
      <c r="K592" s="2" t="n">
        <v>1</v>
      </c>
      <c r="L592" s="2" t="inlineStr">
        <is>
          <t>BRK053</t>
        </is>
      </c>
      <c r="M592" s="2" t="inlineStr">
        <is>
          <t>PORT1</t>
        </is>
      </c>
      <c r="N592" s="2" t="n">
        <v>0</v>
      </c>
      <c r="O592" s="2" t="n">
        <v>0</v>
      </c>
      <c r="P592" s="2" t="n">
        <v>0</v>
      </c>
      <c r="Q592" s="2" t="n">
        <v>0</v>
      </c>
      <c r="R592" s="30">
        <f>IF(AND($C$5&lt;&gt;"",$A592=$C$5),1,"")</f>
        <v/>
      </c>
      <c r="S592" s="21">
        <f>IF(AND($C$5&lt;&gt;"",$A592=$C$5),SUMIFS($G$8:$G$715,$A$8:$A$715,$C$5,$B$8:$B$715,"&lt;="&amp;$B592),"")</f>
        <v/>
      </c>
      <c r="T592" s="24" t="n"/>
      <c r="U592" s="24" t="n"/>
    </row>
    <row r="593">
      <c r="A593" s="2" t="inlineStr">
        <is>
          <t>MYS-61</t>
        </is>
      </c>
      <c r="B593" s="2" t="n">
        <v>12</v>
      </c>
      <c r="C593" s="2" t="inlineStr">
        <is>
          <t>IMP00684</t>
        </is>
      </c>
      <c r="D593" s="2" t="inlineStr">
        <is>
          <t>United Pack Enterprises</t>
        </is>
      </c>
      <c r="E593" s="2" t="n">
        <v>1</v>
      </c>
      <c r="F593" s="27" t="n">
        <v>1241528.39</v>
      </c>
      <c r="G593" s="28" t="n">
        <v>0.009900000000000001</v>
      </c>
      <c r="H593" s="19" t="n">
        <v>1.158</v>
      </c>
      <c r="I593" s="29" t="n">
        <v>0</v>
      </c>
      <c r="J593" s="2" t="inlineStr">
        <is>
          <t>EXP0127</t>
        </is>
      </c>
      <c r="K593" s="2" t="n">
        <v>1</v>
      </c>
      <c r="L593" s="2" t="inlineStr">
        <is>
          <t>BRK002</t>
        </is>
      </c>
      <c r="M593" s="2" t="inlineStr">
        <is>
          <t>PORT3</t>
        </is>
      </c>
      <c r="N593" s="2" t="n">
        <v>0</v>
      </c>
      <c r="O593" s="2" t="n">
        <v>0</v>
      </c>
      <c r="P593" s="2" t="n">
        <v>0</v>
      </c>
      <c r="Q593" s="2" t="n">
        <v>0</v>
      </c>
      <c r="R593" s="30">
        <f>IF(AND($C$5&lt;&gt;"",$A593=$C$5),1,"")</f>
        <v/>
      </c>
      <c r="S593" s="21">
        <f>IF(AND($C$5&lt;&gt;"",$A593=$C$5),SUMIFS($G$8:$G$715,$A$8:$A$715,$C$5,$B$8:$B$715,"&lt;="&amp;$B593),"")</f>
        <v/>
      </c>
      <c r="T593" s="24" t="n"/>
      <c r="U593" s="24" t="n"/>
    </row>
    <row r="594">
      <c r="A594" s="2" t="inlineStr">
        <is>
          <t>MYS-61</t>
        </is>
      </c>
      <c r="B594" s="2" t="n">
        <v>13</v>
      </c>
      <c r="C594" s="2" t="inlineStr">
        <is>
          <t>IMP00557</t>
        </is>
      </c>
      <c r="D594" s="2" t="inlineStr">
        <is>
          <t>Northern Electronics Co., Ltd</t>
        </is>
      </c>
      <c r="E594" s="2" t="n">
        <v>2</v>
      </c>
      <c r="F594" s="27" t="n">
        <v>1047832.79</v>
      </c>
      <c r="G594" s="28" t="n">
        <v>0.0083</v>
      </c>
      <c r="H594" s="19" t="n">
        <v>1.0335</v>
      </c>
      <c r="I594" s="29" t="n">
        <v>0</v>
      </c>
      <c r="J594" s="2" t="inlineStr">
        <is>
          <t>EXP0181</t>
        </is>
      </c>
      <c r="K594" s="2" t="n">
        <v>3</v>
      </c>
      <c r="L594" s="2" t="inlineStr">
        <is>
          <t>BRK049</t>
        </is>
      </c>
      <c r="M594" s="2" t="inlineStr">
        <is>
          <t>PORT2</t>
        </is>
      </c>
      <c r="N594" s="2" t="n">
        <v>0</v>
      </c>
      <c r="O594" s="2" t="n">
        <v>0</v>
      </c>
      <c r="P594" s="2" t="n">
        <v>0</v>
      </c>
      <c r="Q594" s="2" t="n">
        <v>0</v>
      </c>
      <c r="R594" s="30">
        <f>IF(AND($C$5&lt;&gt;"",$A594=$C$5),1,"")</f>
        <v/>
      </c>
      <c r="S594" s="21">
        <f>IF(AND($C$5&lt;&gt;"",$A594=$C$5),SUMIFS($G$8:$G$715,$A$8:$A$715,$C$5,$B$8:$B$715,"&lt;="&amp;$B594),"")</f>
        <v/>
      </c>
      <c r="T594" s="24" t="n"/>
      <c r="U594" s="24" t="n"/>
    </row>
    <row r="595">
      <c r="A595" s="2" t="inlineStr">
        <is>
          <t>MYS-61</t>
        </is>
      </c>
      <c r="B595" s="2" t="n">
        <v>14</v>
      </c>
      <c r="C595" s="2" t="inlineStr">
        <is>
          <t>IMP00003</t>
        </is>
      </c>
      <c r="D595" s="2" t="inlineStr">
        <is>
          <t>Saffron Trading &amp; Sons</t>
        </is>
      </c>
      <c r="E595" s="2" t="n">
        <v>1</v>
      </c>
      <c r="F595" s="27" t="n">
        <v>948431.5699999999</v>
      </c>
      <c r="G595" s="28" t="n">
        <v>0.0075</v>
      </c>
      <c r="H595" s="19" t="n">
        <v>0.906</v>
      </c>
      <c r="I595" s="29" t="n">
        <v>0</v>
      </c>
      <c r="J595" s="2" t="inlineStr">
        <is>
          <t>EXP0181</t>
        </is>
      </c>
      <c r="K595" s="2" t="n">
        <v>3</v>
      </c>
      <c r="L595" s="2" t="inlineStr">
        <is>
          <t>BRK054</t>
        </is>
      </c>
      <c r="M595" s="2" t="inlineStr">
        <is>
          <t>LAND2</t>
        </is>
      </c>
      <c r="N595" s="2" t="n">
        <v>0</v>
      </c>
      <c r="O595" s="2" t="n">
        <v>0</v>
      </c>
      <c r="P595" s="2" t="n">
        <v>0</v>
      </c>
      <c r="Q595" s="2" t="n">
        <v>0</v>
      </c>
      <c r="R595" s="30">
        <f>IF(AND($C$5&lt;&gt;"",$A595=$C$5),1,"")</f>
        <v/>
      </c>
      <c r="S595" s="21">
        <f>IF(AND($C$5&lt;&gt;"",$A595=$C$5),SUMIFS($G$8:$G$715,$A$8:$A$715,$C$5,$B$8:$B$715,"&lt;="&amp;$B595),"")</f>
        <v/>
      </c>
      <c r="T595" s="24" t="n"/>
      <c r="U595" s="24" t="n"/>
    </row>
    <row r="596">
      <c r="A596" s="2" t="inlineStr">
        <is>
          <t>MYS-61</t>
        </is>
      </c>
      <c r="B596" s="2" t="n">
        <v>15</v>
      </c>
      <c r="C596" s="2" t="inlineStr">
        <is>
          <t>IMP01171</t>
        </is>
      </c>
      <c r="D596" s="2" t="inlineStr">
        <is>
          <t>Lotus Pack Holdings Ltd</t>
        </is>
      </c>
      <c r="E596" s="2" t="n">
        <v>1</v>
      </c>
      <c r="F596" s="27" t="n">
        <v>669816.28</v>
      </c>
      <c r="G596" s="28" t="n">
        <v>0.0053</v>
      </c>
      <c r="H596" s="19" t="n">
        <v>1.118</v>
      </c>
      <c r="I596" s="29" t="n">
        <v>0</v>
      </c>
      <c r="J596" s="2" t="inlineStr">
        <is>
          <t>EXP0181</t>
        </is>
      </c>
      <c r="K596" s="2" t="n">
        <v>3</v>
      </c>
      <c r="L596" s="2" t="inlineStr">
        <is>
          <t>BRK041</t>
        </is>
      </c>
      <c r="M596" s="2" t="inlineStr">
        <is>
          <t>AIR1</t>
        </is>
      </c>
      <c r="N596" s="2" t="n">
        <v>0</v>
      </c>
      <c r="O596" s="2" t="n">
        <v>1</v>
      </c>
      <c r="P596" s="2" t="n">
        <v>0</v>
      </c>
      <c r="Q596" s="2" t="n">
        <v>0</v>
      </c>
      <c r="R596" s="30">
        <f>IF(AND($C$5&lt;&gt;"",$A596=$C$5),1,"")</f>
        <v/>
      </c>
      <c r="S596" s="21">
        <f>IF(AND($C$5&lt;&gt;"",$A596=$C$5),SUMIFS($G$8:$G$715,$A$8:$A$715,$C$5,$B$8:$B$715,"&lt;="&amp;$B596),"")</f>
        <v/>
      </c>
      <c r="T596" s="24" t="n"/>
      <c r="U596" s="24" t="n"/>
    </row>
    <row r="597">
      <c r="A597" s="2" t="inlineStr">
        <is>
          <t>MYS-72</t>
        </is>
      </c>
      <c r="B597" s="2" t="n">
        <v>1</v>
      </c>
      <c r="C597" s="2" t="inlineStr">
        <is>
          <t>IMP00915</t>
        </is>
      </c>
      <c r="D597" s="2" t="inlineStr">
        <is>
          <t>Aldergate Distribution Holdings Ltd</t>
        </is>
      </c>
      <c r="E597" s="2" t="n">
        <v>124</v>
      </c>
      <c r="F597" s="27" t="n">
        <v>604713496.04</v>
      </c>
      <c r="G597" s="28" t="n">
        <v>0.2391</v>
      </c>
      <c r="H597" s="19" t="n">
        <v>0.9895</v>
      </c>
      <c r="I597" s="29" t="n">
        <v>0.0081</v>
      </c>
      <c r="J597" s="2" t="inlineStr">
        <is>
          <t>EXP0371</t>
        </is>
      </c>
      <c r="K597" s="2" t="n">
        <v>3</v>
      </c>
      <c r="L597" s="2" t="inlineStr">
        <is>
          <t>BRK037</t>
        </is>
      </c>
      <c r="M597" s="2" t="inlineStr">
        <is>
          <t>PORT1</t>
        </is>
      </c>
      <c r="N597" s="2" t="n">
        <v>0</v>
      </c>
      <c r="O597" s="2" t="n">
        <v>0</v>
      </c>
      <c r="P597" s="2" t="n">
        <v>0</v>
      </c>
      <c r="Q597" s="2" t="n">
        <v>0</v>
      </c>
      <c r="R597" s="30">
        <f>IF(AND($C$5&lt;&gt;"",$A597=$C$5),1,"")</f>
        <v/>
      </c>
      <c r="S597" s="21">
        <f>IF(AND($C$5&lt;&gt;"",$A597=$C$5),SUMIFS($G$8:$G$715,$A$8:$A$715,$C$5,$B$8:$B$715,"&lt;="&amp;$B597),"")</f>
        <v/>
      </c>
      <c r="T597" s="24" t="n"/>
      <c r="U597" s="24" t="n"/>
    </row>
    <row r="598">
      <c r="A598" s="2" t="inlineStr">
        <is>
          <t>MYS-72</t>
        </is>
      </c>
      <c r="B598" s="2" t="n">
        <v>2</v>
      </c>
      <c r="C598" s="2" t="inlineStr">
        <is>
          <t>IMP00279</t>
        </is>
      </c>
      <c r="D598" s="2" t="inlineStr">
        <is>
          <t>Coral Living Enterprises</t>
        </is>
      </c>
      <c r="E598" s="2" t="n">
        <v>44</v>
      </c>
      <c r="F598" s="27" t="n">
        <v>204933855.37</v>
      </c>
      <c r="G598" s="28" t="n">
        <v>0.081</v>
      </c>
      <c r="H598" s="19" t="n">
        <v>0.9955000000000001</v>
      </c>
      <c r="I598" s="29" t="n">
        <v>0</v>
      </c>
      <c r="J598" s="2" t="inlineStr">
        <is>
          <t>EXP0185</t>
        </is>
      </c>
      <c r="K598" s="2" t="n">
        <v>6</v>
      </c>
      <c r="L598" s="2" t="inlineStr">
        <is>
          <t>BRK041</t>
        </is>
      </c>
      <c r="M598" s="2" t="inlineStr">
        <is>
          <t>PORT1</t>
        </is>
      </c>
      <c r="N598" s="2" t="n">
        <v>0</v>
      </c>
      <c r="O598" s="2" t="n">
        <v>0</v>
      </c>
      <c r="P598" s="2" t="n">
        <v>0</v>
      </c>
      <c r="Q598" s="2" t="n">
        <v>0</v>
      </c>
      <c r="R598" s="30">
        <f>IF(AND($C$5&lt;&gt;"",$A598=$C$5),1,"")</f>
        <v/>
      </c>
      <c r="S598" s="21">
        <f>IF(AND($C$5&lt;&gt;"",$A598=$C$5),SUMIFS($G$8:$G$715,$A$8:$A$715,$C$5,$B$8:$B$715,"&lt;="&amp;$B598),"")</f>
        <v/>
      </c>
      <c r="T598" s="24" t="n"/>
      <c r="U598" s="24" t="n"/>
    </row>
    <row r="599">
      <c r="A599" s="2" t="inlineStr">
        <is>
          <t>MYS-72</t>
        </is>
      </c>
      <c r="B599" s="2" t="n">
        <v>3</v>
      </c>
      <c r="C599" s="2" t="inlineStr">
        <is>
          <t>IMP00680</t>
        </is>
      </c>
      <c r="D599" s="2" t="inlineStr">
        <is>
          <t>Prime Living Limited</t>
        </is>
      </c>
      <c r="E599" s="2" t="n">
        <v>61</v>
      </c>
      <c r="F599" s="27" t="n">
        <v>196354323.96</v>
      </c>
      <c r="G599" s="28" t="n">
        <v>0.0776</v>
      </c>
      <c r="H599" s="19" t="n">
        <v>0.9379999999999999</v>
      </c>
      <c r="I599" s="29" t="n">
        <v>0.0328</v>
      </c>
      <c r="J599" s="2" t="inlineStr">
        <is>
          <t>EXP0410</t>
        </is>
      </c>
      <c r="K599" s="2" t="n">
        <v>4</v>
      </c>
      <c r="L599" s="2" t="inlineStr">
        <is>
          <t>BRK043</t>
        </is>
      </c>
      <c r="M599" s="2" t="inlineStr">
        <is>
          <t>LAND3</t>
        </is>
      </c>
      <c r="N599" s="2" t="n">
        <v>0</v>
      </c>
      <c r="O599" s="2" t="n">
        <v>0</v>
      </c>
      <c r="P599" s="2" t="n">
        <v>0</v>
      </c>
      <c r="Q599" s="2" t="n">
        <v>0</v>
      </c>
      <c r="R599" s="30">
        <f>IF(AND($C$5&lt;&gt;"",$A599=$C$5),1,"")</f>
        <v/>
      </c>
      <c r="S599" s="21">
        <f>IF(AND($C$5&lt;&gt;"",$A599=$C$5),SUMIFS($G$8:$G$715,$A$8:$A$715,$C$5,$B$8:$B$715,"&lt;="&amp;$B599),"")</f>
        <v/>
      </c>
      <c r="T599" s="24" t="n"/>
      <c r="U599" s="24" t="n"/>
    </row>
    <row r="600">
      <c r="A600" s="2" t="inlineStr">
        <is>
          <t>MYS-72</t>
        </is>
      </c>
      <c r="B600" s="2" t="n">
        <v>4</v>
      </c>
      <c r="C600" s="2" t="inlineStr">
        <is>
          <t>IMP00888</t>
        </is>
      </c>
      <c r="D600" s="2" t="inlineStr">
        <is>
          <t>Blue Ocean Commercial Partners Ltd</t>
        </is>
      </c>
      <c r="E600" s="2" t="n">
        <v>43</v>
      </c>
      <c r="F600" s="27" t="n">
        <v>190601306.92</v>
      </c>
      <c r="G600" s="28" t="n">
        <v>0.07530000000000001</v>
      </c>
      <c r="H600" s="19" t="n">
        <v>0.895</v>
      </c>
      <c r="I600" s="29" t="n">
        <v>0.0465</v>
      </c>
      <c r="J600" s="2" t="inlineStr">
        <is>
          <t>EXP0349</t>
        </is>
      </c>
      <c r="K600" s="2" t="n">
        <v>5</v>
      </c>
      <c r="L600" s="2" t="inlineStr">
        <is>
          <t>BRK046</t>
        </is>
      </c>
      <c r="M600" s="2" t="inlineStr">
        <is>
          <t>PORT2</t>
        </is>
      </c>
      <c r="N600" s="2" t="n">
        <v>0</v>
      </c>
      <c r="O600" s="2" t="n">
        <v>0</v>
      </c>
      <c r="P600" s="2" t="n">
        <v>0</v>
      </c>
      <c r="Q600" s="2" t="n">
        <v>0</v>
      </c>
      <c r="R600" s="30">
        <f>IF(AND($C$5&lt;&gt;"",$A600=$C$5),1,"")</f>
        <v/>
      </c>
      <c r="S600" s="21">
        <f>IF(AND($C$5&lt;&gt;"",$A600=$C$5),SUMIFS($G$8:$G$715,$A$8:$A$715,$C$5,$B$8:$B$715,"&lt;="&amp;$B600),"")</f>
        <v/>
      </c>
      <c r="T600" s="24" t="n"/>
      <c r="U600" s="24" t="n"/>
    </row>
    <row r="601">
      <c r="A601" s="2" t="inlineStr">
        <is>
          <t>MYS-72</t>
        </is>
      </c>
      <c r="B601" s="2" t="n">
        <v>5</v>
      </c>
      <c r="C601" s="2" t="inlineStr">
        <is>
          <t>IMP00110</t>
        </is>
      </c>
      <c r="D601" s="2" t="inlineStr">
        <is>
          <t>Coral Living International Ltd</t>
        </is>
      </c>
      <c r="E601" s="2" t="n">
        <v>46</v>
      </c>
      <c r="F601" s="27" t="n">
        <v>173070069.18</v>
      </c>
      <c r="G601" s="28" t="n">
        <v>0.0684</v>
      </c>
      <c r="H601" s="19" t="n">
        <v>0.9455</v>
      </c>
      <c r="I601" s="29" t="n">
        <v>0</v>
      </c>
      <c r="J601" s="2" t="inlineStr">
        <is>
          <t>EXP0571</t>
        </is>
      </c>
      <c r="K601" s="2" t="n">
        <v>7</v>
      </c>
      <c r="L601" s="2" t="inlineStr">
        <is>
          <t>BRK010</t>
        </is>
      </c>
      <c r="M601" s="2" t="inlineStr">
        <is>
          <t>LAND6</t>
        </is>
      </c>
      <c r="N601" s="2" t="n">
        <v>0</v>
      </c>
      <c r="O601" s="2" t="n">
        <v>0</v>
      </c>
      <c r="P601" s="2" t="n">
        <v>0</v>
      </c>
      <c r="Q601" s="2" t="n">
        <v>0</v>
      </c>
      <c r="R601" s="30">
        <f>IF(AND($C$5&lt;&gt;"",$A601=$C$5),1,"")</f>
        <v/>
      </c>
      <c r="S601" s="21">
        <f>IF(AND($C$5&lt;&gt;"",$A601=$C$5),SUMIFS($G$8:$G$715,$A$8:$A$715,$C$5,$B$8:$B$715,"&lt;="&amp;$B601),"")</f>
        <v/>
      </c>
      <c r="T601" s="24" t="n"/>
      <c r="U601" s="24" t="n"/>
    </row>
    <row r="602">
      <c r="A602" s="2" t="inlineStr">
        <is>
          <t>MYS-72</t>
        </is>
      </c>
      <c r="B602" s="2" t="n">
        <v>6</v>
      </c>
      <c r="C602" s="2" t="inlineStr">
        <is>
          <t>IMP00717</t>
        </is>
      </c>
      <c r="D602" s="2" t="inlineStr">
        <is>
          <t>Dunmore Mobile Partners Ltd</t>
        </is>
      </c>
      <c r="E602" s="2" t="n">
        <v>31</v>
      </c>
      <c r="F602" s="27" t="n">
        <v>160459008.7</v>
      </c>
      <c r="G602" s="28" t="n">
        <v>0.0634</v>
      </c>
      <c r="H602" s="19" t="n">
        <v>0.952</v>
      </c>
      <c r="I602" s="29" t="n">
        <v>0.0323</v>
      </c>
      <c r="J602" s="2" t="inlineStr">
        <is>
          <t>EXP0441</t>
        </is>
      </c>
      <c r="K602" s="2" t="n">
        <v>3</v>
      </c>
      <c r="L602" s="2" t="inlineStr">
        <is>
          <t>BRK013</t>
        </is>
      </c>
      <c r="M602" s="2" t="inlineStr">
        <is>
          <t>PORT1</t>
        </is>
      </c>
      <c r="N602" s="2" t="n">
        <v>0</v>
      </c>
      <c r="O602" s="2" t="n">
        <v>0</v>
      </c>
      <c r="P602" s="2" t="n">
        <v>0</v>
      </c>
      <c r="Q602" s="2" t="n">
        <v>0</v>
      </c>
      <c r="R602" s="30">
        <f>IF(AND($C$5&lt;&gt;"",$A602=$C$5),1,"")</f>
        <v/>
      </c>
      <c r="S602" s="21">
        <f>IF(AND($C$5&lt;&gt;"",$A602=$C$5),SUMIFS($G$8:$G$715,$A$8:$A$715,$C$5,$B$8:$B$715,"&lt;="&amp;$B602),"")</f>
        <v/>
      </c>
      <c r="T602" s="24" t="n"/>
      <c r="U602" s="24" t="n"/>
    </row>
    <row r="603">
      <c r="A603" s="2" t="inlineStr">
        <is>
          <t>MYS-72</t>
        </is>
      </c>
      <c r="B603" s="2" t="n">
        <v>7</v>
      </c>
      <c r="C603" s="2" t="inlineStr">
        <is>
          <t>IMP01486</t>
        </is>
      </c>
      <c r="D603" s="2" t="inlineStr">
        <is>
          <t>Twin Rivers Commercial Co.</t>
        </is>
      </c>
      <c r="E603" s="2" t="n">
        <v>43</v>
      </c>
      <c r="F603" s="27" t="n">
        <v>130589932.58</v>
      </c>
      <c r="G603" s="28" t="n">
        <v>0.0516</v>
      </c>
      <c r="H603" s="19" t="n">
        <v>0.951</v>
      </c>
      <c r="I603" s="29" t="n">
        <v>0.0698</v>
      </c>
      <c r="J603" s="2" t="inlineStr">
        <is>
          <t>EXP0090</t>
        </is>
      </c>
      <c r="K603" s="2" t="n">
        <v>4</v>
      </c>
      <c r="L603" s="2" t="inlineStr">
        <is>
          <t>BRK078</t>
        </is>
      </c>
      <c r="M603" s="2" t="inlineStr">
        <is>
          <t>AIR2</t>
        </is>
      </c>
      <c r="N603" s="2" t="n">
        <v>0</v>
      </c>
      <c r="O603" s="2" t="n">
        <v>0</v>
      </c>
      <c r="P603" s="2" t="n">
        <v>0</v>
      </c>
      <c r="Q603" s="2" t="n">
        <v>0</v>
      </c>
      <c r="R603" s="30">
        <f>IF(AND($C$5&lt;&gt;"",$A603=$C$5),1,"")</f>
        <v/>
      </c>
      <c r="S603" s="21">
        <f>IF(AND($C$5&lt;&gt;"",$A603=$C$5),SUMIFS($G$8:$G$715,$A$8:$A$715,$C$5,$B$8:$B$715,"&lt;="&amp;$B603),"")</f>
        <v/>
      </c>
      <c r="T603" s="24" t="n"/>
      <c r="U603" s="24" t="n"/>
    </row>
    <row r="604">
      <c r="A604" s="2" t="inlineStr">
        <is>
          <t>MYS-72</t>
        </is>
      </c>
      <c r="B604" s="2" t="n">
        <v>8</v>
      </c>
      <c r="C604" s="2" t="inlineStr">
        <is>
          <t>IMP00325</t>
        </is>
      </c>
      <c r="D604" s="2" t="inlineStr">
        <is>
          <t>Global Commercial Co.</t>
        </is>
      </c>
      <c r="E604" s="2" t="n">
        <v>27</v>
      </c>
      <c r="F604" s="27" t="n">
        <v>108132663.39</v>
      </c>
      <c r="G604" s="28" t="n">
        <v>0.0427</v>
      </c>
      <c r="H604" s="19" t="n">
        <v>0.957</v>
      </c>
      <c r="I604" s="29" t="n">
        <v>0</v>
      </c>
      <c r="J604" s="2" t="inlineStr">
        <is>
          <t>EXP0041</t>
        </is>
      </c>
      <c r="K604" s="2" t="n">
        <v>6</v>
      </c>
      <c r="L604" s="2" t="inlineStr">
        <is>
          <t>BRK027</t>
        </is>
      </c>
      <c r="M604" s="2" t="inlineStr">
        <is>
          <t>PORT1</t>
        </is>
      </c>
      <c r="N604" s="2" t="n">
        <v>0</v>
      </c>
      <c r="O604" s="2" t="n">
        <v>0</v>
      </c>
      <c r="P604" s="2" t="n">
        <v>0</v>
      </c>
      <c r="Q604" s="2" t="n">
        <v>0</v>
      </c>
      <c r="R604" s="30">
        <f>IF(AND($C$5&lt;&gt;"",$A604=$C$5),1,"")</f>
        <v/>
      </c>
      <c r="S604" s="21">
        <f>IF(AND($C$5&lt;&gt;"",$A604=$C$5),SUMIFS($G$8:$G$715,$A$8:$A$715,$C$5,$B$8:$B$715,"&lt;="&amp;$B604),"")</f>
        <v/>
      </c>
      <c r="T604" s="24" t="n"/>
      <c r="U604" s="24" t="n"/>
    </row>
    <row r="605">
      <c r="A605" s="2" t="inlineStr">
        <is>
          <t>MYS-72</t>
        </is>
      </c>
      <c r="B605" s="2" t="n">
        <v>9</v>
      </c>
      <c r="C605" s="2" t="inlineStr">
        <is>
          <t>IMP01106</t>
        </is>
      </c>
      <c r="D605" s="2" t="inlineStr">
        <is>
          <t>Blue Ocean Glow Co., Ltd</t>
        </is>
      </c>
      <c r="E605" s="2" t="n">
        <v>19</v>
      </c>
      <c r="F605" s="27" t="n">
        <v>103070351.81</v>
      </c>
      <c r="G605" s="28" t="n">
        <v>0.0407</v>
      </c>
      <c r="H605" s="19" t="n">
        <v>0.923</v>
      </c>
      <c r="I605" s="29" t="n">
        <v>0.0526</v>
      </c>
      <c r="J605" s="2" t="inlineStr">
        <is>
          <t>EXP0185</t>
        </is>
      </c>
      <c r="K605" s="2" t="n">
        <v>6</v>
      </c>
      <c r="L605" s="2" t="inlineStr">
        <is>
          <t>BRK073</t>
        </is>
      </c>
      <c r="M605" s="2" t="inlineStr">
        <is>
          <t>PORT3</t>
        </is>
      </c>
      <c r="N605" s="2" t="n">
        <v>0</v>
      </c>
      <c r="O605" s="2" t="n">
        <v>0</v>
      </c>
      <c r="P605" s="2" t="n">
        <v>0</v>
      </c>
      <c r="Q605" s="2" t="n">
        <v>1</v>
      </c>
      <c r="R605" s="30">
        <f>IF(AND($C$5&lt;&gt;"",$A605=$C$5),1,"")</f>
        <v/>
      </c>
      <c r="S605" s="21">
        <f>IF(AND($C$5&lt;&gt;"",$A605=$C$5),SUMIFS($G$8:$G$715,$A$8:$A$715,$C$5,$B$8:$B$715,"&lt;="&amp;$B605),"")</f>
        <v/>
      </c>
      <c r="T605" s="24" t="n"/>
      <c r="U605" s="24" t="n"/>
    </row>
    <row r="606">
      <c r="A606" s="2" t="inlineStr">
        <is>
          <t>MYS-72</t>
        </is>
      </c>
      <c r="B606" s="2" t="n">
        <v>10</v>
      </c>
      <c r="C606" s="2" t="inlineStr">
        <is>
          <t>IMP00743</t>
        </is>
      </c>
      <c r="D606" s="2" t="inlineStr">
        <is>
          <t>Silver Enterprises Group Ltd</t>
        </is>
      </c>
      <c r="E606" s="2" t="n">
        <v>19</v>
      </c>
      <c r="F606" s="27" t="n">
        <v>71095474.77</v>
      </c>
      <c r="G606" s="28" t="n">
        <v>0.0281</v>
      </c>
      <c r="H606" s="19" t="n">
        <v>0.984</v>
      </c>
      <c r="I606" s="29" t="n">
        <v>0.0526</v>
      </c>
      <c r="J606" s="2" t="inlineStr">
        <is>
          <t>EXP0336</t>
        </is>
      </c>
      <c r="K606" s="2" t="n">
        <v>4</v>
      </c>
      <c r="L606" s="2" t="inlineStr">
        <is>
          <t>BRK029</t>
        </is>
      </c>
      <c r="M606" s="2" t="inlineStr">
        <is>
          <t>PORT2</t>
        </is>
      </c>
      <c r="N606" s="2" t="n">
        <v>0</v>
      </c>
      <c r="O606" s="2" t="n">
        <v>0</v>
      </c>
      <c r="P606" s="2" t="n">
        <v>0</v>
      </c>
      <c r="Q606" s="2" t="n">
        <v>0</v>
      </c>
      <c r="R606" s="30">
        <f>IF(AND($C$5&lt;&gt;"",$A606=$C$5),1,"")</f>
        <v/>
      </c>
      <c r="S606" s="21">
        <f>IF(AND($C$5&lt;&gt;"",$A606=$C$5),SUMIFS($G$8:$G$715,$A$8:$A$715,$C$5,$B$8:$B$715,"&lt;="&amp;$B606),"")</f>
        <v/>
      </c>
      <c r="T606" s="24" t="n"/>
      <c r="U606" s="24" t="n"/>
    </row>
    <row r="607">
      <c r="A607" s="2" t="inlineStr">
        <is>
          <t>MYS-72</t>
        </is>
      </c>
      <c r="B607" s="2" t="n">
        <v>11</v>
      </c>
      <c r="C607" s="2" t="inlineStr">
        <is>
          <t>IMP00085</t>
        </is>
      </c>
      <c r="D607" s="2" t="inlineStr">
        <is>
          <t>Delta Imports &amp; Sons</t>
        </is>
      </c>
      <c r="E607" s="2" t="n">
        <v>15</v>
      </c>
      <c r="F607" s="27" t="n">
        <v>68711887.26000001</v>
      </c>
      <c r="G607" s="28" t="n">
        <v>0.0272</v>
      </c>
      <c r="H607" s="19" t="n">
        <v>0.894</v>
      </c>
      <c r="I607" s="29" t="n">
        <v>0</v>
      </c>
      <c r="J607" s="2" t="inlineStr">
        <is>
          <t>EXP0191</t>
        </is>
      </c>
      <c r="K607" s="2" t="n">
        <v>4</v>
      </c>
      <c r="L607" s="2" t="inlineStr">
        <is>
          <t>BRK067</t>
        </is>
      </c>
      <c r="M607" s="2" t="inlineStr">
        <is>
          <t>PORT2</t>
        </is>
      </c>
      <c r="N607" s="2" t="n">
        <v>0</v>
      </c>
      <c r="O607" s="2" t="n">
        <v>0</v>
      </c>
      <c r="P607" s="2" t="n">
        <v>0</v>
      </c>
      <c r="Q607" s="2" t="n">
        <v>0</v>
      </c>
      <c r="R607" s="30">
        <f>IF(AND($C$5&lt;&gt;"",$A607=$C$5),1,"")</f>
        <v/>
      </c>
      <c r="S607" s="21">
        <f>IF(AND($C$5&lt;&gt;"",$A607=$C$5),SUMIFS($G$8:$G$715,$A$8:$A$715,$C$5,$B$8:$B$715,"&lt;="&amp;$B607),"")</f>
        <v/>
      </c>
      <c r="T607" s="24" t="n"/>
      <c r="U607" s="24" t="n"/>
    </row>
    <row r="608">
      <c r="A608" s="2" t="inlineStr">
        <is>
          <t>MYS-72</t>
        </is>
      </c>
      <c r="B608" s="2" t="n">
        <v>12</v>
      </c>
      <c r="C608" s="2" t="inlineStr">
        <is>
          <t>IMP00685</t>
        </is>
      </c>
      <c r="D608" s="2" t="inlineStr">
        <is>
          <t>Royal Electronics Holdings Ltd</t>
        </is>
      </c>
      <c r="E608" s="2" t="n">
        <v>6</v>
      </c>
      <c r="F608" s="27" t="n">
        <v>65599224.06</v>
      </c>
      <c r="G608" s="28" t="n">
        <v>0.0259</v>
      </c>
      <c r="H608" s="19" t="n">
        <v>0.989</v>
      </c>
      <c r="I608" s="29" t="n">
        <v>0</v>
      </c>
      <c r="J608" s="2" t="inlineStr">
        <is>
          <t>EXP0106</t>
        </is>
      </c>
      <c r="K608" s="2" t="n">
        <v>3</v>
      </c>
      <c r="L608" s="2" t="inlineStr">
        <is>
          <t>BRK066</t>
        </is>
      </c>
      <c r="M608" s="2" t="inlineStr">
        <is>
          <t>LAND5</t>
        </is>
      </c>
      <c r="N608" s="2" t="n">
        <v>0</v>
      </c>
      <c r="O608" s="2" t="n">
        <v>0</v>
      </c>
      <c r="P608" s="2" t="n">
        <v>0</v>
      </c>
      <c r="Q608" s="2" t="n">
        <v>0</v>
      </c>
      <c r="R608" s="30">
        <f>IF(AND($C$5&lt;&gt;"",$A608=$C$5),1,"")</f>
        <v/>
      </c>
      <c r="S608" s="21">
        <f>IF(AND($C$5&lt;&gt;"",$A608=$C$5),SUMIFS($G$8:$G$715,$A$8:$A$715,$C$5,$B$8:$B$715,"&lt;="&amp;$B608),"")</f>
        <v/>
      </c>
      <c r="T608" s="24" t="n"/>
      <c r="U608" s="24" t="n"/>
    </row>
    <row r="609">
      <c r="A609" s="2" t="inlineStr">
        <is>
          <t>MYS-72</t>
        </is>
      </c>
      <c r="B609" s="2" t="n">
        <v>13</v>
      </c>
      <c r="C609" s="2" t="inlineStr">
        <is>
          <t>IMP01320</t>
        </is>
      </c>
      <c r="D609" s="2" t="inlineStr">
        <is>
          <t>Silver Logistics Holdings Ltd</t>
        </is>
      </c>
      <c r="E609" s="2" t="n">
        <v>13</v>
      </c>
      <c r="F609" s="27" t="n">
        <v>61547741.34</v>
      </c>
      <c r="G609" s="28" t="n">
        <v>0.0243</v>
      </c>
      <c r="H609" s="19" t="n">
        <v>0.9409999999999999</v>
      </c>
      <c r="I609" s="29" t="n">
        <v>0.0769</v>
      </c>
      <c r="J609" s="2" t="inlineStr">
        <is>
          <t>EXP0336</t>
        </is>
      </c>
      <c r="K609" s="2" t="n">
        <v>4</v>
      </c>
      <c r="L609" s="2" t="inlineStr">
        <is>
          <t>BRK039</t>
        </is>
      </c>
      <c r="M609" s="2" t="inlineStr">
        <is>
          <t>PORT1</t>
        </is>
      </c>
      <c r="N609" s="2" t="n">
        <v>0</v>
      </c>
      <c r="O609" s="2" t="n">
        <v>0</v>
      </c>
      <c r="P609" s="2" t="n">
        <v>0</v>
      </c>
      <c r="Q609" s="2" t="n">
        <v>0</v>
      </c>
      <c r="R609" s="30">
        <f>IF(AND($C$5&lt;&gt;"",$A609=$C$5),1,"")</f>
        <v/>
      </c>
      <c r="S609" s="21">
        <f>IF(AND($C$5&lt;&gt;"",$A609=$C$5),SUMIFS($G$8:$G$715,$A$8:$A$715,$C$5,$B$8:$B$715,"&lt;="&amp;$B609),"")</f>
        <v/>
      </c>
      <c r="T609" s="24" t="n"/>
      <c r="U609" s="24" t="n"/>
    </row>
    <row r="610">
      <c r="A610" s="2" t="inlineStr">
        <is>
          <t>MYS-72</t>
        </is>
      </c>
      <c r="B610" s="2" t="n">
        <v>14</v>
      </c>
      <c r="C610" s="2" t="inlineStr">
        <is>
          <t>IMP00600</t>
        </is>
      </c>
      <c r="D610" s="2" t="inlineStr">
        <is>
          <t>Eastern Fruits Co., Ltd</t>
        </is>
      </c>
      <c r="E610" s="2" t="n">
        <v>13</v>
      </c>
      <c r="F610" s="27" t="n">
        <v>58500629.96</v>
      </c>
      <c r="G610" s="28" t="n">
        <v>0.0231</v>
      </c>
      <c r="H610" s="19" t="n">
        <v>1</v>
      </c>
      <c r="I610" s="29" t="n">
        <v>0</v>
      </c>
      <c r="J610" s="2" t="inlineStr">
        <is>
          <t>EXP0090</t>
        </is>
      </c>
      <c r="K610" s="2" t="n">
        <v>4</v>
      </c>
      <c r="L610" s="2" t="inlineStr">
        <is>
          <t>BRK046</t>
        </is>
      </c>
      <c r="M610" s="2" t="inlineStr">
        <is>
          <t>PORT1</t>
        </is>
      </c>
      <c r="N610" s="2" t="n">
        <v>0</v>
      </c>
      <c r="O610" s="2" t="n">
        <v>0</v>
      </c>
      <c r="P610" s="2" t="n">
        <v>0</v>
      </c>
      <c r="Q610" s="2" t="n">
        <v>0</v>
      </c>
      <c r="R610" s="30">
        <f>IF(AND($C$5&lt;&gt;"",$A610=$C$5),1,"")</f>
        <v/>
      </c>
      <c r="S610" s="21">
        <f>IF(AND($C$5&lt;&gt;"",$A610=$C$5),SUMIFS($G$8:$G$715,$A$8:$A$715,$C$5,$B$8:$B$715,"&lt;="&amp;$B610),"")</f>
        <v/>
      </c>
      <c r="T610" s="24" t="n"/>
      <c r="U610" s="24" t="n"/>
    </row>
    <row r="611">
      <c r="A611" s="2" t="inlineStr">
        <is>
          <t>MYS-72</t>
        </is>
      </c>
      <c r="B611" s="2" t="n">
        <v>15</v>
      </c>
      <c r="C611" s="2" t="inlineStr">
        <is>
          <t>IMP01249</t>
        </is>
      </c>
      <c r="D611" s="2" t="inlineStr">
        <is>
          <t>United Motors Co., Ltd</t>
        </is>
      </c>
      <c r="E611" s="2" t="n">
        <v>17</v>
      </c>
      <c r="F611" s="27" t="n">
        <v>55827264.93</v>
      </c>
      <c r="G611" s="28" t="n">
        <v>0.0221</v>
      </c>
      <c r="H611" s="19" t="n">
        <v>0.967</v>
      </c>
      <c r="I611" s="29" t="n">
        <v>0</v>
      </c>
      <c r="J611" s="2" t="inlineStr">
        <is>
          <t>EXP0109</t>
        </is>
      </c>
      <c r="K611" s="2" t="n">
        <v>7</v>
      </c>
      <c r="L611" s="2" t="inlineStr">
        <is>
          <t>BRK021</t>
        </is>
      </c>
      <c r="M611" s="2" t="inlineStr">
        <is>
          <t>PORT2</t>
        </is>
      </c>
      <c r="N611" s="2" t="n">
        <v>0</v>
      </c>
      <c r="O611" s="2" t="n">
        <v>0</v>
      </c>
      <c r="P611" s="2" t="n">
        <v>0</v>
      </c>
      <c r="Q611" s="2" t="n">
        <v>0</v>
      </c>
      <c r="R611" s="30">
        <f>IF(AND($C$5&lt;&gt;"",$A611=$C$5),1,"")</f>
        <v/>
      </c>
      <c r="S611" s="21">
        <f>IF(AND($C$5&lt;&gt;"",$A611=$C$5),SUMIFS($G$8:$G$715,$A$8:$A$715,$C$5,$B$8:$B$715,"&lt;="&amp;$B611),"")</f>
        <v/>
      </c>
      <c r="T611" s="24" t="n"/>
      <c r="U611" s="24" t="n"/>
    </row>
    <row r="612">
      <c r="A612" s="2" t="inlineStr">
        <is>
          <t>MYS-72</t>
        </is>
      </c>
      <c r="B612" s="2" t="n">
        <v>16</v>
      </c>
      <c r="C612" s="2" t="inlineStr">
        <is>
          <t>IMP00996</t>
        </is>
      </c>
      <c r="D612" s="2" t="inlineStr">
        <is>
          <t>Ocean Commercial Limited</t>
        </is>
      </c>
      <c r="E612" s="2" t="n">
        <v>9</v>
      </c>
      <c r="F612" s="27" t="n">
        <v>49012341.48</v>
      </c>
      <c r="G612" s="28" t="n">
        <v>0.0194</v>
      </c>
      <c r="H612" s="19" t="n">
        <v>0.86</v>
      </c>
      <c r="I612" s="29" t="n">
        <v>0.1111</v>
      </c>
      <c r="J612" s="2" t="inlineStr">
        <is>
          <t>EXP0055</t>
        </is>
      </c>
      <c r="K612" s="2" t="n">
        <v>4</v>
      </c>
      <c r="L612" s="2" t="inlineStr">
        <is>
          <t>BRK020</t>
        </is>
      </c>
      <c r="M612" s="2" t="inlineStr">
        <is>
          <t>PORT1</t>
        </is>
      </c>
      <c r="N612" s="2" t="n">
        <v>0</v>
      </c>
      <c r="O612" s="2" t="n">
        <v>0</v>
      </c>
      <c r="P612" s="2" t="n">
        <v>0</v>
      </c>
      <c r="Q612" s="2" t="n">
        <v>0</v>
      </c>
      <c r="R612" s="30">
        <f>IF(AND($C$5&lt;&gt;"",$A612=$C$5),1,"")</f>
        <v/>
      </c>
      <c r="S612" s="21">
        <f>IF(AND($C$5&lt;&gt;"",$A612=$C$5),SUMIFS($G$8:$G$715,$A$8:$A$715,$C$5,$B$8:$B$715,"&lt;="&amp;$B612),"")</f>
        <v/>
      </c>
      <c r="T612" s="24" t="n"/>
      <c r="U612" s="24" t="n"/>
    </row>
    <row r="613">
      <c r="A613" s="2" t="inlineStr">
        <is>
          <t>MYS-72</t>
        </is>
      </c>
      <c r="B613" s="2" t="n">
        <v>17</v>
      </c>
      <c r="C613" s="2" t="inlineStr">
        <is>
          <t>IMP01229</t>
        </is>
      </c>
      <c r="D613" s="2" t="inlineStr">
        <is>
          <t>Delta Textiles Holdings Ltd</t>
        </is>
      </c>
      <c r="E613" s="2" t="n">
        <v>9</v>
      </c>
      <c r="F613" s="27" t="n">
        <v>38347093.02</v>
      </c>
      <c r="G613" s="28" t="n">
        <v>0.0152</v>
      </c>
      <c r="H613" s="19" t="n">
        <v>0.908</v>
      </c>
      <c r="I613" s="29" t="n">
        <v>0</v>
      </c>
      <c r="J613" s="2" t="inlineStr">
        <is>
          <t>EXP0055</t>
        </is>
      </c>
      <c r="K613" s="2" t="n">
        <v>4</v>
      </c>
      <c r="L613" s="2" t="inlineStr">
        <is>
          <t>BRK079</t>
        </is>
      </c>
      <c r="M613" s="2" t="inlineStr">
        <is>
          <t>PORT2</t>
        </is>
      </c>
      <c r="N613" s="2" t="n">
        <v>0</v>
      </c>
      <c r="O613" s="2" t="n">
        <v>0</v>
      </c>
      <c r="P613" s="2" t="n">
        <v>0</v>
      </c>
      <c r="Q613" s="2" t="n">
        <v>0</v>
      </c>
      <c r="R613" s="30">
        <f>IF(AND($C$5&lt;&gt;"",$A613=$C$5),1,"")</f>
        <v/>
      </c>
      <c r="S613" s="21">
        <f>IF(AND($C$5&lt;&gt;"",$A613=$C$5),SUMIFS($G$8:$G$715,$A$8:$A$715,$C$5,$B$8:$B$715,"&lt;="&amp;$B613),"")</f>
        <v/>
      </c>
      <c r="T613" s="24" t="n"/>
      <c r="U613" s="24" t="n"/>
    </row>
    <row r="614">
      <c r="A614" s="2" t="inlineStr">
        <is>
          <t>MYS-72</t>
        </is>
      </c>
      <c r="B614" s="2" t="n">
        <v>18</v>
      </c>
      <c r="C614" s="2" t="inlineStr">
        <is>
          <t>IMP01303</t>
        </is>
      </c>
      <c r="D614" s="2" t="inlineStr">
        <is>
          <t>Arden Industries Enterprises</t>
        </is>
      </c>
      <c r="E614" s="2" t="n">
        <v>7</v>
      </c>
      <c r="F614" s="27" t="n">
        <v>22984041.61</v>
      </c>
      <c r="G614" s="28" t="n">
        <v>0.0091</v>
      </c>
      <c r="H614" s="19" t="n">
        <v>1.009</v>
      </c>
      <c r="I614" s="29" t="n">
        <v>0</v>
      </c>
      <c r="J614" s="2" t="inlineStr">
        <is>
          <t>EXP0183</t>
        </is>
      </c>
      <c r="K614" s="2" t="n">
        <v>7</v>
      </c>
      <c r="L614" s="2" t="inlineStr">
        <is>
          <t>BRK068</t>
        </is>
      </c>
      <c r="M614" s="2" t="inlineStr">
        <is>
          <t>PORT2</t>
        </is>
      </c>
      <c r="N614" s="2" t="n">
        <v>0</v>
      </c>
      <c r="O614" s="2" t="n">
        <v>0</v>
      </c>
      <c r="P614" s="2" t="n">
        <v>0</v>
      </c>
      <c r="Q614" s="2" t="n">
        <v>0</v>
      </c>
      <c r="R614" s="30">
        <f>IF(AND($C$5&lt;&gt;"",$A614=$C$5),1,"")</f>
        <v/>
      </c>
      <c r="S614" s="21">
        <f>IF(AND($C$5&lt;&gt;"",$A614=$C$5),SUMIFS($G$8:$G$715,$A$8:$A$715,$C$5,$B$8:$B$715,"&lt;="&amp;$B614),"")</f>
        <v/>
      </c>
      <c r="T614" s="24" t="n"/>
      <c r="U614" s="24" t="n"/>
    </row>
    <row r="615">
      <c r="A615" s="2" t="inlineStr">
        <is>
          <t>MYS-72</t>
        </is>
      </c>
      <c r="B615" s="2" t="n">
        <v>19</v>
      </c>
      <c r="C615" s="2" t="inlineStr">
        <is>
          <t>IMP00695</t>
        </is>
      </c>
      <c r="D615" s="2" t="inlineStr">
        <is>
          <t>Delta Enterprises &amp; Sons</t>
        </is>
      </c>
      <c r="E615" s="2" t="n">
        <v>4</v>
      </c>
      <c r="F615" s="27" t="n">
        <v>18305431.84</v>
      </c>
      <c r="G615" s="28" t="n">
        <v>0.0072</v>
      </c>
      <c r="H615" s="19" t="n">
        <v>0.989</v>
      </c>
      <c r="I615" s="29" t="n">
        <v>0</v>
      </c>
      <c r="J615" s="2" t="inlineStr">
        <is>
          <t>EXP0283</t>
        </is>
      </c>
      <c r="K615" s="2" t="n">
        <v>5</v>
      </c>
      <c r="L615" s="2" t="inlineStr">
        <is>
          <t>BRK057</t>
        </is>
      </c>
      <c r="M615" s="2" t="inlineStr">
        <is>
          <t>PORT1</t>
        </is>
      </c>
      <c r="N615" s="2" t="n">
        <v>0</v>
      </c>
      <c r="O615" s="2" t="n">
        <v>0</v>
      </c>
      <c r="P615" s="2" t="n">
        <v>0</v>
      </c>
      <c r="Q615" s="2" t="n">
        <v>0</v>
      </c>
      <c r="R615" s="30">
        <f>IF(AND($C$5&lt;&gt;"",$A615=$C$5),1,"")</f>
        <v/>
      </c>
      <c r="S615" s="21">
        <f>IF(AND($C$5&lt;&gt;"",$A615=$C$5),SUMIFS($G$8:$G$715,$A$8:$A$715,$C$5,$B$8:$B$715,"&lt;="&amp;$B615),"")</f>
        <v/>
      </c>
      <c r="T615" s="24" t="n"/>
      <c r="U615" s="24" t="n"/>
    </row>
    <row r="616">
      <c r="A616" s="2" t="inlineStr">
        <is>
          <t>MYS-72</t>
        </is>
      </c>
      <c r="B616" s="2" t="n">
        <v>20</v>
      </c>
      <c r="C616" s="2" t="inlineStr">
        <is>
          <t>IMP01089</t>
        </is>
      </c>
      <c r="D616" s="2" t="inlineStr">
        <is>
          <t>Carrick Trading &amp; Sons</t>
        </is>
      </c>
      <c r="E616" s="2" t="n">
        <v>3</v>
      </c>
      <c r="F616" s="27" t="n">
        <v>18250118.81</v>
      </c>
      <c r="G616" s="28" t="n">
        <v>0.0072</v>
      </c>
      <c r="H616" s="19" t="n">
        <v>0.9</v>
      </c>
      <c r="I616" s="29" t="n">
        <v>0</v>
      </c>
      <c r="J616" s="2" t="inlineStr">
        <is>
          <t>EXP0371</t>
        </is>
      </c>
      <c r="K616" s="2" t="n">
        <v>3</v>
      </c>
      <c r="L616" s="2" t="inlineStr">
        <is>
          <t>BRK037</t>
        </is>
      </c>
      <c r="M616" s="2" t="inlineStr">
        <is>
          <t>AIR1</t>
        </is>
      </c>
      <c r="N616" s="2" t="n">
        <v>0</v>
      </c>
      <c r="O616" s="2" t="n">
        <v>0</v>
      </c>
      <c r="P616" s="2" t="n">
        <v>0</v>
      </c>
      <c r="Q616" s="2" t="n">
        <v>0</v>
      </c>
      <c r="R616" s="30">
        <f>IF(AND($C$5&lt;&gt;"",$A616=$C$5),1,"")</f>
        <v/>
      </c>
      <c r="S616" s="21">
        <f>IF(AND($C$5&lt;&gt;"",$A616=$C$5),SUMIFS($G$8:$G$715,$A$8:$A$715,$C$5,$B$8:$B$715,"&lt;="&amp;$B616),"")</f>
        <v/>
      </c>
      <c r="T616" s="24" t="n"/>
      <c r="U616" s="24" t="n"/>
    </row>
    <row r="617">
      <c r="A617" s="2" t="inlineStr">
        <is>
          <t>MYS-72</t>
        </is>
      </c>
      <c r="B617" s="2" t="n">
        <v>21</v>
      </c>
      <c r="C617" s="2" t="inlineStr">
        <is>
          <t>IMP00055</t>
        </is>
      </c>
      <c r="D617" s="2" t="inlineStr">
        <is>
          <t>Aldergate Steel Group Ltd</t>
        </is>
      </c>
      <c r="E617" s="2" t="n">
        <v>3</v>
      </c>
      <c r="F617" s="27" t="n">
        <v>17983630.49</v>
      </c>
      <c r="G617" s="28" t="n">
        <v>0.0071</v>
      </c>
      <c r="H617" s="19" t="n">
        <v>0.947</v>
      </c>
      <c r="I617" s="29" t="n">
        <v>0</v>
      </c>
      <c r="J617" s="2" t="inlineStr">
        <is>
          <t>EXP0212</t>
        </is>
      </c>
      <c r="K617" s="2" t="n">
        <v>6</v>
      </c>
      <c r="L617" s="2" t="inlineStr">
        <is>
          <t>BRK002</t>
        </is>
      </c>
      <c r="M617" s="2" t="inlineStr">
        <is>
          <t>LAND5</t>
        </is>
      </c>
      <c r="N617" s="2" t="n">
        <v>0</v>
      </c>
      <c r="O617" s="2" t="n">
        <v>0</v>
      </c>
      <c r="P617" s="2" t="n">
        <v>0</v>
      </c>
      <c r="Q617" s="2" t="n">
        <v>0</v>
      </c>
      <c r="R617" s="30">
        <f>IF(AND($C$5&lt;&gt;"",$A617=$C$5),1,"")</f>
        <v/>
      </c>
      <c r="S617" s="21">
        <f>IF(AND($C$5&lt;&gt;"",$A617=$C$5),SUMIFS($G$8:$G$715,$A$8:$A$715,$C$5,$B$8:$B$715,"&lt;="&amp;$B617),"")</f>
        <v/>
      </c>
      <c r="T617" s="24" t="n"/>
      <c r="U617" s="24" t="n"/>
    </row>
    <row r="618">
      <c r="A618" s="2" t="inlineStr">
        <is>
          <t>MYS-72</t>
        </is>
      </c>
      <c r="B618" s="2" t="n">
        <v>22</v>
      </c>
      <c r="C618" s="2" t="inlineStr">
        <is>
          <t>IMP00364</t>
        </is>
      </c>
      <c r="D618" s="2" t="inlineStr">
        <is>
          <t>Jade Fruits &amp; Sons</t>
        </is>
      </c>
      <c r="E618" s="2" t="n">
        <v>4</v>
      </c>
      <c r="F618" s="27" t="n">
        <v>17844854.54</v>
      </c>
      <c r="G618" s="28" t="n">
        <v>0.0071</v>
      </c>
      <c r="H618" s="19" t="n">
        <v>1.0215</v>
      </c>
      <c r="I618" s="29" t="n">
        <v>0</v>
      </c>
      <c r="J618" s="2" t="inlineStr">
        <is>
          <t>EXP0041</t>
        </is>
      </c>
      <c r="K618" s="2" t="n">
        <v>6</v>
      </c>
      <c r="L618" s="2" t="inlineStr">
        <is>
          <t>BRK001</t>
        </is>
      </c>
      <c r="M618" s="2" t="inlineStr">
        <is>
          <t>LAND3</t>
        </is>
      </c>
      <c r="N618" s="2" t="n">
        <v>0</v>
      </c>
      <c r="O618" s="2" t="n">
        <v>0</v>
      </c>
      <c r="P618" s="2" t="n">
        <v>0</v>
      </c>
      <c r="Q618" s="2" t="n">
        <v>0</v>
      </c>
      <c r="R618" s="30">
        <f>IF(AND($C$5&lt;&gt;"",$A618=$C$5),1,"")</f>
        <v/>
      </c>
      <c r="S618" s="21">
        <f>IF(AND($C$5&lt;&gt;"",$A618=$C$5),SUMIFS($G$8:$G$715,$A$8:$A$715,$C$5,$B$8:$B$715,"&lt;="&amp;$B618),"")</f>
        <v/>
      </c>
      <c r="T618" s="24" t="n"/>
      <c r="U618" s="24" t="n"/>
    </row>
    <row r="619">
      <c r="A619" s="2" t="inlineStr">
        <is>
          <t>MYS-72</t>
        </is>
      </c>
      <c r="B619" s="2" t="n">
        <v>23</v>
      </c>
      <c r="C619" s="2" t="inlineStr">
        <is>
          <t>IMP00683</t>
        </is>
      </c>
      <c r="D619" s="2" t="inlineStr">
        <is>
          <t>Prescott Supply Co.</t>
        </is>
      </c>
      <c r="E619" s="2" t="n">
        <v>2</v>
      </c>
      <c r="F619" s="27" t="n">
        <v>15311478.82</v>
      </c>
      <c r="G619" s="28" t="n">
        <v>0.0061</v>
      </c>
      <c r="H619" s="19" t="n">
        <v>0.961</v>
      </c>
      <c r="I619" s="29" t="n">
        <v>0</v>
      </c>
      <c r="J619" s="2" t="inlineStr">
        <is>
          <t>EXP0212</t>
        </is>
      </c>
      <c r="K619" s="2" t="n">
        <v>6</v>
      </c>
      <c r="L619" s="2" t="inlineStr">
        <is>
          <t>BRK061</t>
        </is>
      </c>
      <c r="M619" s="2" t="inlineStr">
        <is>
          <t>LAND1</t>
        </is>
      </c>
      <c r="N619" s="2" t="n">
        <v>1</v>
      </c>
      <c r="O619" s="2" t="n">
        <v>0</v>
      </c>
      <c r="P619" s="2" t="n">
        <v>0</v>
      </c>
      <c r="Q619" s="2" t="n">
        <v>0</v>
      </c>
      <c r="R619" s="30">
        <f>IF(AND($C$5&lt;&gt;"",$A619=$C$5),1,"")</f>
        <v/>
      </c>
      <c r="S619" s="21">
        <f>IF(AND($C$5&lt;&gt;"",$A619=$C$5),SUMIFS($G$8:$G$715,$A$8:$A$715,$C$5,$B$8:$B$715,"&lt;="&amp;$B619),"")</f>
        <v/>
      </c>
      <c r="T619" s="24" t="n"/>
      <c r="U619" s="24" t="n"/>
    </row>
    <row r="620">
      <c r="A620" s="2" t="inlineStr">
        <is>
          <t>MYS-72</t>
        </is>
      </c>
      <c r="B620" s="2" t="n">
        <v>24</v>
      </c>
      <c r="C620" s="2" t="inlineStr">
        <is>
          <t>IMP00536</t>
        </is>
      </c>
      <c r="D620" s="2" t="inlineStr">
        <is>
          <t>Sunrise Glow &amp; Sons</t>
        </is>
      </c>
      <c r="E620" s="2" t="n">
        <v>2</v>
      </c>
      <c r="F620" s="27" t="n">
        <v>10070544.16</v>
      </c>
      <c r="G620" s="28" t="n">
        <v>0.004</v>
      </c>
      <c r="H620" s="19" t="n">
        <v>0.878</v>
      </c>
      <c r="I620" s="29" t="n">
        <v>0</v>
      </c>
      <c r="J620" s="2" t="inlineStr">
        <is>
          <t>EXP0191</t>
        </is>
      </c>
      <c r="K620" s="2" t="n">
        <v>4</v>
      </c>
      <c r="L620" s="2" t="inlineStr">
        <is>
          <t>BRK041</t>
        </is>
      </c>
      <c r="M620" s="2" t="inlineStr">
        <is>
          <t>PORT1</t>
        </is>
      </c>
      <c r="N620" s="2" t="n">
        <v>0</v>
      </c>
      <c r="O620" s="2" t="n">
        <v>0</v>
      </c>
      <c r="P620" s="2" t="n">
        <v>0</v>
      </c>
      <c r="Q620" s="2" t="n">
        <v>0</v>
      </c>
      <c r="R620" s="30">
        <f>IF(AND($C$5&lt;&gt;"",$A620=$C$5),1,"")</f>
        <v/>
      </c>
      <c r="S620" s="21">
        <f>IF(AND($C$5&lt;&gt;"",$A620=$C$5),SUMIFS($G$8:$G$715,$A$8:$A$715,$C$5,$B$8:$B$715,"&lt;="&amp;$B620),"")</f>
        <v/>
      </c>
      <c r="T620" s="24" t="n"/>
      <c r="U620" s="24" t="n"/>
    </row>
    <row r="621">
      <c r="A621" s="2" t="inlineStr">
        <is>
          <t>MYS-72</t>
        </is>
      </c>
      <c r="B621" s="2" t="n">
        <v>25</v>
      </c>
      <c r="C621" s="2" t="inlineStr">
        <is>
          <t>IMP01082</t>
        </is>
      </c>
      <c r="D621" s="2" t="inlineStr">
        <is>
          <t>Central Imports Co.</t>
        </is>
      </c>
      <c r="E621" s="2" t="n">
        <v>1</v>
      </c>
      <c r="F621" s="27" t="n">
        <v>9252773.57</v>
      </c>
      <c r="G621" s="28" t="n">
        <v>0.0037</v>
      </c>
      <c r="H621" s="19" t="n">
        <v>1.242</v>
      </c>
      <c r="I621" s="29" t="n">
        <v>0</v>
      </c>
      <c r="J621" s="2" t="inlineStr">
        <is>
          <t>EXP0500</t>
        </is>
      </c>
      <c r="K621" s="2" t="n">
        <v>1</v>
      </c>
      <c r="L621" s="2" t="inlineStr">
        <is>
          <t>BRK016</t>
        </is>
      </c>
      <c r="M621" s="2" t="inlineStr">
        <is>
          <t>PORT2</t>
        </is>
      </c>
      <c r="N621" s="2" t="n">
        <v>0</v>
      </c>
      <c r="O621" s="2" t="n">
        <v>0</v>
      </c>
      <c r="P621" s="2" t="n">
        <v>0</v>
      </c>
      <c r="Q621" s="2" t="n">
        <v>0</v>
      </c>
      <c r="R621" s="30">
        <f>IF(AND($C$5&lt;&gt;"",$A621=$C$5),1,"")</f>
        <v/>
      </c>
      <c r="S621" s="21">
        <f>IF(AND($C$5&lt;&gt;"",$A621=$C$5),SUMIFS($G$8:$G$715,$A$8:$A$715,$C$5,$B$8:$B$715,"&lt;="&amp;$B621),"")</f>
        <v/>
      </c>
      <c r="T621" s="24" t="n"/>
      <c r="U621" s="24" t="n"/>
    </row>
    <row r="622">
      <c r="A622" s="2" t="inlineStr">
        <is>
          <t>MYS-72</t>
        </is>
      </c>
      <c r="B622" s="2" t="n">
        <v>26</v>
      </c>
      <c r="C622" s="2" t="inlineStr">
        <is>
          <t>IMP00194</t>
        </is>
      </c>
      <c r="D622" s="2" t="inlineStr">
        <is>
          <t>Evergreen Living Ltd</t>
        </is>
      </c>
      <c r="E622" s="2" t="n">
        <v>3</v>
      </c>
      <c r="F622" s="27" t="n">
        <v>8150443.6</v>
      </c>
      <c r="G622" s="28" t="n">
        <v>0.0032</v>
      </c>
      <c r="H622" s="19" t="n">
        <v>0.864</v>
      </c>
      <c r="I622" s="29" t="n">
        <v>0</v>
      </c>
      <c r="J622" s="2" t="inlineStr">
        <is>
          <t>EXP0041</t>
        </is>
      </c>
      <c r="K622" s="2" t="n">
        <v>6</v>
      </c>
      <c r="L622" s="2" t="inlineStr">
        <is>
          <t>BRK024</t>
        </is>
      </c>
      <c r="M622" s="2" t="inlineStr">
        <is>
          <t>PORT1</t>
        </is>
      </c>
      <c r="N622" s="2" t="n">
        <v>0</v>
      </c>
      <c r="O622" s="2" t="n">
        <v>0</v>
      </c>
      <c r="P622" s="2" t="n">
        <v>0</v>
      </c>
      <c r="Q622" s="2" t="n">
        <v>0</v>
      </c>
      <c r="R622" s="30">
        <f>IF(AND($C$5&lt;&gt;"",$A622=$C$5),1,"")</f>
        <v/>
      </c>
      <c r="S622" s="21">
        <f>IF(AND($C$5&lt;&gt;"",$A622=$C$5),SUMIFS($G$8:$G$715,$A$8:$A$715,$C$5,$B$8:$B$715,"&lt;="&amp;$B622),"")</f>
        <v/>
      </c>
      <c r="T622" s="24" t="n"/>
      <c r="U622" s="24" t="n"/>
    </row>
    <row r="623">
      <c r="A623" s="2" t="inlineStr">
        <is>
          <t>MYS-72</t>
        </is>
      </c>
      <c r="B623" s="2" t="n">
        <v>27</v>
      </c>
      <c r="C623" s="2" t="inlineStr">
        <is>
          <t>IMP00895</t>
        </is>
      </c>
      <c r="D623" s="2" t="inlineStr">
        <is>
          <t>Carrick Medical Limited</t>
        </is>
      </c>
      <c r="E623" s="2" t="n">
        <v>1</v>
      </c>
      <c r="F623" s="27" t="n">
        <v>7879174.94</v>
      </c>
      <c r="G623" s="28" t="n">
        <v>0.0031</v>
      </c>
      <c r="H623" s="19" t="n">
        <v>0.9340000000000001</v>
      </c>
      <c r="I623" s="29" t="n">
        <v>0</v>
      </c>
      <c r="J623" s="2" t="inlineStr">
        <is>
          <t>EXP0121</t>
        </is>
      </c>
      <c r="K623" s="2" t="n">
        <v>2</v>
      </c>
      <c r="L623" s="2" t="inlineStr">
        <is>
          <t>BRK026</t>
        </is>
      </c>
      <c r="M623" s="2" t="inlineStr">
        <is>
          <t>PORT3</t>
        </is>
      </c>
      <c r="N623" s="2" t="n">
        <v>0</v>
      </c>
      <c r="O623" s="2" t="n">
        <v>0</v>
      </c>
      <c r="P623" s="2" t="n">
        <v>0</v>
      </c>
      <c r="Q623" s="2" t="n">
        <v>0</v>
      </c>
      <c r="R623" s="30">
        <f>IF(AND($C$5&lt;&gt;"",$A623=$C$5),1,"")</f>
        <v/>
      </c>
      <c r="S623" s="21">
        <f>IF(AND($C$5&lt;&gt;"",$A623=$C$5),SUMIFS($G$8:$G$715,$A$8:$A$715,$C$5,$B$8:$B$715,"&lt;="&amp;$B623),"")</f>
        <v/>
      </c>
      <c r="T623" s="24" t="n"/>
      <c r="U623" s="24" t="n"/>
    </row>
    <row r="624">
      <c r="A624" s="2" t="inlineStr">
        <is>
          <t>MYS-72</t>
        </is>
      </c>
      <c r="B624" s="2" t="n">
        <v>28</v>
      </c>
      <c r="C624" s="2" t="inlineStr">
        <is>
          <t>IMP00989</t>
        </is>
      </c>
      <c r="D624" s="2" t="inlineStr">
        <is>
          <t>Summit Industries Co.</t>
        </is>
      </c>
      <c r="E624" s="2" t="n">
        <v>1</v>
      </c>
      <c r="F624" s="27" t="n">
        <v>7838072.12</v>
      </c>
      <c r="G624" s="28" t="n">
        <v>0.0031</v>
      </c>
      <c r="H624" s="19" t="n">
        <v>1.198</v>
      </c>
      <c r="I624" s="29" t="n">
        <v>0</v>
      </c>
      <c r="J624" s="2" t="inlineStr">
        <is>
          <t>EXP0595</t>
        </is>
      </c>
      <c r="K624" s="2" t="n">
        <v>1</v>
      </c>
      <c r="L624" s="2" t="inlineStr">
        <is>
          <t>BRK066</t>
        </is>
      </c>
      <c r="M624" s="2" t="inlineStr">
        <is>
          <t>PORT3</t>
        </is>
      </c>
      <c r="N624" s="2" t="n">
        <v>0</v>
      </c>
      <c r="O624" s="2" t="n">
        <v>0</v>
      </c>
      <c r="P624" s="2" t="n">
        <v>0</v>
      </c>
      <c r="Q624" s="2" t="n">
        <v>0</v>
      </c>
      <c r="R624" s="30">
        <f>IF(AND($C$5&lt;&gt;"",$A624=$C$5),1,"")</f>
        <v/>
      </c>
      <c r="S624" s="21">
        <f>IF(AND($C$5&lt;&gt;"",$A624=$C$5),SUMIFS($G$8:$G$715,$A$8:$A$715,$C$5,$B$8:$B$715,"&lt;="&amp;$B624),"")</f>
        <v/>
      </c>
      <c r="T624" s="24" t="n"/>
      <c r="U624" s="24" t="n"/>
    </row>
    <row r="625">
      <c r="A625" s="2" t="inlineStr">
        <is>
          <t>MYS-72</t>
        </is>
      </c>
      <c r="B625" s="2" t="n">
        <v>29</v>
      </c>
      <c r="C625" s="2" t="inlineStr">
        <is>
          <t>IMP00925</t>
        </is>
      </c>
      <c r="D625" s="2" t="inlineStr">
        <is>
          <t>United Supply Limited</t>
        </is>
      </c>
      <c r="E625" s="2" t="n">
        <v>2</v>
      </c>
      <c r="F625" s="27" t="n">
        <v>6824931.53</v>
      </c>
      <c r="G625" s="28" t="n">
        <v>0.0027</v>
      </c>
      <c r="H625" s="19" t="n">
        <v>0.9555</v>
      </c>
      <c r="I625" s="29" t="n">
        <v>0</v>
      </c>
      <c r="J625" s="2" t="inlineStr">
        <is>
          <t>EXP0432</t>
        </is>
      </c>
      <c r="K625" s="2" t="n">
        <v>3</v>
      </c>
      <c r="L625" s="2" t="inlineStr">
        <is>
          <t>BRK036</t>
        </is>
      </c>
      <c r="M625" s="2" t="inlineStr">
        <is>
          <t>PORT2</t>
        </is>
      </c>
      <c r="N625" s="2" t="n">
        <v>0</v>
      </c>
      <c r="O625" s="2" t="n">
        <v>0</v>
      </c>
      <c r="P625" s="2" t="n">
        <v>0</v>
      </c>
      <c r="Q625" s="2" t="n">
        <v>0</v>
      </c>
      <c r="R625" s="30">
        <f>IF(AND($C$5&lt;&gt;"",$A625=$C$5),1,"")</f>
        <v/>
      </c>
      <c r="S625" s="21">
        <f>IF(AND($C$5&lt;&gt;"",$A625=$C$5),SUMIFS($G$8:$G$715,$A$8:$A$715,$C$5,$B$8:$B$715,"&lt;="&amp;$B625),"")</f>
        <v/>
      </c>
      <c r="T625" s="24" t="n"/>
      <c r="U625" s="24" t="n"/>
    </row>
    <row r="626">
      <c r="A626" s="2" t="inlineStr">
        <is>
          <t>MYS-72</t>
        </is>
      </c>
      <c r="B626" s="2" t="n">
        <v>30</v>
      </c>
      <c r="C626" s="2" t="inlineStr">
        <is>
          <t>IMP00522</t>
        </is>
      </c>
      <c r="D626" s="2" t="inlineStr">
        <is>
          <t>Evergreen Pack Limited</t>
        </is>
      </c>
      <c r="E626" s="2" t="n">
        <v>1</v>
      </c>
      <c r="F626" s="27" t="n">
        <v>6802206.7</v>
      </c>
      <c r="G626" s="28" t="n">
        <v>0.0027</v>
      </c>
      <c r="H626" s="19" t="n">
        <v>1.018</v>
      </c>
      <c r="I626" s="29" t="n">
        <v>0</v>
      </c>
      <c r="J626" s="2" t="inlineStr">
        <is>
          <t>EXP0109</t>
        </is>
      </c>
      <c r="K626" s="2" t="n">
        <v>7</v>
      </c>
      <c r="L626" s="2" t="inlineStr">
        <is>
          <t>BRK062</t>
        </is>
      </c>
      <c r="M626" s="2" t="inlineStr">
        <is>
          <t>PORT2</t>
        </is>
      </c>
      <c r="N626" s="2" t="n">
        <v>0</v>
      </c>
      <c r="O626" s="2" t="n">
        <v>0</v>
      </c>
      <c r="P626" s="2" t="n">
        <v>0</v>
      </c>
      <c r="Q626" s="2" t="n">
        <v>0</v>
      </c>
      <c r="R626" s="30">
        <f>IF(AND($C$5&lt;&gt;"",$A626=$C$5),1,"")</f>
        <v/>
      </c>
      <c r="S626" s="21">
        <f>IF(AND($C$5&lt;&gt;"",$A626=$C$5),SUMIFS($G$8:$G$715,$A$8:$A$715,$C$5,$B$8:$B$715,"&lt;="&amp;$B626),"")</f>
        <v/>
      </c>
      <c r="T626" s="24" t="n"/>
      <c r="U626" s="24" t="n"/>
    </row>
    <row r="627">
      <c r="A627" s="2" t="inlineStr">
        <is>
          <t>MYS-72</t>
        </is>
      </c>
      <c r="B627" s="2" t="n">
        <v>31</v>
      </c>
      <c r="C627" s="2" t="inlineStr">
        <is>
          <t>IMP00889</t>
        </is>
      </c>
      <c r="D627" s="2" t="inlineStr">
        <is>
          <t>Golden Industries International Ltd</t>
        </is>
      </c>
      <c r="E627" s="2" t="n">
        <v>1</v>
      </c>
      <c r="F627" s="27" t="n">
        <v>5374186.89</v>
      </c>
      <c r="G627" s="28" t="n">
        <v>0.0021</v>
      </c>
      <c r="H627" s="19" t="n">
        <v>1.014</v>
      </c>
      <c r="I627" s="29" t="n">
        <v>0</v>
      </c>
      <c r="J627" s="2" t="inlineStr">
        <is>
          <t>EXP0364</t>
        </is>
      </c>
      <c r="K627" s="2" t="n">
        <v>1</v>
      </c>
      <c r="L627" s="2" t="inlineStr">
        <is>
          <t>BRK044</t>
        </is>
      </c>
      <c r="M627" s="2" t="inlineStr">
        <is>
          <t>PORT1</t>
        </is>
      </c>
      <c r="N627" s="2" t="n">
        <v>0</v>
      </c>
      <c r="O627" s="2" t="n">
        <v>0</v>
      </c>
      <c r="P627" s="2" t="n">
        <v>0</v>
      </c>
      <c r="Q627" s="2" t="n">
        <v>0</v>
      </c>
      <c r="R627" s="30">
        <f>IF(AND($C$5&lt;&gt;"",$A627=$C$5),1,"")</f>
        <v/>
      </c>
      <c r="S627" s="21">
        <f>IF(AND($C$5&lt;&gt;"",$A627=$C$5),SUMIFS($G$8:$G$715,$A$8:$A$715,$C$5,$B$8:$B$715,"&lt;="&amp;$B627),"")</f>
        <v/>
      </c>
      <c r="T627" s="24" t="n"/>
      <c r="U627" s="24" t="n"/>
    </row>
    <row r="628">
      <c r="A628" s="2" t="inlineStr">
        <is>
          <t>MYS-72</t>
        </is>
      </c>
      <c r="B628" s="2" t="n">
        <v>32</v>
      </c>
      <c r="C628" s="2" t="inlineStr">
        <is>
          <t>IMP00037</t>
        </is>
      </c>
      <c r="D628" s="2" t="inlineStr">
        <is>
          <t>Carrick Agro &amp; Sons</t>
        </is>
      </c>
      <c r="E628" s="2" t="n">
        <v>1</v>
      </c>
      <c r="F628" s="27" t="n">
        <v>5042116.21</v>
      </c>
      <c r="G628" s="28" t="n">
        <v>0.002</v>
      </c>
      <c r="H628" s="19" t="n">
        <v>0.896</v>
      </c>
      <c r="I628" s="29" t="n">
        <v>0</v>
      </c>
      <c r="J628" s="2" t="inlineStr">
        <is>
          <t>EXP0185</t>
        </is>
      </c>
      <c r="K628" s="2" t="n">
        <v>6</v>
      </c>
      <c r="L628" s="2" t="inlineStr">
        <is>
          <t>BRK074</t>
        </is>
      </c>
      <c r="M628" s="2" t="inlineStr">
        <is>
          <t>LAND3</t>
        </is>
      </c>
      <c r="N628" s="2" t="n">
        <v>0</v>
      </c>
      <c r="O628" s="2" t="n">
        <v>0</v>
      </c>
      <c r="P628" s="2" t="n">
        <v>0</v>
      </c>
      <c r="Q628" s="2" t="n">
        <v>0</v>
      </c>
      <c r="R628" s="30">
        <f>IF(AND($C$5&lt;&gt;"",$A628=$C$5),1,"")</f>
        <v/>
      </c>
      <c r="S628" s="21">
        <f>IF(AND($C$5&lt;&gt;"",$A628=$C$5),SUMIFS($G$8:$G$715,$A$8:$A$715,$C$5,$B$8:$B$715,"&lt;="&amp;$B628),"")</f>
        <v/>
      </c>
      <c r="T628" s="24" t="n"/>
      <c r="U628" s="24" t="n"/>
    </row>
    <row r="629">
      <c r="A629" s="2" t="inlineStr">
        <is>
          <t>MYS-72</t>
        </is>
      </c>
      <c r="B629" s="2" t="n">
        <v>33</v>
      </c>
      <c r="C629" s="2" t="inlineStr">
        <is>
          <t>IMP00613</t>
        </is>
      </c>
      <c r="D629" s="2" t="inlineStr">
        <is>
          <t>Sunrise Commercial Enterprises</t>
        </is>
      </c>
      <c r="E629" s="2" t="n">
        <v>1</v>
      </c>
      <c r="F629" s="27" t="n">
        <v>3560703.42</v>
      </c>
      <c r="G629" s="28" t="n">
        <v>0.0014</v>
      </c>
      <c r="H629" s="19" t="n">
        <v>0.57</v>
      </c>
      <c r="I629" s="29" t="n">
        <v>1</v>
      </c>
      <c r="J629" s="2" t="inlineStr">
        <is>
          <t>EXP0121</t>
        </is>
      </c>
      <c r="K629" s="2" t="n">
        <v>2</v>
      </c>
      <c r="L629" s="2" t="inlineStr">
        <is>
          <t>BRK069</t>
        </is>
      </c>
      <c r="M629" s="2" t="inlineStr">
        <is>
          <t>PORT1</t>
        </is>
      </c>
      <c r="N629" s="2" t="n">
        <v>0</v>
      </c>
      <c r="O629" s="2" t="n">
        <v>1</v>
      </c>
      <c r="P629" s="2" t="n">
        <v>0</v>
      </c>
      <c r="Q629" s="2" t="n">
        <v>0</v>
      </c>
      <c r="R629" s="30">
        <f>IF(AND($C$5&lt;&gt;"",$A629=$C$5),1,"")</f>
        <v/>
      </c>
      <c r="S629" s="21">
        <f>IF(AND($C$5&lt;&gt;"",$A629=$C$5),SUMIFS($G$8:$G$715,$A$8:$A$715,$C$5,$B$8:$B$715,"&lt;="&amp;$B629),"")</f>
        <v/>
      </c>
      <c r="T629" s="24" t="n"/>
      <c r="U629" s="24" t="n"/>
    </row>
    <row r="630">
      <c r="A630" s="2" t="inlineStr">
        <is>
          <t>MYS-72</t>
        </is>
      </c>
      <c r="B630" s="2" t="n">
        <v>34</v>
      </c>
      <c r="C630" s="2" t="inlineStr">
        <is>
          <t>IMP00784</t>
        </is>
      </c>
      <c r="D630" s="2" t="inlineStr">
        <is>
          <t>Meridian Steel Co.</t>
        </is>
      </c>
      <c r="E630" s="2" t="n">
        <v>1</v>
      </c>
      <c r="F630" s="27" t="n">
        <v>3137415.7</v>
      </c>
      <c r="G630" s="28" t="n">
        <v>0.0012</v>
      </c>
      <c r="H630" s="19" t="n">
        <v>0.929</v>
      </c>
      <c r="I630" s="29" t="n">
        <v>0</v>
      </c>
      <c r="J630" s="2" t="inlineStr">
        <is>
          <t>EXP0460</t>
        </is>
      </c>
      <c r="K630" s="2" t="n">
        <v>8</v>
      </c>
      <c r="L630" s="2" t="inlineStr">
        <is>
          <t>BRK002</t>
        </is>
      </c>
      <c r="M630" s="2" t="inlineStr">
        <is>
          <t>PORT2</t>
        </is>
      </c>
      <c r="N630" s="2" t="n">
        <v>0</v>
      </c>
      <c r="O630" s="2" t="n">
        <v>0</v>
      </c>
      <c r="P630" s="2" t="n">
        <v>0</v>
      </c>
      <c r="Q630" s="2" t="n">
        <v>0</v>
      </c>
      <c r="R630" s="30">
        <f>IF(AND($C$5&lt;&gt;"",$A630=$C$5),1,"")</f>
        <v/>
      </c>
      <c r="S630" s="21">
        <f>IF(AND($C$5&lt;&gt;"",$A630=$C$5),SUMIFS($G$8:$G$715,$A$8:$A$715,$C$5,$B$8:$B$715,"&lt;="&amp;$B630),"")</f>
        <v/>
      </c>
      <c r="T630" s="24" t="n"/>
      <c r="U630" s="24" t="n"/>
    </row>
    <row r="631">
      <c r="A631" s="2" t="inlineStr">
        <is>
          <t>MYS-72</t>
        </is>
      </c>
      <c r="B631" s="2" t="n">
        <v>35</v>
      </c>
      <c r="C631" s="2" t="inlineStr">
        <is>
          <t>IMP00059</t>
        </is>
      </c>
      <c r="D631" s="2" t="inlineStr">
        <is>
          <t>Twin Rivers Supply Enterprises</t>
        </is>
      </c>
      <c r="E631" s="2" t="n">
        <v>1</v>
      </c>
      <c r="F631" s="27" t="n">
        <v>2688086.41</v>
      </c>
      <c r="G631" s="28" t="n">
        <v>0.0011</v>
      </c>
      <c r="H631" s="19" t="n">
        <v>1.126</v>
      </c>
      <c r="I631" s="29" t="n">
        <v>0</v>
      </c>
      <c r="J631" s="2" t="inlineStr">
        <is>
          <t>EXP0578</t>
        </is>
      </c>
      <c r="K631" s="2" t="n">
        <v>1</v>
      </c>
      <c r="L631" s="2" t="inlineStr">
        <is>
          <t>BRK017</t>
        </is>
      </c>
      <c r="M631" s="2" t="inlineStr">
        <is>
          <t>PORT3</t>
        </is>
      </c>
      <c r="N631" s="2" t="n">
        <v>0</v>
      </c>
      <c r="O631" s="2" t="n">
        <v>0</v>
      </c>
      <c r="P631" s="2" t="n">
        <v>0</v>
      </c>
      <c r="Q631" s="2" t="n">
        <v>0</v>
      </c>
      <c r="R631" s="30">
        <f>IF(AND($C$5&lt;&gt;"",$A631=$C$5),1,"")</f>
        <v/>
      </c>
      <c r="S631" s="21">
        <f>IF(AND($C$5&lt;&gt;"",$A631=$C$5),SUMIFS($G$8:$G$715,$A$8:$A$715,$C$5,$B$8:$B$715,"&lt;="&amp;$B631),"")</f>
        <v/>
      </c>
      <c r="T631" s="24" t="n"/>
      <c r="U631" s="24" t="n"/>
    </row>
    <row r="632">
      <c r="A632" s="2" t="inlineStr">
        <is>
          <t>MYS-72</t>
        </is>
      </c>
      <c r="B632" s="2" t="n">
        <v>36</v>
      </c>
      <c r="C632" s="2" t="inlineStr">
        <is>
          <t>IMP01036</t>
        </is>
      </c>
      <c r="D632" s="2" t="inlineStr">
        <is>
          <t>Carrick Mobile Enterprises</t>
        </is>
      </c>
      <c r="E632" s="2" t="n">
        <v>1</v>
      </c>
      <c r="F632" s="27" t="n">
        <v>1780990.78</v>
      </c>
      <c r="G632" s="28" t="n">
        <v>0.0007</v>
      </c>
      <c r="H632" s="19" t="n">
        <v>0.992</v>
      </c>
      <c r="I632" s="29" t="n">
        <v>0</v>
      </c>
      <c r="J632" s="2" t="inlineStr">
        <is>
          <t>EXP0201</t>
        </is>
      </c>
      <c r="K632" s="2" t="n">
        <v>1</v>
      </c>
      <c r="L632" s="2" t="inlineStr">
        <is>
          <t>BRK004</t>
        </is>
      </c>
      <c r="M632" s="2" t="inlineStr">
        <is>
          <t>AIR1</t>
        </is>
      </c>
      <c r="N632" s="2" t="n">
        <v>0</v>
      </c>
      <c r="O632" s="2" t="n">
        <v>0</v>
      </c>
      <c r="P632" s="2" t="n">
        <v>0</v>
      </c>
      <c r="Q632" s="2" t="n">
        <v>0</v>
      </c>
      <c r="R632" s="30">
        <f>IF(AND($C$5&lt;&gt;"",$A632=$C$5),1,"")</f>
        <v/>
      </c>
      <c r="S632" s="21">
        <f>IF(AND($C$5&lt;&gt;"",$A632=$C$5),SUMIFS($G$8:$G$715,$A$8:$A$715,$C$5,$B$8:$B$715,"&lt;="&amp;$B632),"")</f>
        <v/>
      </c>
      <c r="T632" s="24" t="n"/>
      <c r="U632" s="24" t="n"/>
    </row>
    <row r="633">
      <c r="A633" s="2" t="inlineStr">
        <is>
          <t>MYS-85</t>
        </is>
      </c>
      <c r="B633" s="2" t="n">
        <v>1</v>
      </c>
      <c r="C633" s="2" t="inlineStr">
        <is>
          <t>IMP01331</t>
        </is>
      </c>
      <c r="D633" s="2" t="inlineStr">
        <is>
          <t>Pacific Supply Ltd</t>
        </is>
      </c>
      <c r="E633" s="2" t="n">
        <v>484</v>
      </c>
      <c r="F633" s="27" t="n">
        <v>1719912025.69</v>
      </c>
      <c r="G633" s="28" t="n">
        <v>0.3306</v>
      </c>
      <c r="H633" s="19" t="n">
        <v>0.9135</v>
      </c>
      <c r="I633" s="29" t="n">
        <v>0.1384</v>
      </c>
      <c r="J633" s="2" t="inlineStr">
        <is>
          <t>EXP0191</t>
        </is>
      </c>
      <c r="K633" s="2" t="n">
        <v>7</v>
      </c>
      <c r="L633" s="2" t="inlineStr">
        <is>
          <t>BRK049</t>
        </is>
      </c>
      <c r="M633" s="2" t="inlineStr">
        <is>
          <t>AIR1</t>
        </is>
      </c>
      <c r="N633" s="2" t="n">
        <v>0</v>
      </c>
      <c r="O633" s="2" t="n">
        <v>0</v>
      </c>
      <c r="P633" s="2" t="n">
        <v>0</v>
      </c>
      <c r="Q633" s="2" t="n">
        <v>0</v>
      </c>
      <c r="R633" s="30">
        <f>IF(AND($C$5&lt;&gt;"",$A633=$C$5),1,"")</f>
        <v/>
      </c>
      <c r="S633" s="21">
        <f>IF(AND($C$5&lt;&gt;"",$A633=$C$5),SUMIFS($G$8:$G$715,$A$8:$A$715,$C$5,$B$8:$B$715,"&lt;="&amp;$B633),"")</f>
        <v/>
      </c>
      <c r="T633" s="24" t="n"/>
      <c r="U633" s="24" t="n"/>
    </row>
    <row r="634">
      <c r="A634" s="2" t="inlineStr">
        <is>
          <t>MYS-85</t>
        </is>
      </c>
      <c r="B634" s="2" t="n">
        <v>2</v>
      </c>
      <c r="C634" s="2" t="inlineStr">
        <is>
          <t>IMP00704</t>
        </is>
      </c>
      <c r="D634" s="2" t="inlineStr">
        <is>
          <t>Summit Living Limited</t>
        </is>
      </c>
      <c r="E634" s="2" t="n">
        <v>310</v>
      </c>
      <c r="F634" s="27" t="n">
        <v>733251622.14</v>
      </c>
      <c r="G634" s="28" t="n">
        <v>0.1409</v>
      </c>
      <c r="H634" s="19" t="n">
        <v>1.0125</v>
      </c>
      <c r="I634" s="29" t="n">
        <v>0.0129</v>
      </c>
      <c r="J634" s="2" t="inlineStr">
        <is>
          <t>EXP0185</t>
        </is>
      </c>
      <c r="K634" s="2" t="n">
        <v>12</v>
      </c>
      <c r="L634" s="2" t="inlineStr">
        <is>
          <t>BRK048</t>
        </is>
      </c>
      <c r="M634" s="2" t="inlineStr">
        <is>
          <t>AIR1</t>
        </is>
      </c>
      <c r="N634" s="2" t="n">
        <v>0</v>
      </c>
      <c r="O634" s="2" t="n">
        <v>0</v>
      </c>
      <c r="P634" s="2" t="n">
        <v>0</v>
      </c>
      <c r="Q634" s="2" t="n">
        <v>0</v>
      </c>
      <c r="R634" s="30">
        <f>IF(AND($C$5&lt;&gt;"",$A634=$C$5),1,"")</f>
        <v/>
      </c>
      <c r="S634" s="21">
        <f>IF(AND($C$5&lt;&gt;"",$A634=$C$5),SUMIFS($G$8:$G$715,$A$8:$A$715,$C$5,$B$8:$B$715,"&lt;="&amp;$B634),"")</f>
        <v/>
      </c>
      <c r="T634" s="24" t="n"/>
      <c r="U634" s="24" t="n"/>
    </row>
    <row r="635">
      <c r="A635" s="2" t="inlineStr">
        <is>
          <t>MYS-85</t>
        </is>
      </c>
      <c r="B635" s="2" t="n">
        <v>3</v>
      </c>
      <c r="C635" s="2" t="inlineStr">
        <is>
          <t>IMP01089</t>
        </is>
      </c>
      <c r="D635" s="2" t="inlineStr">
        <is>
          <t>Carrick Trading &amp; Sons</t>
        </is>
      </c>
      <c r="E635" s="2" t="n">
        <v>218</v>
      </c>
      <c r="F635" s="27" t="n">
        <v>519504884.33</v>
      </c>
      <c r="G635" s="28" t="n">
        <v>0.0998</v>
      </c>
      <c r="H635" s="19" t="n">
        <v>0.999</v>
      </c>
      <c r="I635" s="29" t="n">
        <v>0.0321</v>
      </c>
      <c r="J635" s="2" t="inlineStr">
        <is>
          <t>EXP0371</t>
        </is>
      </c>
      <c r="K635" s="2" t="n">
        <v>12</v>
      </c>
      <c r="L635" s="2" t="inlineStr">
        <is>
          <t>BRK037</t>
        </is>
      </c>
      <c r="M635" s="2" t="inlineStr">
        <is>
          <t>PORT1</t>
        </is>
      </c>
      <c r="N635" s="2" t="n">
        <v>0</v>
      </c>
      <c r="O635" s="2" t="n">
        <v>0</v>
      </c>
      <c r="P635" s="2" t="n">
        <v>0</v>
      </c>
      <c r="Q635" s="2" t="n">
        <v>0</v>
      </c>
      <c r="R635" s="30">
        <f>IF(AND($C$5&lt;&gt;"",$A635=$C$5),1,"")</f>
        <v/>
      </c>
      <c r="S635" s="21">
        <f>IF(AND($C$5&lt;&gt;"",$A635=$C$5),SUMIFS($G$8:$G$715,$A$8:$A$715,$C$5,$B$8:$B$715,"&lt;="&amp;$B635),"")</f>
        <v/>
      </c>
      <c r="T635" s="24" t="n"/>
      <c r="U635" s="24" t="n"/>
    </row>
    <row r="636">
      <c r="A636" s="2" t="inlineStr">
        <is>
          <t>MYS-85</t>
        </is>
      </c>
      <c r="B636" s="2" t="n">
        <v>4</v>
      </c>
      <c r="C636" s="2" t="inlineStr">
        <is>
          <t>IMP00632</t>
        </is>
      </c>
      <c r="D636" s="2" t="inlineStr">
        <is>
          <t>Phoenix Agro Holdings Ltd</t>
        </is>
      </c>
      <c r="E636" s="2" t="n">
        <v>97</v>
      </c>
      <c r="F636" s="27" t="n">
        <v>325244642.33</v>
      </c>
      <c r="G636" s="28" t="n">
        <v>0.0625</v>
      </c>
      <c r="H636" s="19" t="n">
        <v>1</v>
      </c>
      <c r="I636" s="29" t="n">
        <v>0.1237</v>
      </c>
      <c r="J636" s="2" t="inlineStr">
        <is>
          <t>EXP0371</t>
        </is>
      </c>
      <c r="K636" s="2" t="n">
        <v>12</v>
      </c>
      <c r="L636" s="2" t="inlineStr">
        <is>
          <t>BRK077</t>
        </is>
      </c>
      <c r="M636" s="2" t="inlineStr">
        <is>
          <t>AIR1</t>
        </is>
      </c>
      <c r="N636" s="2" t="n">
        <v>0</v>
      </c>
      <c r="O636" s="2" t="n">
        <v>0</v>
      </c>
      <c r="P636" s="2" t="n">
        <v>0</v>
      </c>
      <c r="Q636" s="2" t="n">
        <v>0</v>
      </c>
      <c r="R636" s="30">
        <f>IF(AND($C$5&lt;&gt;"",$A636=$C$5),1,"")</f>
        <v/>
      </c>
      <c r="S636" s="21">
        <f>IF(AND($C$5&lt;&gt;"",$A636=$C$5),SUMIFS($G$8:$G$715,$A$8:$A$715,$C$5,$B$8:$B$715,"&lt;="&amp;$B636),"")</f>
        <v/>
      </c>
      <c r="T636" s="24" t="n"/>
      <c r="U636" s="24" t="n"/>
    </row>
    <row r="637">
      <c r="A637" s="2" t="inlineStr">
        <is>
          <t>MYS-85</t>
        </is>
      </c>
      <c r="B637" s="2" t="n">
        <v>5</v>
      </c>
      <c r="C637" s="2" t="inlineStr">
        <is>
          <t>IMP00490</t>
        </is>
      </c>
      <c r="D637" s="2" t="inlineStr">
        <is>
          <t>Ocean Trading International Ltd</t>
        </is>
      </c>
      <c r="E637" s="2" t="n">
        <v>60</v>
      </c>
      <c r="F637" s="27" t="n">
        <v>252697968.94</v>
      </c>
      <c r="G637" s="28" t="n">
        <v>0.0486</v>
      </c>
      <c r="H637" s="19" t="n">
        <v>0.953</v>
      </c>
      <c r="I637" s="29" t="n">
        <v>0.2667</v>
      </c>
      <c r="J637" s="2" t="inlineStr">
        <is>
          <t>EXP0055</t>
        </is>
      </c>
      <c r="K637" s="2" t="n">
        <v>14</v>
      </c>
      <c r="L637" s="2" t="inlineStr">
        <is>
          <t>BRK060</t>
        </is>
      </c>
      <c r="M637" s="2" t="inlineStr">
        <is>
          <t>PORT1</t>
        </is>
      </c>
      <c r="N637" s="2" t="n">
        <v>0</v>
      </c>
      <c r="O637" s="2" t="n">
        <v>0</v>
      </c>
      <c r="P637" s="2" t="n">
        <v>0</v>
      </c>
      <c r="Q637" s="2" t="n">
        <v>0</v>
      </c>
      <c r="R637" s="30">
        <f>IF(AND($C$5&lt;&gt;"",$A637=$C$5),1,"")</f>
        <v/>
      </c>
      <c r="S637" s="21">
        <f>IF(AND($C$5&lt;&gt;"",$A637=$C$5),SUMIFS($G$8:$G$715,$A$8:$A$715,$C$5,$B$8:$B$715,"&lt;="&amp;$B637),"")</f>
        <v/>
      </c>
      <c r="T637" s="24" t="n"/>
      <c r="U637" s="24" t="n"/>
    </row>
    <row r="638">
      <c r="A638" s="2" t="inlineStr">
        <is>
          <t>MYS-85</t>
        </is>
      </c>
      <c r="B638" s="2" t="n">
        <v>6</v>
      </c>
      <c r="C638" s="2" t="inlineStr">
        <is>
          <t>IMP01099</t>
        </is>
      </c>
      <c r="D638" s="2" t="inlineStr">
        <is>
          <t>Silver Textiles Enterprises</t>
        </is>
      </c>
      <c r="E638" s="2" t="n">
        <v>80</v>
      </c>
      <c r="F638" s="27" t="n">
        <v>173024189.68</v>
      </c>
      <c r="G638" s="28" t="n">
        <v>0.0333</v>
      </c>
      <c r="H638" s="19" t="n">
        <v>1.032</v>
      </c>
      <c r="I638" s="29" t="n">
        <v>0.025</v>
      </c>
      <c r="J638" s="2" t="inlineStr">
        <is>
          <t>EXP0121</t>
        </is>
      </c>
      <c r="K638" s="2" t="n">
        <v>13</v>
      </c>
      <c r="L638" s="2" t="inlineStr">
        <is>
          <t>BRK007</t>
        </is>
      </c>
      <c r="M638" s="2" t="inlineStr">
        <is>
          <t>LAND1</t>
        </is>
      </c>
      <c r="N638" s="2" t="n">
        <v>0</v>
      </c>
      <c r="O638" s="2" t="n">
        <v>0</v>
      </c>
      <c r="P638" s="2" t="n">
        <v>0</v>
      </c>
      <c r="Q638" s="2" t="n">
        <v>0</v>
      </c>
      <c r="R638" s="30">
        <f>IF(AND($C$5&lt;&gt;"",$A638=$C$5),1,"")</f>
        <v/>
      </c>
      <c r="S638" s="21">
        <f>IF(AND($C$5&lt;&gt;"",$A638=$C$5),SUMIFS($G$8:$G$715,$A$8:$A$715,$C$5,$B$8:$B$715,"&lt;="&amp;$B638),"")</f>
        <v/>
      </c>
      <c r="T638" s="24" t="n"/>
      <c r="U638" s="24" t="n"/>
    </row>
    <row r="639">
      <c r="A639" s="2" t="inlineStr">
        <is>
          <t>MYS-85</t>
        </is>
      </c>
      <c r="B639" s="2" t="n">
        <v>7</v>
      </c>
      <c r="C639" s="2" t="inlineStr">
        <is>
          <t>IMP00989</t>
        </is>
      </c>
      <c r="D639" s="2" t="inlineStr">
        <is>
          <t>Summit Industries Co.</t>
        </is>
      </c>
      <c r="E639" s="2" t="n">
        <v>38</v>
      </c>
      <c r="F639" s="27" t="n">
        <v>165210421.04</v>
      </c>
      <c r="G639" s="28" t="n">
        <v>0.0318</v>
      </c>
      <c r="H639" s="19" t="n">
        <v>0.9379999999999999</v>
      </c>
      <c r="I639" s="29" t="n">
        <v>0.2368</v>
      </c>
      <c r="J639" s="2" t="inlineStr">
        <is>
          <t>EXP0441</t>
        </is>
      </c>
      <c r="K639" s="2" t="n">
        <v>10</v>
      </c>
      <c r="L639" s="2" t="inlineStr">
        <is>
          <t>BRK066</t>
        </is>
      </c>
      <c r="M639" s="2" t="inlineStr">
        <is>
          <t>PORT3</t>
        </is>
      </c>
      <c r="N639" s="2" t="n">
        <v>0</v>
      </c>
      <c r="O639" s="2" t="n">
        <v>0</v>
      </c>
      <c r="P639" s="2" t="n">
        <v>0</v>
      </c>
      <c r="Q639" s="2" t="n">
        <v>1</v>
      </c>
      <c r="R639" s="30">
        <f>IF(AND($C$5&lt;&gt;"",$A639=$C$5),1,"")</f>
        <v/>
      </c>
      <c r="S639" s="21">
        <f>IF(AND($C$5&lt;&gt;"",$A639=$C$5),SUMIFS($G$8:$G$715,$A$8:$A$715,$C$5,$B$8:$B$715,"&lt;="&amp;$B639),"")</f>
        <v/>
      </c>
      <c r="T639" s="24" t="n"/>
      <c r="U639" s="24" t="n"/>
    </row>
    <row r="640">
      <c r="A640" s="2" t="inlineStr">
        <is>
          <t>MYS-85</t>
        </is>
      </c>
      <c r="B640" s="2" t="n">
        <v>8</v>
      </c>
      <c r="C640" s="2" t="inlineStr">
        <is>
          <t>IMP01309</t>
        </is>
      </c>
      <c r="D640" s="2" t="inlineStr">
        <is>
          <t>Harmony Foods Ltd</t>
        </is>
      </c>
      <c r="E640" s="2" t="n">
        <v>54</v>
      </c>
      <c r="F640" s="27" t="n">
        <v>122069360.74</v>
      </c>
      <c r="G640" s="28" t="n">
        <v>0.0235</v>
      </c>
      <c r="H640" s="19" t="n">
        <v>0.9975000000000001</v>
      </c>
      <c r="I640" s="29" t="n">
        <v>0.1296</v>
      </c>
      <c r="J640" s="2" t="inlineStr">
        <is>
          <t>EXP0371</t>
        </is>
      </c>
      <c r="K640" s="2" t="n">
        <v>12</v>
      </c>
      <c r="L640" s="2" t="inlineStr">
        <is>
          <t>BRK080</t>
        </is>
      </c>
      <c r="M640" s="2" t="inlineStr">
        <is>
          <t>PORT1</t>
        </is>
      </c>
      <c r="N640" s="2" t="n">
        <v>0</v>
      </c>
      <c r="O640" s="2" t="n">
        <v>0</v>
      </c>
      <c r="P640" s="2" t="n">
        <v>0</v>
      </c>
      <c r="Q640" s="2" t="n">
        <v>0</v>
      </c>
      <c r="R640" s="30">
        <f>IF(AND($C$5&lt;&gt;"",$A640=$C$5),1,"")</f>
        <v/>
      </c>
      <c r="S640" s="21">
        <f>IF(AND($C$5&lt;&gt;"",$A640=$C$5),SUMIFS($G$8:$G$715,$A$8:$A$715,$C$5,$B$8:$B$715,"&lt;="&amp;$B640),"")</f>
        <v/>
      </c>
      <c r="T640" s="24" t="n"/>
      <c r="U640" s="24" t="n"/>
    </row>
    <row r="641">
      <c r="A641" s="2" t="inlineStr">
        <is>
          <t>MYS-85</t>
        </is>
      </c>
      <c r="B641" s="2" t="n">
        <v>9</v>
      </c>
      <c r="C641" s="2" t="inlineStr">
        <is>
          <t>IMP01171</t>
        </is>
      </c>
      <c r="D641" s="2" t="inlineStr">
        <is>
          <t>Lotus Pack Holdings Ltd</t>
        </is>
      </c>
      <c r="E641" s="2" t="n">
        <v>18</v>
      </c>
      <c r="F641" s="27" t="n">
        <v>112183536.73</v>
      </c>
      <c r="G641" s="28" t="n">
        <v>0.0216</v>
      </c>
      <c r="H641" s="19" t="n">
        <v>1.0125</v>
      </c>
      <c r="I641" s="29" t="n">
        <v>0.1111</v>
      </c>
      <c r="J641" s="2" t="inlineStr">
        <is>
          <t>EXP0181</t>
        </is>
      </c>
      <c r="K641" s="2" t="n">
        <v>10</v>
      </c>
      <c r="L641" s="2" t="inlineStr">
        <is>
          <t>BRK041</t>
        </is>
      </c>
      <c r="M641" s="2" t="inlineStr">
        <is>
          <t>PORT2</t>
        </is>
      </c>
      <c r="N641" s="2" t="n">
        <v>0</v>
      </c>
      <c r="O641" s="2" t="n">
        <v>1</v>
      </c>
      <c r="P641" s="2" t="n">
        <v>0</v>
      </c>
      <c r="Q641" s="2" t="n">
        <v>0</v>
      </c>
      <c r="R641" s="30">
        <f>IF(AND($C$5&lt;&gt;"",$A641=$C$5),1,"")</f>
        <v/>
      </c>
      <c r="S641" s="21">
        <f>IF(AND($C$5&lt;&gt;"",$A641=$C$5),SUMIFS($G$8:$G$715,$A$8:$A$715,$C$5,$B$8:$B$715,"&lt;="&amp;$B641),"")</f>
        <v/>
      </c>
      <c r="T641" s="24" t="n"/>
      <c r="U641" s="24" t="n"/>
    </row>
    <row r="642">
      <c r="A642" s="2" t="inlineStr">
        <is>
          <t>MYS-85</t>
        </is>
      </c>
      <c r="B642" s="2" t="n">
        <v>10</v>
      </c>
      <c r="C642" s="2" t="inlineStr">
        <is>
          <t>IMP00784</t>
        </is>
      </c>
      <c r="D642" s="2" t="inlineStr">
        <is>
          <t>Meridian Steel Co.</t>
        </is>
      </c>
      <c r="E642" s="2" t="n">
        <v>71</v>
      </c>
      <c r="F642" s="27" t="n">
        <v>105696146.05</v>
      </c>
      <c r="G642" s="28" t="n">
        <v>0.0203</v>
      </c>
      <c r="H642" s="19" t="n">
        <v>0.906</v>
      </c>
      <c r="I642" s="29" t="n">
        <v>0.0282</v>
      </c>
      <c r="J642" s="2" t="inlineStr">
        <is>
          <t>EXP0191</t>
        </is>
      </c>
      <c r="K642" s="2" t="n">
        <v>7</v>
      </c>
      <c r="L642" s="2" t="inlineStr">
        <is>
          <t>BRK002</t>
        </is>
      </c>
      <c r="M642" s="2" t="inlineStr">
        <is>
          <t>PORT2</t>
        </is>
      </c>
      <c r="N642" s="2" t="n">
        <v>0</v>
      </c>
      <c r="O642" s="2" t="n">
        <v>0</v>
      </c>
      <c r="P642" s="2" t="n">
        <v>0</v>
      </c>
      <c r="Q642" s="2" t="n">
        <v>0</v>
      </c>
      <c r="R642" s="30">
        <f>IF(AND($C$5&lt;&gt;"",$A642=$C$5),1,"")</f>
        <v/>
      </c>
      <c r="S642" s="21">
        <f>IF(AND($C$5&lt;&gt;"",$A642=$C$5),SUMIFS($G$8:$G$715,$A$8:$A$715,$C$5,$B$8:$B$715,"&lt;="&amp;$B642),"")</f>
        <v/>
      </c>
      <c r="T642" s="24" t="n"/>
      <c r="U642" s="24" t="n"/>
    </row>
    <row r="643">
      <c r="A643" s="2" t="inlineStr">
        <is>
          <t>MYS-85</t>
        </is>
      </c>
      <c r="B643" s="2" t="n">
        <v>11</v>
      </c>
      <c r="C643" s="2" t="inlineStr">
        <is>
          <t>IMP00372</t>
        </is>
      </c>
      <c r="D643" s="2" t="inlineStr">
        <is>
          <t>Prescott Glow International Ltd</t>
        </is>
      </c>
      <c r="E643" s="2" t="n">
        <v>30</v>
      </c>
      <c r="F643" s="27" t="n">
        <v>90363811.8</v>
      </c>
      <c r="G643" s="28" t="n">
        <v>0.0174</v>
      </c>
      <c r="H643" s="19" t="n">
        <v>1.03</v>
      </c>
      <c r="I643" s="29" t="n">
        <v>0.0667</v>
      </c>
      <c r="J643" s="2" t="inlineStr">
        <is>
          <t>EXP0183</t>
        </is>
      </c>
      <c r="K643" s="2" t="n">
        <v>10</v>
      </c>
      <c r="L643" s="2" t="inlineStr">
        <is>
          <t>BRK016</t>
        </is>
      </c>
      <c r="M643" s="2" t="inlineStr">
        <is>
          <t>PORT1</t>
        </is>
      </c>
      <c r="N643" s="2" t="n">
        <v>0</v>
      </c>
      <c r="O643" s="2" t="n">
        <v>0</v>
      </c>
      <c r="P643" s="2" t="n">
        <v>0</v>
      </c>
      <c r="Q643" s="2" t="n">
        <v>0</v>
      </c>
      <c r="R643" s="30">
        <f>IF(AND($C$5&lt;&gt;"",$A643=$C$5),1,"")</f>
        <v/>
      </c>
      <c r="S643" s="21">
        <f>IF(AND($C$5&lt;&gt;"",$A643=$C$5),SUMIFS($G$8:$G$715,$A$8:$A$715,$C$5,$B$8:$B$715,"&lt;="&amp;$B643),"")</f>
        <v/>
      </c>
      <c r="T643" s="24" t="n"/>
      <c r="U643" s="24" t="n"/>
    </row>
    <row r="644">
      <c r="A644" s="2" t="inlineStr">
        <is>
          <t>MYS-85</t>
        </is>
      </c>
      <c r="B644" s="2" t="n">
        <v>12</v>
      </c>
      <c r="C644" s="2" t="inlineStr">
        <is>
          <t>IMP00557</t>
        </is>
      </c>
      <c r="D644" s="2" t="inlineStr">
        <is>
          <t>Northern Electronics Co., Ltd</t>
        </is>
      </c>
      <c r="E644" s="2" t="n">
        <v>58</v>
      </c>
      <c r="F644" s="27" t="n">
        <v>90143138.22</v>
      </c>
      <c r="G644" s="28" t="n">
        <v>0.0173</v>
      </c>
      <c r="H644" s="19" t="n">
        <v>0.9255</v>
      </c>
      <c r="I644" s="29" t="n">
        <v>0.1207</v>
      </c>
      <c r="J644" s="2" t="inlineStr">
        <is>
          <t>EXP0181</t>
        </is>
      </c>
      <c r="K644" s="2" t="n">
        <v>10</v>
      </c>
      <c r="L644" s="2" t="inlineStr">
        <is>
          <t>BRK049</t>
        </is>
      </c>
      <c r="M644" s="2" t="inlineStr">
        <is>
          <t>PORT2</t>
        </is>
      </c>
      <c r="N644" s="2" t="n">
        <v>0</v>
      </c>
      <c r="O644" s="2" t="n">
        <v>0</v>
      </c>
      <c r="P644" s="2" t="n">
        <v>0</v>
      </c>
      <c r="Q644" s="2" t="n">
        <v>0</v>
      </c>
      <c r="R644" s="30">
        <f>IF(AND($C$5&lt;&gt;"",$A644=$C$5),1,"")</f>
        <v/>
      </c>
      <c r="S644" s="21">
        <f>IF(AND($C$5&lt;&gt;"",$A644=$C$5),SUMIFS($G$8:$G$715,$A$8:$A$715,$C$5,$B$8:$B$715,"&lt;="&amp;$B644),"")</f>
        <v/>
      </c>
      <c r="T644" s="24" t="n"/>
      <c r="U644" s="24" t="n"/>
    </row>
    <row r="645">
      <c r="A645" s="2" t="inlineStr">
        <is>
          <t>MYS-85</t>
        </is>
      </c>
      <c r="B645" s="2" t="n">
        <v>13</v>
      </c>
      <c r="C645" s="2" t="inlineStr">
        <is>
          <t>IMP00576</t>
        </is>
      </c>
      <c r="D645" s="2" t="inlineStr">
        <is>
          <t>Cobalt Enterprises Ltd</t>
        </is>
      </c>
      <c r="E645" s="2" t="n">
        <v>28</v>
      </c>
      <c r="F645" s="27" t="n">
        <v>89851901.12</v>
      </c>
      <c r="G645" s="28" t="n">
        <v>0.0173</v>
      </c>
      <c r="H645" s="19" t="n">
        <v>0.964</v>
      </c>
      <c r="I645" s="29" t="n">
        <v>0.1071</v>
      </c>
      <c r="J645" s="2" t="inlineStr">
        <is>
          <t>EXP0055</t>
        </is>
      </c>
      <c r="K645" s="2" t="n">
        <v>14</v>
      </c>
      <c r="L645" s="2" t="inlineStr">
        <is>
          <t>BRK035</t>
        </is>
      </c>
      <c r="M645" s="2" t="inlineStr">
        <is>
          <t>PORT1</t>
        </is>
      </c>
      <c r="N645" s="2" t="n">
        <v>0</v>
      </c>
      <c r="O645" s="2" t="n">
        <v>0</v>
      </c>
      <c r="P645" s="2" t="n">
        <v>0</v>
      </c>
      <c r="Q645" s="2" t="n">
        <v>0</v>
      </c>
      <c r="R645" s="30">
        <f>IF(AND($C$5&lt;&gt;"",$A645=$C$5),1,"")</f>
        <v/>
      </c>
      <c r="S645" s="21">
        <f>IF(AND($C$5&lt;&gt;"",$A645=$C$5),SUMIFS($G$8:$G$715,$A$8:$A$715,$C$5,$B$8:$B$715,"&lt;="&amp;$B645),"")</f>
        <v/>
      </c>
      <c r="T645" s="24" t="n"/>
      <c r="U645" s="24" t="n"/>
    </row>
    <row r="646">
      <c r="A646" s="2" t="inlineStr">
        <is>
          <t>MYS-85</t>
        </is>
      </c>
      <c r="B646" s="2" t="n">
        <v>14</v>
      </c>
      <c r="C646" s="2" t="inlineStr">
        <is>
          <t>IMP00613</t>
        </is>
      </c>
      <c r="D646" s="2" t="inlineStr">
        <is>
          <t>Sunrise Commercial Enterprises</t>
        </is>
      </c>
      <c r="E646" s="2" t="n">
        <v>10</v>
      </c>
      <c r="F646" s="27" t="n">
        <v>59947232.93</v>
      </c>
      <c r="G646" s="28" t="n">
        <v>0.0115</v>
      </c>
      <c r="H646" s="19" t="n">
        <v>1.0055</v>
      </c>
      <c r="I646" s="29" t="n">
        <v>0.1</v>
      </c>
      <c r="J646" s="2" t="inlineStr">
        <is>
          <t>EXP0121</t>
        </is>
      </c>
      <c r="K646" s="2" t="n">
        <v>13</v>
      </c>
      <c r="L646" s="2" t="inlineStr">
        <is>
          <t>BRK069</t>
        </is>
      </c>
      <c r="M646" s="2" t="inlineStr">
        <is>
          <t>LAND2</t>
        </is>
      </c>
      <c r="N646" s="2" t="n">
        <v>0</v>
      </c>
      <c r="O646" s="2" t="n">
        <v>1</v>
      </c>
      <c r="P646" s="2" t="n">
        <v>0</v>
      </c>
      <c r="Q646" s="2" t="n">
        <v>1</v>
      </c>
      <c r="R646" s="30">
        <f>IF(AND($C$5&lt;&gt;"",$A646=$C$5),1,"")</f>
        <v/>
      </c>
      <c r="S646" s="21">
        <f>IF(AND($C$5&lt;&gt;"",$A646=$C$5),SUMIFS($G$8:$G$715,$A$8:$A$715,$C$5,$B$8:$B$715,"&lt;="&amp;$B646),"")</f>
        <v/>
      </c>
      <c r="T646" s="24" t="n"/>
      <c r="U646" s="24" t="n"/>
    </row>
    <row r="647">
      <c r="A647" s="2" t="inlineStr">
        <is>
          <t>MYS-85</t>
        </is>
      </c>
      <c r="B647" s="2" t="n">
        <v>15</v>
      </c>
      <c r="C647" s="2" t="inlineStr">
        <is>
          <t>IMP01223</t>
        </is>
      </c>
      <c r="D647" s="2" t="inlineStr">
        <is>
          <t>Prescott Foods International Ltd</t>
        </is>
      </c>
      <c r="E647" s="2" t="n">
        <v>15</v>
      </c>
      <c r="F647" s="27" t="n">
        <v>49982712.47</v>
      </c>
      <c r="G647" s="28" t="n">
        <v>0.009599999999999999</v>
      </c>
      <c r="H647" s="19" t="n">
        <v>1.029</v>
      </c>
      <c r="I647" s="29" t="n">
        <v>0.0667</v>
      </c>
      <c r="J647" s="2" t="inlineStr">
        <is>
          <t>EXP0432</t>
        </is>
      </c>
      <c r="K647" s="2" t="n">
        <v>7</v>
      </c>
      <c r="L647" s="2" t="inlineStr">
        <is>
          <t>BRK033</t>
        </is>
      </c>
      <c r="M647" s="2" t="inlineStr">
        <is>
          <t>LAND1</t>
        </is>
      </c>
      <c r="N647" s="2" t="n">
        <v>0</v>
      </c>
      <c r="O647" s="2" t="n">
        <v>1</v>
      </c>
      <c r="P647" s="2" t="n">
        <v>0</v>
      </c>
      <c r="Q647" s="2" t="n">
        <v>0</v>
      </c>
      <c r="R647" s="30">
        <f>IF(AND($C$5&lt;&gt;"",$A647=$C$5),1,"")</f>
        <v/>
      </c>
      <c r="S647" s="21">
        <f>IF(AND($C$5&lt;&gt;"",$A647=$C$5),SUMIFS($G$8:$G$715,$A$8:$A$715,$C$5,$B$8:$B$715,"&lt;="&amp;$B647),"")</f>
        <v/>
      </c>
      <c r="T647" s="24" t="n"/>
      <c r="U647" s="24" t="n"/>
    </row>
    <row r="648">
      <c r="A648" s="2" t="inlineStr">
        <is>
          <t>MYS-85</t>
        </is>
      </c>
      <c r="B648" s="2" t="n">
        <v>16</v>
      </c>
      <c r="C648" s="2" t="inlineStr">
        <is>
          <t>IMP01464</t>
        </is>
      </c>
      <c r="D648" s="2" t="inlineStr">
        <is>
          <t>Silk Road Distribution Co.</t>
        </is>
      </c>
      <c r="E648" s="2" t="n">
        <v>7</v>
      </c>
      <c r="F648" s="27" t="n">
        <v>47190407.83</v>
      </c>
      <c r="G648" s="28" t="n">
        <v>0.0091</v>
      </c>
      <c r="H648" s="19" t="n">
        <v>1.061</v>
      </c>
      <c r="I648" s="29" t="n">
        <v>0</v>
      </c>
      <c r="J648" s="2" t="inlineStr">
        <is>
          <t>EXP0109</t>
        </is>
      </c>
      <c r="K648" s="2" t="n">
        <v>8</v>
      </c>
      <c r="L648" s="2" t="inlineStr">
        <is>
          <t>BRK066</t>
        </is>
      </c>
      <c r="M648" s="2" t="inlineStr">
        <is>
          <t>AIR2</t>
        </is>
      </c>
      <c r="N648" s="2" t="n">
        <v>0</v>
      </c>
      <c r="O648" s="2" t="n">
        <v>0</v>
      </c>
      <c r="P648" s="2" t="n">
        <v>0</v>
      </c>
      <c r="Q648" s="2" t="n">
        <v>0</v>
      </c>
      <c r="R648" s="30">
        <f>IF(AND($C$5&lt;&gt;"",$A648=$C$5),1,"")</f>
        <v/>
      </c>
      <c r="S648" s="21">
        <f>IF(AND($C$5&lt;&gt;"",$A648=$C$5),SUMIFS($G$8:$G$715,$A$8:$A$715,$C$5,$B$8:$B$715,"&lt;="&amp;$B648),"")</f>
        <v/>
      </c>
      <c r="T648" s="24" t="n"/>
      <c r="U648" s="24" t="n"/>
    </row>
    <row r="649">
      <c r="A649" s="2" t="inlineStr">
        <is>
          <t>MYS-85</t>
        </is>
      </c>
      <c r="B649" s="2" t="n">
        <v>17</v>
      </c>
      <c r="C649" s="2" t="inlineStr">
        <is>
          <t>IMP00567</t>
        </is>
      </c>
      <c r="D649" s="2" t="inlineStr">
        <is>
          <t>Jade Enterprises Partners Ltd</t>
        </is>
      </c>
      <c r="E649" s="2" t="n">
        <v>27</v>
      </c>
      <c r="F649" s="27" t="n">
        <v>46978124.5</v>
      </c>
      <c r="G649" s="28" t="n">
        <v>0.008999999999999999</v>
      </c>
      <c r="H649" s="19" t="n">
        <v>1.008</v>
      </c>
      <c r="I649" s="29" t="n">
        <v>0.037</v>
      </c>
      <c r="J649" s="2" t="inlineStr">
        <is>
          <t>EXP0336</t>
        </is>
      </c>
      <c r="K649" s="2" t="n">
        <v>8</v>
      </c>
      <c r="L649" s="2" t="inlineStr">
        <is>
          <t>BRK041</t>
        </is>
      </c>
      <c r="M649" s="2" t="inlineStr">
        <is>
          <t>AIR1</t>
        </is>
      </c>
      <c r="N649" s="2" t="n">
        <v>0</v>
      </c>
      <c r="O649" s="2" t="n">
        <v>0</v>
      </c>
      <c r="P649" s="2" t="n">
        <v>0</v>
      </c>
      <c r="Q649" s="2" t="n">
        <v>0</v>
      </c>
      <c r="R649" s="30">
        <f>IF(AND($C$5&lt;&gt;"",$A649=$C$5),1,"")</f>
        <v/>
      </c>
      <c r="S649" s="21">
        <f>IF(AND($C$5&lt;&gt;"",$A649=$C$5),SUMIFS($G$8:$G$715,$A$8:$A$715,$C$5,$B$8:$B$715,"&lt;="&amp;$B649),"")</f>
        <v/>
      </c>
      <c r="T649" s="24" t="n"/>
      <c r="U649" s="24" t="n"/>
    </row>
    <row r="650">
      <c r="A650" s="2" t="inlineStr">
        <is>
          <t>MYS-85</t>
        </is>
      </c>
      <c r="B650" s="2" t="n">
        <v>18</v>
      </c>
      <c r="C650" s="2" t="inlineStr">
        <is>
          <t>IMP00610</t>
        </is>
      </c>
      <c r="D650" s="2" t="inlineStr">
        <is>
          <t>Harmony Enterprises Enterprises</t>
        </is>
      </c>
      <c r="E650" s="2" t="n">
        <v>12</v>
      </c>
      <c r="F650" s="27" t="n">
        <v>40770816.02</v>
      </c>
      <c r="G650" s="28" t="n">
        <v>0.0078</v>
      </c>
      <c r="H650" s="19" t="n">
        <v>0.8745000000000001</v>
      </c>
      <c r="I650" s="29" t="n">
        <v>0.0833</v>
      </c>
      <c r="J650" s="2" t="inlineStr">
        <is>
          <t>EXP0191</t>
        </is>
      </c>
      <c r="K650" s="2" t="n">
        <v>7</v>
      </c>
      <c r="L650" s="2" t="inlineStr">
        <is>
          <t>BRK059</t>
        </is>
      </c>
      <c r="M650" s="2" t="inlineStr">
        <is>
          <t>AIR1</t>
        </is>
      </c>
      <c r="N650" s="2" t="n">
        <v>0</v>
      </c>
      <c r="O650" s="2" t="n">
        <v>0</v>
      </c>
      <c r="P650" s="2" t="n">
        <v>0</v>
      </c>
      <c r="Q650" s="2" t="n">
        <v>0</v>
      </c>
      <c r="R650" s="30">
        <f>IF(AND($C$5&lt;&gt;"",$A650=$C$5),1,"")</f>
        <v/>
      </c>
      <c r="S650" s="21">
        <f>IF(AND($C$5&lt;&gt;"",$A650=$C$5),SUMIFS($G$8:$G$715,$A$8:$A$715,$C$5,$B$8:$B$715,"&lt;="&amp;$B650),"")</f>
        <v/>
      </c>
      <c r="T650" s="24" t="n"/>
      <c r="U650" s="24" t="n"/>
    </row>
    <row r="651">
      <c r="A651" s="2" t="inlineStr">
        <is>
          <t>MYS-85</t>
        </is>
      </c>
      <c r="B651" s="2" t="n">
        <v>19</v>
      </c>
      <c r="C651" s="2" t="inlineStr">
        <is>
          <t>IMP00674</t>
        </is>
      </c>
      <c r="D651" s="2" t="inlineStr">
        <is>
          <t>Ocean Foods Co., Ltd</t>
        </is>
      </c>
      <c r="E651" s="2" t="n">
        <v>17</v>
      </c>
      <c r="F651" s="27" t="n">
        <v>40246564.31</v>
      </c>
      <c r="G651" s="28" t="n">
        <v>0.0077</v>
      </c>
      <c r="H651" s="19" t="n">
        <v>1.074</v>
      </c>
      <c r="I651" s="29" t="n">
        <v>0</v>
      </c>
      <c r="J651" s="2" t="inlineStr">
        <is>
          <t>EXP0432</t>
        </is>
      </c>
      <c r="K651" s="2" t="n">
        <v>7</v>
      </c>
      <c r="L651" s="2" t="inlineStr">
        <is>
          <t>BRK025</t>
        </is>
      </c>
      <c r="M651" s="2" t="inlineStr">
        <is>
          <t>PORT2</t>
        </is>
      </c>
      <c r="N651" s="2" t="n">
        <v>0</v>
      </c>
      <c r="O651" s="2" t="n">
        <v>0</v>
      </c>
      <c r="P651" s="2" t="n">
        <v>0</v>
      </c>
      <c r="Q651" s="2" t="n">
        <v>0</v>
      </c>
      <c r="R651" s="30">
        <f>IF(AND($C$5&lt;&gt;"",$A651=$C$5),1,"")</f>
        <v/>
      </c>
      <c r="S651" s="21">
        <f>IF(AND($C$5&lt;&gt;"",$A651=$C$5),SUMIFS($G$8:$G$715,$A$8:$A$715,$C$5,$B$8:$B$715,"&lt;="&amp;$B651),"")</f>
        <v/>
      </c>
      <c r="T651" s="24" t="n"/>
      <c r="U651" s="24" t="n"/>
    </row>
    <row r="652">
      <c r="A652" s="2" t="inlineStr">
        <is>
          <t>MYS-85</t>
        </is>
      </c>
      <c r="B652" s="2" t="n">
        <v>20</v>
      </c>
      <c r="C652" s="2" t="inlineStr">
        <is>
          <t>IMP00003</t>
        </is>
      </c>
      <c r="D652" s="2" t="inlineStr">
        <is>
          <t>Saffron Trading &amp; Sons</t>
        </is>
      </c>
      <c r="E652" s="2" t="n">
        <v>19</v>
      </c>
      <c r="F652" s="27" t="n">
        <v>39778743.59</v>
      </c>
      <c r="G652" s="28" t="n">
        <v>0.0076</v>
      </c>
      <c r="H652" s="19" t="n">
        <v>0.908</v>
      </c>
      <c r="I652" s="29" t="n">
        <v>0.0526</v>
      </c>
      <c r="J652" s="2" t="inlineStr">
        <is>
          <t>EXP0181</t>
        </is>
      </c>
      <c r="K652" s="2" t="n">
        <v>10</v>
      </c>
      <c r="L652" s="2" t="inlineStr">
        <is>
          <t>BRK054</t>
        </is>
      </c>
      <c r="M652" s="2" t="inlineStr">
        <is>
          <t>LAND2</t>
        </is>
      </c>
      <c r="N652" s="2" t="n">
        <v>0</v>
      </c>
      <c r="O652" s="2" t="n">
        <v>0</v>
      </c>
      <c r="P652" s="2" t="n">
        <v>0</v>
      </c>
      <c r="Q652" s="2" t="n">
        <v>0</v>
      </c>
      <c r="R652" s="30">
        <f>IF(AND($C$5&lt;&gt;"",$A652=$C$5),1,"")</f>
        <v/>
      </c>
      <c r="S652" s="21">
        <f>IF(AND($C$5&lt;&gt;"",$A652=$C$5),SUMIFS($G$8:$G$715,$A$8:$A$715,$C$5,$B$8:$B$715,"&lt;="&amp;$B652),"")</f>
        <v/>
      </c>
      <c r="T652" s="24" t="n"/>
      <c r="U652" s="24" t="n"/>
    </row>
    <row r="653">
      <c r="A653" s="2" t="inlineStr">
        <is>
          <t>MYS-85</t>
        </is>
      </c>
      <c r="B653" s="2" t="n">
        <v>21</v>
      </c>
      <c r="C653" s="2" t="inlineStr">
        <is>
          <t>IMP01366</t>
        </is>
      </c>
      <c r="D653" s="2" t="inlineStr">
        <is>
          <t>Orchid Glow Co.</t>
        </is>
      </c>
      <c r="E653" s="2" t="n">
        <v>9</v>
      </c>
      <c r="F653" s="27" t="n">
        <v>36494963.31</v>
      </c>
      <c r="G653" s="28" t="n">
        <v>0.007</v>
      </c>
      <c r="H653" s="19" t="n">
        <v>1.042</v>
      </c>
      <c r="I653" s="29" t="n">
        <v>0</v>
      </c>
      <c r="J653" s="2" t="inlineStr">
        <is>
          <t>EXP0371</t>
        </is>
      </c>
      <c r="K653" s="2" t="n">
        <v>12</v>
      </c>
      <c r="L653" s="2" t="inlineStr">
        <is>
          <t>BRK063</t>
        </is>
      </c>
      <c r="M653" s="2" t="inlineStr">
        <is>
          <t>PORT1</t>
        </is>
      </c>
      <c r="N653" s="2" t="n">
        <v>0</v>
      </c>
      <c r="O653" s="2" t="n">
        <v>0</v>
      </c>
      <c r="P653" s="2" t="n">
        <v>0</v>
      </c>
      <c r="Q653" s="2" t="n">
        <v>1</v>
      </c>
      <c r="R653" s="30">
        <f>IF(AND($C$5&lt;&gt;"",$A653=$C$5),1,"")</f>
        <v/>
      </c>
      <c r="S653" s="21">
        <f>IF(AND($C$5&lt;&gt;"",$A653=$C$5),SUMIFS($G$8:$G$715,$A$8:$A$715,$C$5,$B$8:$B$715,"&lt;="&amp;$B653),"")</f>
        <v/>
      </c>
      <c r="T653" s="24" t="n"/>
      <c r="U653" s="24" t="n"/>
    </row>
    <row r="654">
      <c r="A654" s="2" t="inlineStr">
        <is>
          <t>MYS-85</t>
        </is>
      </c>
      <c r="B654" s="2" t="n">
        <v>22</v>
      </c>
      <c r="C654" s="2" t="inlineStr">
        <is>
          <t>IMP01388</t>
        </is>
      </c>
      <c r="D654" s="2" t="inlineStr">
        <is>
          <t>Pacific Motors Co., Ltd</t>
        </is>
      </c>
      <c r="E654" s="2" t="n">
        <v>11</v>
      </c>
      <c r="F654" s="27" t="n">
        <v>29658527.17</v>
      </c>
      <c r="G654" s="28" t="n">
        <v>0.0057</v>
      </c>
      <c r="H654" s="19" t="n">
        <v>1.076</v>
      </c>
      <c r="I654" s="29" t="n">
        <v>0</v>
      </c>
      <c r="J654" s="2" t="inlineStr">
        <is>
          <t>EXP0106</t>
        </is>
      </c>
      <c r="K654" s="2" t="n">
        <v>6</v>
      </c>
      <c r="L654" s="2" t="inlineStr">
        <is>
          <t>BRK048</t>
        </is>
      </c>
      <c r="M654" s="2" t="inlineStr">
        <is>
          <t>AIR1</t>
        </is>
      </c>
      <c r="N654" s="2" t="n">
        <v>0</v>
      </c>
      <c r="O654" s="2" t="n">
        <v>0</v>
      </c>
      <c r="P654" s="2" t="n">
        <v>0</v>
      </c>
      <c r="Q654" s="2" t="n">
        <v>0</v>
      </c>
      <c r="R654" s="30">
        <f>IF(AND($C$5&lt;&gt;"",$A654=$C$5),1,"")</f>
        <v/>
      </c>
      <c r="S654" s="21">
        <f>IF(AND($C$5&lt;&gt;"",$A654=$C$5),SUMIFS($G$8:$G$715,$A$8:$A$715,$C$5,$B$8:$B$715,"&lt;="&amp;$B654),"")</f>
        <v/>
      </c>
      <c r="T654" s="24" t="n"/>
      <c r="U654" s="24" t="n"/>
    </row>
    <row r="655">
      <c r="A655" s="2" t="inlineStr">
        <is>
          <t>MYS-85</t>
        </is>
      </c>
      <c r="B655" s="2" t="n">
        <v>23</v>
      </c>
      <c r="C655" s="2" t="inlineStr">
        <is>
          <t>IMP01279</t>
        </is>
      </c>
      <c r="D655" s="2" t="inlineStr">
        <is>
          <t>Evergreen Industries Co.</t>
        </is>
      </c>
      <c r="E655" s="2" t="n">
        <v>20</v>
      </c>
      <c r="F655" s="27" t="n">
        <v>26265496.43</v>
      </c>
      <c r="G655" s="28" t="n">
        <v>0.005</v>
      </c>
      <c r="H655" s="19" t="n">
        <v>0.867</v>
      </c>
      <c r="I655" s="29" t="n">
        <v>0.05</v>
      </c>
      <c r="J655" s="2" t="inlineStr">
        <is>
          <t>EXP0041</t>
        </is>
      </c>
      <c r="K655" s="2" t="n">
        <v>9</v>
      </c>
      <c r="L655" s="2" t="inlineStr">
        <is>
          <t>BRK054</t>
        </is>
      </c>
      <c r="M655" s="2" t="inlineStr">
        <is>
          <t>PORT1</t>
        </is>
      </c>
      <c r="N655" s="2" t="n">
        <v>0</v>
      </c>
      <c r="O655" s="2" t="n">
        <v>0</v>
      </c>
      <c r="P655" s="2" t="n">
        <v>0</v>
      </c>
      <c r="Q655" s="2" t="n">
        <v>0</v>
      </c>
      <c r="R655" s="30">
        <f>IF(AND($C$5&lt;&gt;"",$A655=$C$5),1,"")</f>
        <v/>
      </c>
      <c r="S655" s="21">
        <f>IF(AND($C$5&lt;&gt;"",$A655=$C$5),SUMIFS($G$8:$G$715,$A$8:$A$715,$C$5,$B$8:$B$715,"&lt;="&amp;$B655),"")</f>
        <v/>
      </c>
      <c r="T655" s="24" t="n"/>
      <c r="U655" s="24" t="n"/>
    </row>
    <row r="656">
      <c r="A656" s="2" t="inlineStr">
        <is>
          <t>MYS-85</t>
        </is>
      </c>
      <c r="B656" s="2" t="n">
        <v>24</v>
      </c>
      <c r="C656" s="2" t="inlineStr">
        <is>
          <t>IMP00706</t>
        </is>
      </c>
      <c r="D656" s="2" t="inlineStr">
        <is>
          <t>Phoenix Supply Limited</t>
        </is>
      </c>
      <c r="E656" s="2" t="n">
        <v>9</v>
      </c>
      <c r="F656" s="27" t="n">
        <v>21552806.8</v>
      </c>
      <c r="G656" s="28" t="n">
        <v>0.0041</v>
      </c>
      <c r="H656" s="19" t="n">
        <v>1.008</v>
      </c>
      <c r="I656" s="29" t="n">
        <v>0</v>
      </c>
      <c r="J656" s="2" t="inlineStr">
        <is>
          <t>EXP0206</t>
        </is>
      </c>
      <c r="K656" s="2" t="n">
        <v>8</v>
      </c>
      <c r="L656" s="2" t="inlineStr">
        <is>
          <t>BRK020</t>
        </is>
      </c>
      <c r="M656" s="2" t="inlineStr">
        <is>
          <t>PORT3</t>
        </is>
      </c>
      <c r="N656" s="2" t="n">
        <v>0</v>
      </c>
      <c r="O656" s="2" t="n">
        <v>0</v>
      </c>
      <c r="P656" s="2" t="n">
        <v>0</v>
      </c>
      <c r="Q656" s="2" t="n">
        <v>1</v>
      </c>
      <c r="R656" s="30">
        <f>IF(AND($C$5&lt;&gt;"",$A656=$C$5),1,"")</f>
        <v/>
      </c>
      <c r="S656" s="21">
        <f>IF(AND($C$5&lt;&gt;"",$A656=$C$5),SUMIFS($G$8:$G$715,$A$8:$A$715,$C$5,$B$8:$B$715,"&lt;="&amp;$B656),"")</f>
        <v/>
      </c>
      <c r="T656" s="24" t="n"/>
      <c r="U656" s="24" t="n"/>
    </row>
    <row r="657">
      <c r="A657" s="2" t="inlineStr">
        <is>
          <t>MYS-85</t>
        </is>
      </c>
      <c r="B657" s="2" t="n">
        <v>25</v>
      </c>
      <c r="C657" s="2" t="inlineStr">
        <is>
          <t>IMP00411</t>
        </is>
      </c>
      <c r="D657" s="2" t="inlineStr">
        <is>
          <t>Lotus Medical Co., Ltd</t>
        </is>
      </c>
      <c r="E657" s="2" t="n">
        <v>10</v>
      </c>
      <c r="F657" s="27" t="n">
        <v>20827062.74</v>
      </c>
      <c r="G657" s="28" t="n">
        <v>0.004</v>
      </c>
      <c r="H657" s="19" t="n">
        <v>1.0455</v>
      </c>
      <c r="I657" s="29" t="n">
        <v>0</v>
      </c>
      <c r="J657" s="2" t="inlineStr">
        <is>
          <t>EXP0109</t>
        </is>
      </c>
      <c r="K657" s="2" t="n">
        <v>8</v>
      </c>
      <c r="L657" s="2" t="inlineStr">
        <is>
          <t>BRK046</t>
        </is>
      </c>
      <c r="M657" s="2" t="inlineStr">
        <is>
          <t>LAND6</t>
        </is>
      </c>
      <c r="N657" s="2" t="n">
        <v>0</v>
      </c>
      <c r="O657" s="2" t="n">
        <v>0</v>
      </c>
      <c r="P657" s="2" t="n">
        <v>0</v>
      </c>
      <c r="Q657" s="2" t="n">
        <v>0</v>
      </c>
      <c r="R657" s="30">
        <f>IF(AND($C$5&lt;&gt;"",$A657=$C$5),1,"")</f>
        <v/>
      </c>
      <c r="S657" s="21">
        <f>IF(AND($C$5&lt;&gt;"",$A657=$C$5),SUMIFS($G$8:$G$715,$A$8:$A$715,$C$5,$B$8:$B$715,"&lt;="&amp;$B657),"")</f>
        <v/>
      </c>
      <c r="T657" s="24" t="n"/>
      <c r="U657" s="24" t="n"/>
    </row>
    <row r="658">
      <c r="A658" s="2" t="inlineStr">
        <is>
          <t>MYS-85</t>
        </is>
      </c>
      <c r="B658" s="2" t="n">
        <v>26</v>
      </c>
      <c r="C658" s="2" t="inlineStr">
        <is>
          <t>IMP01326</t>
        </is>
      </c>
      <c r="D658" s="2" t="inlineStr">
        <is>
          <t>Prescott Textiles Holdings Ltd</t>
        </is>
      </c>
      <c r="E658" s="2" t="n">
        <v>9</v>
      </c>
      <c r="F658" s="27" t="n">
        <v>19517181.77</v>
      </c>
      <c r="G658" s="28" t="n">
        <v>0.0038</v>
      </c>
      <c r="H658" s="19" t="n">
        <v>1.042</v>
      </c>
      <c r="I658" s="29" t="n">
        <v>0</v>
      </c>
      <c r="J658" s="2" t="inlineStr">
        <is>
          <t>EXP0432</t>
        </is>
      </c>
      <c r="K658" s="2" t="n">
        <v>7</v>
      </c>
      <c r="L658" s="2" t="inlineStr">
        <is>
          <t>BRK075</t>
        </is>
      </c>
      <c r="M658" s="2" t="inlineStr">
        <is>
          <t>PORT2</t>
        </is>
      </c>
      <c r="N658" s="2" t="n">
        <v>0</v>
      </c>
      <c r="O658" s="2" t="n">
        <v>0</v>
      </c>
      <c r="P658" s="2" t="n">
        <v>0</v>
      </c>
      <c r="Q658" s="2" t="n">
        <v>0</v>
      </c>
      <c r="R658" s="30">
        <f>IF(AND($C$5&lt;&gt;"",$A658=$C$5),1,"")</f>
        <v/>
      </c>
      <c r="S658" s="21">
        <f>IF(AND($C$5&lt;&gt;"",$A658=$C$5),SUMIFS($G$8:$G$715,$A$8:$A$715,$C$5,$B$8:$B$715,"&lt;="&amp;$B658),"")</f>
        <v/>
      </c>
      <c r="T658" s="24" t="n"/>
      <c r="U658" s="24" t="n"/>
    </row>
    <row r="659">
      <c r="A659" s="2" t="inlineStr">
        <is>
          <t>MYS-85</t>
        </is>
      </c>
      <c r="B659" s="2" t="n">
        <v>27</v>
      </c>
      <c r="C659" s="2" t="inlineStr">
        <is>
          <t>IMP00822</t>
        </is>
      </c>
      <c r="D659" s="2" t="inlineStr">
        <is>
          <t>Orchid Commercial Limited</t>
        </is>
      </c>
      <c r="E659" s="2" t="n">
        <v>2</v>
      </c>
      <c r="F659" s="27" t="n">
        <v>14167900.95</v>
      </c>
      <c r="G659" s="28" t="n">
        <v>0.0027</v>
      </c>
      <c r="H659" s="19" t="n">
        <v>1.068</v>
      </c>
      <c r="I659" s="29" t="n">
        <v>0</v>
      </c>
      <c r="J659" s="2" t="inlineStr">
        <is>
          <t>EXP0371</t>
        </is>
      </c>
      <c r="K659" s="2" t="n">
        <v>12</v>
      </c>
      <c r="L659" s="2" t="inlineStr">
        <is>
          <t>BRK038</t>
        </is>
      </c>
      <c r="M659" s="2" t="inlineStr">
        <is>
          <t>PORT2</t>
        </is>
      </c>
      <c r="N659" s="2" t="n">
        <v>0</v>
      </c>
      <c r="O659" s="2" t="n">
        <v>0</v>
      </c>
      <c r="P659" s="2" t="n">
        <v>0</v>
      </c>
      <c r="Q659" s="2" t="n">
        <v>0</v>
      </c>
      <c r="R659" s="30">
        <f>IF(AND($C$5&lt;&gt;"",$A659=$C$5),1,"")</f>
        <v/>
      </c>
      <c r="S659" s="21">
        <f>IF(AND($C$5&lt;&gt;"",$A659=$C$5),SUMIFS($G$8:$G$715,$A$8:$A$715,$C$5,$B$8:$B$715,"&lt;="&amp;$B659),"")</f>
        <v/>
      </c>
      <c r="T659" s="24" t="n"/>
      <c r="U659" s="24" t="n"/>
    </row>
    <row r="660">
      <c r="A660" s="2" t="inlineStr">
        <is>
          <t>MYS-85</t>
        </is>
      </c>
      <c r="B660" s="2" t="n">
        <v>28</v>
      </c>
      <c r="C660" s="2" t="inlineStr">
        <is>
          <t>IMP00892</t>
        </is>
      </c>
      <c r="D660" s="2" t="inlineStr">
        <is>
          <t>Delta Fruits Holdings Ltd</t>
        </is>
      </c>
      <c r="E660" s="2" t="n">
        <v>6</v>
      </c>
      <c r="F660" s="27" t="n">
        <v>14024518.84</v>
      </c>
      <c r="G660" s="28" t="n">
        <v>0.0027</v>
      </c>
      <c r="H660" s="19" t="n">
        <v>1.0045</v>
      </c>
      <c r="I660" s="29" t="n">
        <v>0.1667</v>
      </c>
      <c r="J660" s="2" t="inlineStr">
        <is>
          <t>EXP0335</t>
        </is>
      </c>
      <c r="K660" s="2" t="n">
        <v>6</v>
      </c>
      <c r="L660" s="2" t="inlineStr">
        <is>
          <t>BRK027</t>
        </is>
      </c>
      <c r="M660" s="2" t="inlineStr">
        <is>
          <t>LAND2</t>
        </is>
      </c>
      <c r="N660" s="2" t="n">
        <v>0</v>
      </c>
      <c r="O660" s="2" t="n">
        <v>0</v>
      </c>
      <c r="P660" s="2" t="n">
        <v>0</v>
      </c>
      <c r="Q660" s="2" t="n">
        <v>0</v>
      </c>
      <c r="R660" s="30">
        <f>IF(AND($C$5&lt;&gt;"",$A660=$C$5),1,"")</f>
        <v/>
      </c>
      <c r="S660" s="21">
        <f>IF(AND($C$5&lt;&gt;"",$A660=$C$5),SUMIFS($G$8:$G$715,$A$8:$A$715,$C$5,$B$8:$B$715,"&lt;="&amp;$B660),"")</f>
        <v/>
      </c>
      <c r="T660" s="24" t="n"/>
      <c r="U660" s="24" t="n"/>
    </row>
    <row r="661">
      <c r="A661" s="2" t="inlineStr">
        <is>
          <t>MYS-85</t>
        </is>
      </c>
      <c r="B661" s="2" t="n">
        <v>29</v>
      </c>
      <c r="C661" s="2" t="inlineStr">
        <is>
          <t>IMP01195</t>
        </is>
      </c>
      <c r="D661" s="2" t="inlineStr">
        <is>
          <t>Orchid Motors Co.</t>
        </is>
      </c>
      <c r="E661" s="2" t="n">
        <v>25</v>
      </c>
      <c r="F661" s="27" t="n">
        <v>13548382.5</v>
      </c>
      <c r="G661" s="28" t="n">
        <v>0.0026</v>
      </c>
      <c r="H661" s="19" t="n">
        <v>0.859</v>
      </c>
      <c r="I661" s="29" t="n">
        <v>0.2</v>
      </c>
      <c r="J661" s="2" t="inlineStr">
        <is>
          <t>EXP0283</t>
        </is>
      </c>
      <c r="K661" s="2" t="n">
        <v>11</v>
      </c>
      <c r="L661" s="2" t="inlineStr">
        <is>
          <t>BRK009</t>
        </is>
      </c>
      <c r="M661" s="2" t="inlineStr">
        <is>
          <t>AIR1</t>
        </is>
      </c>
      <c r="N661" s="2" t="n">
        <v>0</v>
      </c>
      <c r="O661" s="2" t="n">
        <v>0</v>
      </c>
      <c r="P661" s="2" t="n">
        <v>0</v>
      </c>
      <c r="Q661" s="2" t="n">
        <v>0</v>
      </c>
      <c r="R661" s="30">
        <f>IF(AND($C$5&lt;&gt;"",$A661=$C$5),1,"")</f>
        <v/>
      </c>
      <c r="S661" s="21">
        <f>IF(AND($C$5&lt;&gt;"",$A661=$C$5),SUMIFS($G$8:$G$715,$A$8:$A$715,$C$5,$B$8:$B$715,"&lt;="&amp;$B661),"")</f>
        <v/>
      </c>
      <c r="T661" s="24" t="n"/>
      <c r="U661" s="24" t="n"/>
    </row>
    <row r="662">
      <c r="A662" s="2" t="inlineStr">
        <is>
          <t>MYS-85</t>
        </is>
      </c>
      <c r="B662" s="2" t="n">
        <v>30</v>
      </c>
      <c r="C662" s="2" t="inlineStr">
        <is>
          <t>IMP01373</t>
        </is>
      </c>
      <c r="D662" s="2" t="inlineStr">
        <is>
          <t>Green Valley Distribution Partners Ltd</t>
        </is>
      </c>
      <c r="E662" s="2" t="n">
        <v>2</v>
      </c>
      <c r="F662" s="27" t="n">
        <v>13518415.33</v>
      </c>
      <c r="G662" s="28" t="n">
        <v>0.0026</v>
      </c>
      <c r="H662" s="19" t="n">
        <v>0.9965000000000001</v>
      </c>
      <c r="I662" s="29" t="n">
        <v>0</v>
      </c>
      <c r="J662" s="2" t="inlineStr">
        <is>
          <t>EXP0212</t>
        </is>
      </c>
      <c r="K662" s="2" t="n">
        <v>10</v>
      </c>
      <c r="L662" s="2" t="inlineStr">
        <is>
          <t>BRK005</t>
        </is>
      </c>
      <c r="M662" s="2" t="inlineStr">
        <is>
          <t>AIR1</t>
        </is>
      </c>
      <c r="N662" s="2" t="n">
        <v>0</v>
      </c>
      <c r="O662" s="2" t="n">
        <v>0</v>
      </c>
      <c r="P662" s="2" t="n">
        <v>0</v>
      </c>
      <c r="Q662" s="2" t="n">
        <v>0</v>
      </c>
      <c r="R662" s="30">
        <f>IF(AND($C$5&lt;&gt;"",$A662=$C$5),1,"")</f>
        <v/>
      </c>
      <c r="S662" s="21">
        <f>IF(AND($C$5&lt;&gt;"",$A662=$C$5),SUMIFS($G$8:$G$715,$A$8:$A$715,$C$5,$B$8:$B$715,"&lt;="&amp;$B662),"")</f>
        <v/>
      </c>
      <c r="T662" s="24" t="n"/>
      <c r="U662" s="24" t="n"/>
    </row>
    <row r="663">
      <c r="A663" s="2" t="inlineStr">
        <is>
          <t>MYS-85</t>
        </is>
      </c>
      <c r="B663" s="2" t="n">
        <v>31</v>
      </c>
      <c r="C663" s="2" t="inlineStr">
        <is>
          <t>IMP01187</t>
        </is>
      </c>
      <c r="D663" s="2" t="inlineStr">
        <is>
          <t>Prescott Living &amp; Sons</t>
        </is>
      </c>
      <c r="E663" s="2" t="n">
        <v>3</v>
      </c>
      <c r="F663" s="27" t="n">
        <v>13097102.62</v>
      </c>
      <c r="G663" s="28" t="n">
        <v>0.0025</v>
      </c>
      <c r="H663" s="19" t="n">
        <v>0.77</v>
      </c>
      <c r="I663" s="29" t="n">
        <v>0.3333</v>
      </c>
      <c r="J663" s="2" t="inlineStr">
        <is>
          <t>EXP0067</t>
        </is>
      </c>
      <c r="K663" s="2" t="n">
        <v>1</v>
      </c>
      <c r="L663" s="2" t="inlineStr">
        <is>
          <t>BRK024</t>
        </is>
      </c>
      <c r="M663" s="2" t="inlineStr">
        <is>
          <t>PORT3</t>
        </is>
      </c>
      <c r="N663" s="2" t="n">
        <v>0</v>
      </c>
      <c r="O663" s="2" t="n">
        <v>0</v>
      </c>
      <c r="P663" s="2" t="n">
        <v>0</v>
      </c>
      <c r="Q663" s="2" t="n">
        <v>0</v>
      </c>
      <c r="R663" s="30">
        <f>IF(AND($C$5&lt;&gt;"",$A663=$C$5),1,"")</f>
        <v/>
      </c>
      <c r="S663" s="21">
        <f>IF(AND($C$5&lt;&gt;"",$A663=$C$5),SUMIFS($G$8:$G$715,$A$8:$A$715,$C$5,$B$8:$B$715,"&lt;="&amp;$B663),"")</f>
        <v/>
      </c>
      <c r="T663" s="24" t="n"/>
      <c r="U663" s="24" t="n"/>
    </row>
    <row r="664">
      <c r="A664" s="2" t="inlineStr">
        <is>
          <t>MYS-85</t>
        </is>
      </c>
      <c r="B664" s="2" t="n">
        <v>32</v>
      </c>
      <c r="C664" s="2" t="inlineStr">
        <is>
          <t>IMP00873</t>
        </is>
      </c>
      <c r="D664" s="2" t="inlineStr">
        <is>
          <t>Jade Motors Limited</t>
        </is>
      </c>
      <c r="E664" s="2" t="n">
        <v>3</v>
      </c>
      <c r="F664" s="27" t="n">
        <v>13038646.3</v>
      </c>
      <c r="G664" s="28" t="n">
        <v>0.0025</v>
      </c>
      <c r="H664" s="19" t="n">
        <v>1.61</v>
      </c>
      <c r="I664" s="29" t="n">
        <v>0</v>
      </c>
      <c r="J664" s="2" t="inlineStr">
        <is>
          <t>EXP0438</t>
        </is>
      </c>
      <c r="K664" s="2" t="n">
        <v>1</v>
      </c>
      <c r="L664" s="2" t="inlineStr">
        <is>
          <t>BRK063</t>
        </is>
      </c>
      <c r="M664" s="2" t="inlineStr">
        <is>
          <t>LAND1</t>
        </is>
      </c>
      <c r="N664" s="2" t="n">
        <v>0</v>
      </c>
      <c r="O664" s="2" t="n">
        <v>0</v>
      </c>
      <c r="P664" s="2" t="n">
        <v>0</v>
      </c>
      <c r="Q664" s="2" t="n">
        <v>0</v>
      </c>
      <c r="R664" s="30">
        <f>IF(AND($C$5&lt;&gt;"",$A664=$C$5),1,"")</f>
        <v/>
      </c>
      <c r="S664" s="21">
        <f>IF(AND($C$5&lt;&gt;"",$A664=$C$5),SUMIFS($G$8:$G$715,$A$8:$A$715,$C$5,$B$8:$B$715,"&lt;="&amp;$B664),"")</f>
        <v/>
      </c>
      <c r="T664" s="24" t="n"/>
      <c r="U664" s="24" t="n"/>
    </row>
    <row r="665">
      <c r="A665" s="2" t="inlineStr">
        <is>
          <t>MYS-85</t>
        </is>
      </c>
      <c r="B665" s="2" t="n">
        <v>33</v>
      </c>
      <c r="C665" s="2" t="inlineStr">
        <is>
          <t>IMP00698</t>
        </is>
      </c>
      <c r="D665" s="2" t="inlineStr">
        <is>
          <t>Phoenix Industries &amp; Sons</t>
        </is>
      </c>
      <c r="E665" s="2" t="n">
        <v>2</v>
      </c>
      <c r="F665" s="27" t="n">
        <v>12435851.57</v>
      </c>
      <c r="G665" s="28" t="n">
        <v>0.0024</v>
      </c>
      <c r="H665" s="19" t="n">
        <v>1.047</v>
      </c>
      <c r="I665" s="29" t="n">
        <v>0</v>
      </c>
      <c r="J665" s="2" t="inlineStr">
        <is>
          <t>EXP0106</t>
        </is>
      </c>
      <c r="K665" s="2" t="n">
        <v>6</v>
      </c>
      <c r="L665" s="2" t="inlineStr">
        <is>
          <t>BRK032</t>
        </is>
      </c>
      <c r="M665" s="2" t="inlineStr">
        <is>
          <t>LAND7</t>
        </is>
      </c>
      <c r="N665" s="2" t="n">
        <v>0</v>
      </c>
      <c r="O665" s="2" t="n">
        <v>0</v>
      </c>
      <c r="P665" s="2" t="n">
        <v>0</v>
      </c>
      <c r="Q665" s="2" t="n">
        <v>0</v>
      </c>
      <c r="R665" s="30">
        <f>IF(AND($C$5&lt;&gt;"",$A665=$C$5),1,"")</f>
        <v/>
      </c>
      <c r="S665" s="21">
        <f>IF(AND($C$5&lt;&gt;"",$A665=$C$5),SUMIFS($G$8:$G$715,$A$8:$A$715,$C$5,$B$8:$B$715,"&lt;="&amp;$B665),"")</f>
        <v/>
      </c>
      <c r="T665" s="24" t="n"/>
      <c r="U665" s="24" t="n"/>
    </row>
    <row r="666">
      <c r="A666" s="2" t="inlineStr">
        <is>
          <t>MYS-85</t>
        </is>
      </c>
      <c r="B666" s="2" t="n">
        <v>34</v>
      </c>
      <c r="C666" s="2" t="inlineStr">
        <is>
          <t>IMP00121</t>
        </is>
      </c>
      <c r="D666" s="2" t="inlineStr">
        <is>
          <t>Phoenix Distribution Group Ltd</t>
        </is>
      </c>
      <c r="E666" s="2" t="n">
        <v>3</v>
      </c>
      <c r="F666" s="27" t="n">
        <v>11005841.53</v>
      </c>
      <c r="G666" s="28" t="n">
        <v>0.0021</v>
      </c>
      <c r="H666" s="19" t="n">
        <v>1.077</v>
      </c>
      <c r="I666" s="29" t="n">
        <v>0</v>
      </c>
      <c r="J666" s="2" t="inlineStr">
        <is>
          <t>EXP0183</t>
        </is>
      </c>
      <c r="K666" s="2" t="n">
        <v>10</v>
      </c>
      <c r="L666" s="2" t="inlineStr">
        <is>
          <t>BRK069</t>
        </is>
      </c>
      <c r="M666" s="2" t="inlineStr">
        <is>
          <t>PORT1</t>
        </is>
      </c>
      <c r="N666" s="2" t="n">
        <v>0</v>
      </c>
      <c r="O666" s="2" t="n">
        <v>0</v>
      </c>
      <c r="P666" s="2" t="n">
        <v>0</v>
      </c>
      <c r="Q666" s="2" t="n">
        <v>0</v>
      </c>
      <c r="R666" s="30">
        <f>IF(AND($C$5&lt;&gt;"",$A666=$C$5),1,"")</f>
        <v/>
      </c>
      <c r="S666" s="21">
        <f>IF(AND($C$5&lt;&gt;"",$A666=$C$5),SUMIFS($G$8:$G$715,$A$8:$A$715,$C$5,$B$8:$B$715,"&lt;="&amp;$B666),"")</f>
        <v/>
      </c>
      <c r="T666" s="24" t="n"/>
      <c r="U666" s="24" t="n"/>
    </row>
    <row r="667">
      <c r="A667" s="2" t="inlineStr">
        <is>
          <t>MYS-85</t>
        </is>
      </c>
      <c r="B667" s="2" t="n">
        <v>35</v>
      </c>
      <c r="C667" s="2" t="inlineStr">
        <is>
          <t>IMP00862</t>
        </is>
      </c>
      <c r="D667" s="2" t="inlineStr">
        <is>
          <t>Evergreen Supply Co.</t>
        </is>
      </c>
      <c r="E667" s="2" t="n">
        <v>7</v>
      </c>
      <c r="F667" s="27" t="n">
        <v>10818314.22</v>
      </c>
      <c r="G667" s="28" t="n">
        <v>0.0021</v>
      </c>
      <c r="H667" s="19" t="n">
        <v>0.775</v>
      </c>
      <c r="I667" s="29" t="n">
        <v>0.2857</v>
      </c>
      <c r="J667" s="2" t="inlineStr">
        <is>
          <t>EXP0283</t>
        </is>
      </c>
      <c r="K667" s="2" t="n">
        <v>11</v>
      </c>
      <c r="L667" s="2" t="inlineStr">
        <is>
          <t>BRK065</t>
        </is>
      </c>
      <c r="M667" s="2" t="inlineStr">
        <is>
          <t>AIR1</t>
        </is>
      </c>
      <c r="N667" s="2" t="n">
        <v>0</v>
      </c>
      <c r="O667" s="2" t="n">
        <v>0</v>
      </c>
      <c r="P667" s="2" t="n">
        <v>0</v>
      </c>
      <c r="Q667" s="2" t="n">
        <v>0</v>
      </c>
      <c r="R667" s="30">
        <f>IF(AND($C$5&lt;&gt;"",$A667=$C$5),1,"")</f>
        <v/>
      </c>
      <c r="S667" s="21">
        <f>IF(AND($C$5&lt;&gt;"",$A667=$C$5),SUMIFS($G$8:$G$715,$A$8:$A$715,$C$5,$B$8:$B$715,"&lt;="&amp;$B667),"")</f>
        <v/>
      </c>
      <c r="T667" s="24" t="n"/>
      <c r="U667" s="24" t="n"/>
    </row>
    <row r="668">
      <c r="A668" s="2" t="inlineStr">
        <is>
          <t>MYS-85</t>
        </is>
      </c>
      <c r="B668" s="2" t="n">
        <v>36</v>
      </c>
      <c r="C668" s="2" t="inlineStr">
        <is>
          <t>IMP00705</t>
        </is>
      </c>
      <c r="D668" s="2" t="inlineStr">
        <is>
          <t>Metro Medical International Ltd</t>
        </is>
      </c>
      <c r="E668" s="2" t="n">
        <v>5</v>
      </c>
      <c r="F668" s="27" t="n">
        <v>10394012.93</v>
      </c>
      <c r="G668" s="28" t="n">
        <v>0.002</v>
      </c>
      <c r="H668" s="19" t="n">
        <v>1.049</v>
      </c>
      <c r="I668" s="29" t="n">
        <v>0.2</v>
      </c>
      <c r="J668" s="2" t="inlineStr">
        <is>
          <t>EXP0206</t>
        </is>
      </c>
      <c r="K668" s="2" t="n">
        <v>8</v>
      </c>
      <c r="L668" s="2" t="inlineStr">
        <is>
          <t>BRK056</t>
        </is>
      </c>
      <c r="M668" s="2" t="inlineStr">
        <is>
          <t>PORT2</t>
        </is>
      </c>
      <c r="N668" s="2" t="n">
        <v>0</v>
      </c>
      <c r="O668" s="2" t="n">
        <v>0</v>
      </c>
      <c r="P668" s="2" t="n">
        <v>0</v>
      </c>
      <c r="Q668" s="2" t="n">
        <v>0</v>
      </c>
      <c r="R668" s="30">
        <f>IF(AND($C$5&lt;&gt;"",$A668=$C$5),1,"")</f>
        <v/>
      </c>
      <c r="S668" s="21">
        <f>IF(AND($C$5&lt;&gt;"",$A668=$C$5),SUMIFS($G$8:$G$715,$A$8:$A$715,$C$5,$B$8:$B$715,"&lt;="&amp;$B668),"")</f>
        <v/>
      </c>
      <c r="T668" s="24" t="n"/>
      <c r="U668" s="24" t="n"/>
    </row>
    <row r="669">
      <c r="A669" s="2" t="inlineStr">
        <is>
          <t>MYS-85</t>
        </is>
      </c>
      <c r="B669" s="2" t="n">
        <v>37</v>
      </c>
      <c r="C669" s="2" t="inlineStr">
        <is>
          <t>IMP01420</t>
        </is>
      </c>
      <c r="D669" s="2" t="inlineStr">
        <is>
          <t>Evergreen Industries Co., Ltd</t>
        </is>
      </c>
      <c r="E669" s="2" t="n">
        <v>6</v>
      </c>
      <c r="F669" s="27" t="n">
        <v>9242872.33</v>
      </c>
      <c r="G669" s="28" t="n">
        <v>0.0018</v>
      </c>
      <c r="H669" s="19" t="n">
        <v>1.007</v>
      </c>
      <c r="I669" s="29" t="n">
        <v>0</v>
      </c>
      <c r="J669" s="2" t="inlineStr">
        <is>
          <t>EXP0185</t>
        </is>
      </c>
      <c r="K669" s="2" t="n">
        <v>12</v>
      </c>
      <c r="L669" s="2" t="inlineStr">
        <is>
          <t>BRK057</t>
        </is>
      </c>
      <c r="M669" s="2" t="inlineStr">
        <is>
          <t>LAND7</t>
        </is>
      </c>
      <c r="N669" s="2" t="n">
        <v>0</v>
      </c>
      <c r="O669" s="2" t="n">
        <v>0</v>
      </c>
      <c r="P669" s="2" t="n">
        <v>0</v>
      </c>
      <c r="Q669" s="2" t="n">
        <v>0</v>
      </c>
      <c r="R669" s="30">
        <f>IF(AND($C$5&lt;&gt;"",$A669=$C$5),1,"")</f>
        <v/>
      </c>
      <c r="S669" s="21">
        <f>IF(AND($C$5&lt;&gt;"",$A669=$C$5),SUMIFS($G$8:$G$715,$A$8:$A$715,$C$5,$B$8:$B$715,"&lt;="&amp;$B669),"")</f>
        <v/>
      </c>
      <c r="T669" s="24" t="n"/>
      <c r="U669" s="24" t="n"/>
    </row>
    <row r="670">
      <c r="A670" s="2" t="inlineStr">
        <is>
          <t>MYS-85</t>
        </is>
      </c>
      <c r="B670" s="2" t="n">
        <v>38</v>
      </c>
      <c r="C670" s="2" t="inlineStr">
        <is>
          <t>IMP01025</t>
        </is>
      </c>
      <c r="D670" s="2" t="inlineStr">
        <is>
          <t>Dunmore Textiles Holdings Ltd</t>
        </is>
      </c>
      <c r="E670" s="2" t="n">
        <v>3</v>
      </c>
      <c r="F670" s="27" t="n">
        <v>7922547.09</v>
      </c>
      <c r="G670" s="28" t="n">
        <v>0.0015</v>
      </c>
      <c r="H670" s="19" t="n">
        <v>1.031</v>
      </c>
      <c r="I670" s="29" t="n">
        <v>0</v>
      </c>
      <c r="J670" s="2" t="inlineStr">
        <is>
          <t>EXP0121</t>
        </is>
      </c>
      <c r="K670" s="2" t="n">
        <v>13</v>
      </c>
      <c r="L670" s="2" t="inlineStr">
        <is>
          <t>BRK037</t>
        </is>
      </c>
      <c r="M670" s="2" t="inlineStr">
        <is>
          <t>PORT1</t>
        </is>
      </c>
      <c r="N670" s="2" t="n">
        <v>0</v>
      </c>
      <c r="O670" s="2" t="n">
        <v>0</v>
      </c>
      <c r="P670" s="2" t="n">
        <v>0</v>
      </c>
      <c r="Q670" s="2" t="n">
        <v>0</v>
      </c>
      <c r="R670" s="30">
        <f>IF(AND($C$5&lt;&gt;"",$A670=$C$5),1,"")</f>
        <v/>
      </c>
      <c r="S670" s="21">
        <f>IF(AND($C$5&lt;&gt;"",$A670=$C$5),SUMIFS($G$8:$G$715,$A$8:$A$715,$C$5,$B$8:$B$715,"&lt;="&amp;$B670),"")</f>
        <v/>
      </c>
      <c r="T670" s="24" t="n"/>
      <c r="U670" s="24" t="n"/>
    </row>
    <row r="671">
      <c r="A671" s="2" t="inlineStr">
        <is>
          <t>MYS-85</t>
        </is>
      </c>
      <c r="B671" s="2" t="n">
        <v>39</v>
      </c>
      <c r="C671" s="2" t="inlineStr">
        <is>
          <t>IMP00512</t>
        </is>
      </c>
      <c r="D671" s="2" t="inlineStr">
        <is>
          <t>Global Industries Ltd</t>
        </is>
      </c>
      <c r="E671" s="2" t="n">
        <v>2</v>
      </c>
      <c r="F671" s="27" t="n">
        <v>7760480.66</v>
      </c>
      <c r="G671" s="28" t="n">
        <v>0.0015</v>
      </c>
      <c r="H671" s="19" t="n">
        <v>0.8615</v>
      </c>
      <c r="I671" s="29" t="n">
        <v>0</v>
      </c>
      <c r="J671" s="2" t="inlineStr">
        <is>
          <t>EXP0434</t>
        </is>
      </c>
      <c r="K671" s="2" t="n">
        <v>1</v>
      </c>
      <c r="L671" s="2" t="inlineStr">
        <is>
          <t>BRK010</t>
        </is>
      </c>
      <c r="M671" s="2" t="inlineStr">
        <is>
          <t>AIR1</t>
        </is>
      </c>
      <c r="N671" s="2" t="n">
        <v>0</v>
      </c>
      <c r="O671" s="2" t="n">
        <v>0</v>
      </c>
      <c r="P671" s="2" t="n">
        <v>0</v>
      </c>
      <c r="Q671" s="2" t="n">
        <v>0</v>
      </c>
      <c r="R671" s="30">
        <f>IF(AND($C$5&lt;&gt;"",$A671=$C$5),1,"")</f>
        <v/>
      </c>
      <c r="S671" s="21">
        <f>IF(AND($C$5&lt;&gt;"",$A671=$C$5),SUMIFS($G$8:$G$715,$A$8:$A$715,$C$5,$B$8:$B$715,"&lt;="&amp;$B671),"")</f>
        <v/>
      </c>
      <c r="T671" s="24" t="n"/>
      <c r="U671" s="24" t="n"/>
    </row>
    <row r="672">
      <c r="A672" s="2" t="inlineStr">
        <is>
          <t>MYS-85</t>
        </is>
      </c>
      <c r="B672" s="2" t="n">
        <v>40</v>
      </c>
      <c r="C672" s="2" t="inlineStr">
        <is>
          <t>IMP01328</t>
        </is>
      </c>
      <c r="D672" s="2" t="inlineStr">
        <is>
          <t>Blue Ocean Trading International Ltd</t>
        </is>
      </c>
      <c r="E672" s="2" t="n">
        <v>4</v>
      </c>
      <c r="F672" s="27" t="n">
        <v>7679487.81</v>
      </c>
      <c r="G672" s="28" t="n">
        <v>0.0015</v>
      </c>
      <c r="H672" s="19" t="n">
        <v>0.9625</v>
      </c>
      <c r="I672" s="29" t="n">
        <v>0</v>
      </c>
      <c r="J672" s="2" t="inlineStr">
        <is>
          <t>EXP0441</t>
        </is>
      </c>
      <c r="K672" s="2" t="n">
        <v>10</v>
      </c>
      <c r="L672" s="2" t="inlineStr">
        <is>
          <t>BRK066</t>
        </is>
      </c>
      <c r="M672" s="2" t="inlineStr">
        <is>
          <t>PORT2</t>
        </is>
      </c>
      <c r="N672" s="2" t="n">
        <v>0</v>
      </c>
      <c r="O672" s="2" t="n">
        <v>0</v>
      </c>
      <c r="P672" s="2" t="n">
        <v>0</v>
      </c>
      <c r="Q672" s="2" t="n">
        <v>0</v>
      </c>
      <c r="R672" s="30">
        <f>IF(AND($C$5&lt;&gt;"",$A672=$C$5),1,"")</f>
        <v/>
      </c>
      <c r="S672" s="21">
        <f>IF(AND($C$5&lt;&gt;"",$A672=$C$5),SUMIFS($G$8:$G$715,$A$8:$A$715,$C$5,$B$8:$B$715,"&lt;="&amp;$B672),"")</f>
        <v/>
      </c>
      <c r="T672" s="24" t="n"/>
      <c r="U672" s="24" t="n"/>
    </row>
    <row r="673">
      <c r="A673" s="2" t="inlineStr">
        <is>
          <t>MYS-85</t>
        </is>
      </c>
      <c r="B673" s="2" t="n">
        <v>41</v>
      </c>
      <c r="C673" s="2" t="inlineStr">
        <is>
          <t>IMP00320</t>
        </is>
      </c>
      <c r="D673" s="2" t="inlineStr">
        <is>
          <t>Evergreen Foods Group Ltd</t>
        </is>
      </c>
      <c r="E673" s="2" t="n">
        <v>2</v>
      </c>
      <c r="F673" s="27" t="n">
        <v>7491075.8</v>
      </c>
      <c r="G673" s="28" t="n">
        <v>0.0014</v>
      </c>
      <c r="H673" s="19" t="n">
        <v>0.9355</v>
      </c>
      <c r="I673" s="29" t="n">
        <v>0</v>
      </c>
      <c r="J673" s="2" t="inlineStr">
        <is>
          <t>EXP0283</t>
        </is>
      </c>
      <c r="K673" s="2" t="n">
        <v>11</v>
      </c>
      <c r="L673" s="2" t="inlineStr">
        <is>
          <t>BRK072</t>
        </is>
      </c>
      <c r="M673" s="2" t="inlineStr">
        <is>
          <t>PORT1</t>
        </is>
      </c>
      <c r="N673" s="2" t="n">
        <v>0</v>
      </c>
      <c r="O673" s="2" t="n">
        <v>0</v>
      </c>
      <c r="P673" s="2" t="n">
        <v>0</v>
      </c>
      <c r="Q673" s="2" t="n">
        <v>0</v>
      </c>
      <c r="R673" s="30">
        <f>IF(AND($C$5&lt;&gt;"",$A673=$C$5),1,"")</f>
        <v/>
      </c>
      <c r="S673" s="21">
        <f>IF(AND($C$5&lt;&gt;"",$A673=$C$5),SUMIFS($G$8:$G$715,$A$8:$A$715,$C$5,$B$8:$B$715,"&lt;="&amp;$B673),"")</f>
        <v/>
      </c>
      <c r="T673" s="24" t="n"/>
      <c r="U673" s="24" t="n"/>
    </row>
    <row r="674">
      <c r="A674" s="2" t="inlineStr">
        <is>
          <t>MYS-85</t>
        </is>
      </c>
      <c r="B674" s="2" t="n">
        <v>42</v>
      </c>
      <c r="C674" s="2" t="inlineStr">
        <is>
          <t>IMP01125</t>
        </is>
      </c>
      <c r="D674" s="2" t="inlineStr">
        <is>
          <t>Silver Glow International Ltd</t>
        </is>
      </c>
      <c r="E674" s="2" t="n">
        <v>3</v>
      </c>
      <c r="F674" s="27" t="n">
        <v>7307033.78</v>
      </c>
      <c r="G674" s="28" t="n">
        <v>0.0014</v>
      </c>
      <c r="H674" s="19" t="n">
        <v>0.456</v>
      </c>
      <c r="I674" s="29" t="n">
        <v>1</v>
      </c>
      <c r="J674" s="2" t="inlineStr">
        <is>
          <t>EXP0349</t>
        </is>
      </c>
      <c r="K674" s="2" t="n">
        <v>11</v>
      </c>
      <c r="L674" s="2" t="inlineStr">
        <is>
          <t>BRK009</t>
        </is>
      </c>
      <c r="M674" s="2" t="inlineStr">
        <is>
          <t>PORT1</t>
        </is>
      </c>
      <c r="N674" s="2" t="n">
        <v>0</v>
      </c>
      <c r="O674" s="2" t="n">
        <v>0</v>
      </c>
      <c r="P674" s="2" t="n">
        <v>0</v>
      </c>
      <c r="Q674" s="2" t="n">
        <v>0</v>
      </c>
      <c r="R674" s="30">
        <f>IF(AND($C$5&lt;&gt;"",$A674=$C$5),1,"")</f>
        <v/>
      </c>
      <c r="S674" s="21">
        <f>IF(AND($C$5&lt;&gt;"",$A674=$C$5),SUMIFS($G$8:$G$715,$A$8:$A$715,$C$5,$B$8:$B$715,"&lt;="&amp;$B674),"")</f>
        <v/>
      </c>
      <c r="T674" s="24" t="n"/>
      <c r="U674" s="24" t="n"/>
    </row>
    <row r="675">
      <c r="A675" s="2" t="inlineStr">
        <is>
          <t>MYS-85</t>
        </is>
      </c>
      <c r="B675" s="2" t="n">
        <v>43</v>
      </c>
      <c r="C675" s="2" t="inlineStr">
        <is>
          <t>IMP01254</t>
        </is>
      </c>
      <c r="D675" s="2" t="inlineStr">
        <is>
          <t>Phoenix Supply Holdings Ltd</t>
        </is>
      </c>
      <c r="E675" s="2" t="n">
        <v>4</v>
      </c>
      <c r="F675" s="27" t="n">
        <v>7155365.65</v>
      </c>
      <c r="G675" s="28" t="n">
        <v>0.0014</v>
      </c>
      <c r="H675" s="19" t="n">
        <v>0.9615</v>
      </c>
      <c r="I675" s="29" t="n">
        <v>0</v>
      </c>
      <c r="J675" s="2" t="inlineStr">
        <is>
          <t>EXP0181</t>
        </is>
      </c>
      <c r="K675" s="2" t="n">
        <v>10</v>
      </c>
      <c r="L675" s="2" t="inlineStr">
        <is>
          <t>BRK055</t>
        </is>
      </c>
      <c r="M675" s="2" t="inlineStr">
        <is>
          <t>LAND2</t>
        </is>
      </c>
      <c r="N675" s="2" t="n">
        <v>0</v>
      </c>
      <c r="O675" s="2" t="n">
        <v>0</v>
      </c>
      <c r="P675" s="2" t="n">
        <v>0</v>
      </c>
      <c r="Q675" s="2" t="n">
        <v>0</v>
      </c>
      <c r="R675" s="30">
        <f>IF(AND($C$5&lt;&gt;"",$A675=$C$5),1,"")</f>
        <v/>
      </c>
      <c r="S675" s="21">
        <f>IF(AND($C$5&lt;&gt;"",$A675=$C$5),SUMIFS($G$8:$G$715,$A$8:$A$715,$C$5,$B$8:$B$715,"&lt;="&amp;$B675),"")</f>
        <v/>
      </c>
      <c r="T675" s="24" t="n"/>
      <c r="U675" s="24" t="n"/>
    </row>
    <row r="676">
      <c r="A676" s="2" t="inlineStr">
        <is>
          <t>MYS-85</t>
        </is>
      </c>
      <c r="B676" s="2" t="n">
        <v>44</v>
      </c>
      <c r="C676" s="2" t="inlineStr">
        <is>
          <t>IMP00620</t>
        </is>
      </c>
      <c r="D676" s="2" t="inlineStr">
        <is>
          <t>Star Enterprises Partners Ltd</t>
        </is>
      </c>
      <c r="E676" s="2" t="n">
        <v>2</v>
      </c>
      <c r="F676" s="27" t="n">
        <v>6888054.47</v>
      </c>
      <c r="G676" s="28" t="n">
        <v>0.0013</v>
      </c>
      <c r="H676" s="19" t="n">
        <v>0.92</v>
      </c>
      <c r="I676" s="29" t="n">
        <v>0</v>
      </c>
      <c r="J676" s="2" t="inlineStr">
        <is>
          <t>EXP0055</t>
        </is>
      </c>
      <c r="K676" s="2" t="n">
        <v>14</v>
      </c>
      <c r="L676" s="2" t="inlineStr">
        <is>
          <t>BRK059</t>
        </is>
      </c>
      <c r="M676" s="2" t="inlineStr">
        <is>
          <t>PORT1</t>
        </is>
      </c>
      <c r="N676" s="2" t="n">
        <v>0</v>
      </c>
      <c r="O676" s="2" t="n">
        <v>0</v>
      </c>
      <c r="P676" s="2" t="n">
        <v>0</v>
      </c>
      <c r="Q676" s="2" t="n">
        <v>0</v>
      </c>
      <c r="R676" s="30">
        <f>IF(AND($C$5&lt;&gt;"",$A676=$C$5),1,"")</f>
        <v/>
      </c>
      <c r="S676" s="21">
        <f>IF(AND($C$5&lt;&gt;"",$A676=$C$5),SUMIFS($G$8:$G$715,$A$8:$A$715,$C$5,$B$8:$B$715,"&lt;="&amp;$B676),"")</f>
        <v/>
      </c>
      <c r="T676" s="24" t="n"/>
      <c r="U676" s="24" t="n"/>
    </row>
    <row r="677">
      <c r="A677" s="2" t="inlineStr">
        <is>
          <t>MYS-85</t>
        </is>
      </c>
      <c r="B677" s="2" t="n">
        <v>45</v>
      </c>
      <c r="C677" s="2" t="inlineStr">
        <is>
          <t>IMP01091</t>
        </is>
      </c>
      <c r="D677" s="2" t="inlineStr">
        <is>
          <t>Metro Distribution Limited</t>
        </is>
      </c>
      <c r="E677" s="2" t="n">
        <v>1</v>
      </c>
      <c r="F677" s="27" t="n">
        <v>4794304.77</v>
      </c>
      <c r="G677" s="28" t="n">
        <v>0.0009</v>
      </c>
      <c r="H677" s="19" t="n">
        <v>1.064</v>
      </c>
      <c r="I677" s="29" t="n">
        <v>0</v>
      </c>
      <c r="J677" s="2" t="inlineStr">
        <is>
          <t>EXP0185</t>
        </is>
      </c>
      <c r="K677" s="2" t="n">
        <v>12</v>
      </c>
      <c r="L677" s="2" t="inlineStr">
        <is>
          <t>BRK035</t>
        </is>
      </c>
      <c r="M677" s="2" t="inlineStr">
        <is>
          <t>PORT1</t>
        </is>
      </c>
      <c r="N677" s="2" t="n">
        <v>0</v>
      </c>
      <c r="O677" s="2" t="n">
        <v>0</v>
      </c>
      <c r="P677" s="2" t="n">
        <v>0</v>
      </c>
      <c r="Q677" s="2" t="n">
        <v>0</v>
      </c>
      <c r="R677" s="30">
        <f>IF(AND($C$5&lt;&gt;"",$A677=$C$5),1,"")</f>
        <v/>
      </c>
      <c r="S677" s="21">
        <f>IF(AND($C$5&lt;&gt;"",$A677=$C$5),SUMIFS($G$8:$G$715,$A$8:$A$715,$C$5,$B$8:$B$715,"&lt;="&amp;$B677),"")</f>
        <v/>
      </c>
      <c r="T677" s="24" t="n"/>
      <c r="U677" s="24" t="n"/>
    </row>
    <row r="678">
      <c r="A678" s="2" t="inlineStr">
        <is>
          <t>MYS-85</t>
        </is>
      </c>
      <c r="B678" s="2" t="n">
        <v>46</v>
      </c>
      <c r="C678" s="2" t="inlineStr">
        <is>
          <t>IMP00169</t>
        </is>
      </c>
      <c r="D678" s="2" t="inlineStr">
        <is>
          <t>Silk Road Electronics &amp; Sons</t>
        </is>
      </c>
      <c r="E678" s="2" t="n">
        <v>2</v>
      </c>
      <c r="F678" s="27" t="n">
        <v>4789627.52</v>
      </c>
      <c r="G678" s="28" t="n">
        <v>0.0009</v>
      </c>
      <c r="H678" s="19" t="n">
        <v>1.0295</v>
      </c>
      <c r="I678" s="29" t="n">
        <v>0</v>
      </c>
      <c r="J678" s="2" t="inlineStr">
        <is>
          <t>EXP0371</t>
        </is>
      </c>
      <c r="K678" s="2" t="n">
        <v>12</v>
      </c>
      <c r="L678" s="2" t="inlineStr">
        <is>
          <t>BRK059</t>
        </is>
      </c>
      <c r="M678" s="2" t="inlineStr">
        <is>
          <t>AIR1</t>
        </is>
      </c>
      <c r="N678" s="2" t="n">
        <v>0</v>
      </c>
      <c r="O678" s="2" t="n">
        <v>0</v>
      </c>
      <c r="P678" s="2" t="n">
        <v>0</v>
      </c>
      <c r="Q678" s="2" t="n">
        <v>0</v>
      </c>
      <c r="R678" s="30">
        <f>IF(AND($C$5&lt;&gt;"",$A678=$C$5),1,"")</f>
        <v/>
      </c>
      <c r="S678" s="21">
        <f>IF(AND($C$5&lt;&gt;"",$A678=$C$5),SUMIFS($G$8:$G$715,$A$8:$A$715,$C$5,$B$8:$B$715,"&lt;="&amp;$B678),"")</f>
        <v/>
      </c>
      <c r="T678" s="24" t="n"/>
      <c r="U678" s="24" t="n"/>
    </row>
    <row r="679">
      <c r="A679" s="2" t="inlineStr">
        <is>
          <t>MYS-85</t>
        </is>
      </c>
      <c r="B679" s="2" t="n">
        <v>47</v>
      </c>
      <c r="C679" s="2" t="inlineStr">
        <is>
          <t>IMP00727</t>
        </is>
      </c>
      <c r="D679" s="2" t="inlineStr">
        <is>
          <t>Ocean Glow Ltd</t>
        </is>
      </c>
      <c r="E679" s="2" t="n">
        <v>1</v>
      </c>
      <c r="F679" s="27" t="n">
        <v>3707574.63</v>
      </c>
      <c r="G679" s="28" t="n">
        <v>0.0007</v>
      </c>
      <c r="H679" s="19" t="n">
        <v>0.976</v>
      </c>
      <c r="I679" s="29" t="n">
        <v>0</v>
      </c>
      <c r="J679" s="2" t="inlineStr">
        <is>
          <t>EXP0571</t>
        </is>
      </c>
      <c r="K679" s="2" t="n">
        <v>8</v>
      </c>
      <c r="L679" s="2" t="inlineStr">
        <is>
          <t>BRK022</t>
        </is>
      </c>
      <c r="M679" s="2" t="inlineStr">
        <is>
          <t>PORT2</t>
        </is>
      </c>
      <c r="N679" s="2" t="n">
        <v>0</v>
      </c>
      <c r="O679" s="2" t="n">
        <v>0</v>
      </c>
      <c r="P679" s="2" t="n">
        <v>0</v>
      </c>
      <c r="Q679" s="2" t="n">
        <v>0</v>
      </c>
      <c r="R679" s="30">
        <f>IF(AND($C$5&lt;&gt;"",$A679=$C$5),1,"")</f>
        <v/>
      </c>
      <c r="S679" s="21">
        <f>IF(AND($C$5&lt;&gt;"",$A679=$C$5),SUMIFS($G$8:$G$715,$A$8:$A$715,$C$5,$B$8:$B$715,"&lt;="&amp;$B679),"")</f>
        <v/>
      </c>
      <c r="T679" s="24" t="n"/>
      <c r="U679" s="24" t="n"/>
    </row>
    <row r="680">
      <c r="A680" s="2" t="inlineStr">
        <is>
          <t>MYS-85</t>
        </is>
      </c>
      <c r="B680" s="2" t="n">
        <v>48</v>
      </c>
      <c r="C680" s="2" t="inlineStr">
        <is>
          <t>IMP00575</t>
        </is>
      </c>
      <c r="D680" s="2" t="inlineStr">
        <is>
          <t>Twin Rivers Supply Co., Ltd</t>
        </is>
      </c>
      <c r="E680" s="2" t="n">
        <v>1</v>
      </c>
      <c r="F680" s="27" t="n">
        <v>3267436.68</v>
      </c>
      <c r="G680" s="28" t="n">
        <v>0.0005999999999999999</v>
      </c>
      <c r="H680" s="19" t="n">
        <v>0.841</v>
      </c>
      <c r="I680" s="29" t="n">
        <v>0</v>
      </c>
      <c r="J680" s="2" t="inlineStr">
        <is>
          <t>EXP0055</t>
        </is>
      </c>
      <c r="K680" s="2" t="n">
        <v>14</v>
      </c>
      <c r="L680" s="2" t="inlineStr">
        <is>
          <t>BRK059</t>
        </is>
      </c>
      <c r="M680" s="2" t="inlineStr">
        <is>
          <t>AIR1</t>
        </is>
      </c>
      <c r="N680" s="2" t="n">
        <v>0</v>
      </c>
      <c r="O680" s="2" t="n">
        <v>0</v>
      </c>
      <c r="P680" s="2" t="n">
        <v>0</v>
      </c>
      <c r="Q680" s="2" t="n">
        <v>0</v>
      </c>
      <c r="R680" s="30">
        <f>IF(AND($C$5&lt;&gt;"",$A680=$C$5),1,"")</f>
        <v/>
      </c>
      <c r="S680" s="21">
        <f>IF(AND($C$5&lt;&gt;"",$A680=$C$5),SUMIFS($G$8:$G$715,$A$8:$A$715,$C$5,$B$8:$B$715,"&lt;="&amp;$B680),"")</f>
        <v/>
      </c>
      <c r="T680" s="24" t="n"/>
      <c r="U680" s="24" t="n"/>
    </row>
    <row r="681">
      <c r="A681" s="2" t="inlineStr">
        <is>
          <t>MYS-85</t>
        </is>
      </c>
      <c r="B681" s="2" t="n">
        <v>49</v>
      </c>
      <c r="C681" s="2" t="inlineStr">
        <is>
          <t>IMP00556</t>
        </is>
      </c>
      <c r="D681" s="2" t="inlineStr">
        <is>
          <t>Eastern Foods Holdings Ltd</t>
        </is>
      </c>
      <c r="E681" s="2" t="n">
        <v>1</v>
      </c>
      <c r="F681" s="27" t="n">
        <v>2848761.1</v>
      </c>
      <c r="G681" s="28" t="n">
        <v>0.0005</v>
      </c>
      <c r="H681" s="19" t="n">
        <v>1.463</v>
      </c>
      <c r="I681" s="29" t="n">
        <v>0</v>
      </c>
      <c r="J681" s="2" t="inlineStr">
        <is>
          <t>EXP0462</t>
        </is>
      </c>
      <c r="K681" s="2" t="n">
        <v>1</v>
      </c>
      <c r="L681" s="2" t="inlineStr">
        <is>
          <t>BRK052</t>
        </is>
      </c>
      <c r="M681" s="2" t="inlineStr">
        <is>
          <t>AIR1</t>
        </is>
      </c>
      <c r="N681" s="2" t="n">
        <v>0</v>
      </c>
      <c r="O681" s="2" t="n">
        <v>0</v>
      </c>
      <c r="P681" s="2" t="n">
        <v>0</v>
      </c>
      <c r="Q681" s="2" t="n">
        <v>0</v>
      </c>
      <c r="R681" s="30">
        <f>IF(AND($C$5&lt;&gt;"",$A681=$C$5),1,"")</f>
        <v/>
      </c>
      <c r="S681" s="21">
        <f>IF(AND($C$5&lt;&gt;"",$A681=$C$5),SUMIFS($G$8:$G$715,$A$8:$A$715,$C$5,$B$8:$B$715,"&lt;="&amp;$B681),"")</f>
        <v/>
      </c>
      <c r="T681" s="24" t="n"/>
      <c r="U681" s="24" t="n"/>
    </row>
    <row r="682">
      <c r="A682" s="2" t="inlineStr">
        <is>
          <t>MYS-85</t>
        </is>
      </c>
      <c r="B682" s="2" t="n">
        <v>50</v>
      </c>
      <c r="C682" s="2" t="inlineStr">
        <is>
          <t>IMP01389</t>
        </is>
      </c>
      <c r="D682" s="2" t="inlineStr">
        <is>
          <t>Carrick Pack International Ltd</t>
        </is>
      </c>
      <c r="E682" s="2" t="n">
        <v>4</v>
      </c>
      <c r="F682" s="27" t="n">
        <v>2650179.42</v>
      </c>
      <c r="G682" s="28" t="n">
        <v>0.0005</v>
      </c>
      <c r="H682" s="19" t="n">
        <v>1.026</v>
      </c>
      <c r="I682" s="29" t="n">
        <v>0</v>
      </c>
      <c r="J682" s="2" t="inlineStr">
        <is>
          <t>EXP0183</t>
        </is>
      </c>
      <c r="K682" s="2" t="n">
        <v>10</v>
      </c>
      <c r="L682" s="2" t="inlineStr">
        <is>
          <t>BRK004</t>
        </is>
      </c>
      <c r="M682" s="2" t="inlineStr">
        <is>
          <t>PORT1</t>
        </is>
      </c>
      <c r="N682" s="2" t="n">
        <v>0</v>
      </c>
      <c r="O682" s="2" t="n">
        <v>0</v>
      </c>
      <c r="P682" s="2" t="n">
        <v>0</v>
      </c>
      <c r="Q682" s="2" t="n">
        <v>0</v>
      </c>
      <c r="R682" s="30">
        <f>IF(AND($C$5&lt;&gt;"",$A682=$C$5),1,"")</f>
        <v/>
      </c>
      <c r="S682" s="21">
        <f>IF(AND($C$5&lt;&gt;"",$A682=$C$5),SUMIFS($G$8:$G$715,$A$8:$A$715,$C$5,$B$8:$B$715,"&lt;="&amp;$B682),"")</f>
        <v/>
      </c>
      <c r="T682" s="24" t="n"/>
      <c r="U682" s="24" t="n"/>
    </row>
    <row r="683">
      <c r="A683" s="2" t="inlineStr">
        <is>
          <t>MYS-85</t>
        </is>
      </c>
      <c r="B683" s="2" t="n">
        <v>51</v>
      </c>
      <c r="C683" s="2" t="inlineStr">
        <is>
          <t>IMP00929</t>
        </is>
      </c>
      <c r="D683" s="2" t="inlineStr">
        <is>
          <t>Global Distribution Co.</t>
        </is>
      </c>
      <c r="E683" s="2" t="n">
        <v>1</v>
      </c>
      <c r="F683" s="27" t="n">
        <v>2138512.41</v>
      </c>
      <c r="G683" s="28" t="n">
        <v>0.0004</v>
      </c>
      <c r="H683" s="19" t="n">
        <v>1.065</v>
      </c>
      <c r="I683" s="29" t="n">
        <v>0</v>
      </c>
      <c r="J683" s="2" t="inlineStr">
        <is>
          <t>EXP0055</t>
        </is>
      </c>
      <c r="K683" s="2" t="n">
        <v>14</v>
      </c>
      <c r="L683" s="2" t="inlineStr">
        <is>
          <t>BRK028</t>
        </is>
      </c>
      <c r="M683" s="2" t="inlineStr">
        <is>
          <t>AIR1</t>
        </is>
      </c>
      <c r="N683" s="2" t="n">
        <v>0</v>
      </c>
      <c r="O683" s="2" t="n">
        <v>0</v>
      </c>
      <c r="P683" s="2" t="n">
        <v>0</v>
      </c>
      <c r="Q683" s="2" t="n">
        <v>0</v>
      </c>
      <c r="R683" s="30">
        <f>IF(AND($C$5&lt;&gt;"",$A683=$C$5),1,"")</f>
        <v/>
      </c>
      <c r="S683" s="21">
        <f>IF(AND($C$5&lt;&gt;"",$A683=$C$5),SUMIFS($G$8:$G$715,$A$8:$A$715,$C$5,$B$8:$B$715,"&lt;="&amp;$B683),"")</f>
        <v/>
      </c>
      <c r="T683" s="24" t="n"/>
      <c r="U683" s="24" t="n"/>
    </row>
    <row r="684">
      <c r="A684" s="2" t="inlineStr">
        <is>
          <t>MYS-85</t>
        </is>
      </c>
      <c r="B684" s="2" t="n">
        <v>52</v>
      </c>
      <c r="C684" s="2" t="inlineStr">
        <is>
          <t>IMP00794</t>
        </is>
      </c>
      <c r="D684" s="2" t="inlineStr">
        <is>
          <t>Carrick Industries Partners Ltd</t>
        </is>
      </c>
      <c r="E684" s="2" t="n">
        <v>1</v>
      </c>
      <c r="F684" s="27" t="n">
        <v>2115382.96</v>
      </c>
      <c r="G684" s="28" t="n">
        <v>0.0004</v>
      </c>
      <c r="H684" s="19" t="n">
        <v>0.912</v>
      </c>
      <c r="I684" s="29" t="n">
        <v>0</v>
      </c>
      <c r="J684" s="2" t="inlineStr">
        <is>
          <t>EXP0055</t>
        </is>
      </c>
      <c r="K684" s="2" t="n">
        <v>14</v>
      </c>
      <c r="L684" s="2" t="inlineStr">
        <is>
          <t>BRK022</t>
        </is>
      </c>
      <c r="M684" s="2" t="inlineStr">
        <is>
          <t>PORT1</t>
        </is>
      </c>
      <c r="N684" s="2" t="n">
        <v>0</v>
      </c>
      <c r="O684" s="2" t="n">
        <v>0</v>
      </c>
      <c r="P684" s="2" t="n">
        <v>0</v>
      </c>
      <c r="Q684" s="2" t="n">
        <v>0</v>
      </c>
      <c r="R684" s="30">
        <f>IF(AND($C$5&lt;&gt;"",$A684=$C$5),1,"")</f>
        <v/>
      </c>
      <c r="S684" s="21">
        <f>IF(AND($C$5&lt;&gt;"",$A684=$C$5),SUMIFS($G$8:$G$715,$A$8:$A$715,$C$5,$B$8:$B$715,"&lt;="&amp;$B684),"")</f>
        <v/>
      </c>
      <c r="T684" s="24" t="n"/>
      <c r="U684" s="24" t="n"/>
    </row>
    <row r="685">
      <c r="A685" s="2" t="inlineStr">
        <is>
          <t>MYS-85</t>
        </is>
      </c>
      <c r="B685" s="2" t="n">
        <v>53</v>
      </c>
      <c r="C685" s="2" t="inlineStr">
        <is>
          <t>IMP00108</t>
        </is>
      </c>
      <c r="D685" s="2" t="inlineStr">
        <is>
          <t>Great Vellmoor Motors Partners Ltd</t>
        </is>
      </c>
      <c r="E685" s="2" t="n">
        <v>2</v>
      </c>
      <c r="F685" s="27" t="n">
        <v>2048347.52</v>
      </c>
      <c r="G685" s="28" t="n">
        <v>0.0004</v>
      </c>
      <c r="H685" s="19" t="n">
        <v>0.8815</v>
      </c>
      <c r="I685" s="29" t="n">
        <v>0</v>
      </c>
      <c r="J685" s="2" t="inlineStr">
        <is>
          <t>EXP0349</t>
        </is>
      </c>
      <c r="K685" s="2" t="n">
        <v>11</v>
      </c>
      <c r="L685" s="2" t="inlineStr">
        <is>
          <t>BRK031</t>
        </is>
      </c>
      <c r="M685" s="2" t="inlineStr">
        <is>
          <t>LAND3</t>
        </is>
      </c>
      <c r="N685" s="2" t="n">
        <v>0</v>
      </c>
      <c r="O685" s="2" t="n">
        <v>0</v>
      </c>
      <c r="P685" s="2" t="n">
        <v>0</v>
      </c>
      <c r="Q685" s="2" t="n">
        <v>0</v>
      </c>
      <c r="R685" s="30">
        <f>IF(AND($C$5&lt;&gt;"",$A685=$C$5),1,"")</f>
        <v/>
      </c>
      <c r="S685" s="21">
        <f>IF(AND($C$5&lt;&gt;"",$A685=$C$5),SUMIFS($G$8:$G$715,$A$8:$A$715,$C$5,$B$8:$B$715,"&lt;="&amp;$B685),"")</f>
        <v/>
      </c>
      <c r="T685" s="24" t="n"/>
      <c r="U685" s="24" t="n"/>
    </row>
    <row r="686">
      <c r="A686" s="2" t="inlineStr">
        <is>
          <t>MYS-85</t>
        </is>
      </c>
      <c r="B686" s="2" t="n">
        <v>54</v>
      </c>
      <c r="C686" s="2" t="inlineStr">
        <is>
          <t>IMP00392</t>
        </is>
      </c>
      <c r="D686" s="2" t="inlineStr">
        <is>
          <t>Orchid Agro Ltd</t>
        </is>
      </c>
      <c r="E686" s="2" t="n">
        <v>2</v>
      </c>
      <c r="F686" s="27" t="n">
        <v>1807854.08</v>
      </c>
      <c r="G686" s="28" t="n">
        <v>0.0003</v>
      </c>
      <c r="H686" s="19" t="n">
        <v>0.725</v>
      </c>
      <c r="I686" s="29" t="n">
        <v>0.5</v>
      </c>
      <c r="J686" s="2" t="inlineStr">
        <is>
          <t>EXP0055</t>
        </is>
      </c>
      <c r="K686" s="2" t="n">
        <v>14</v>
      </c>
      <c r="L686" s="2" t="inlineStr">
        <is>
          <t>BRK007</t>
        </is>
      </c>
      <c r="M686" s="2" t="inlineStr">
        <is>
          <t>PORT3</t>
        </is>
      </c>
      <c r="N686" s="2" t="n">
        <v>1</v>
      </c>
      <c r="O686" s="2" t="n">
        <v>0</v>
      </c>
      <c r="P686" s="2" t="n">
        <v>1</v>
      </c>
      <c r="Q686" s="2" t="n">
        <v>0</v>
      </c>
      <c r="R686" s="30">
        <f>IF(AND($C$5&lt;&gt;"",$A686=$C$5),1,"")</f>
        <v/>
      </c>
      <c r="S686" s="21">
        <f>IF(AND($C$5&lt;&gt;"",$A686=$C$5),SUMIFS($G$8:$G$715,$A$8:$A$715,$C$5,$B$8:$B$715,"&lt;="&amp;$B686),"")</f>
        <v/>
      </c>
      <c r="T686" s="24" t="n"/>
      <c r="U686" s="24" t="n"/>
    </row>
    <row r="687">
      <c r="A687" s="2" t="inlineStr">
        <is>
          <t>MYS-85</t>
        </is>
      </c>
      <c r="B687" s="2" t="n">
        <v>55</v>
      </c>
      <c r="C687" s="2" t="inlineStr">
        <is>
          <t>IMP00033</t>
        </is>
      </c>
      <c r="D687" s="2" t="inlineStr">
        <is>
          <t>Global Agro International Ltd</t>
        </is>
      </c>
      <c r="E687" s="2" t="n">
        <v>1</v>
      </c>
      <c r="F687" s="27" t="n">
        <v>1799355.54</v>
      </c>
      <c r="G687" s="28" t="n">
        <v>0.0003</v>
      </c>
      <c r="H687" s="19" t="n">
        <v>0.9409999999999999</v>
      </c>
      <c r="I687" s="29" t="n">
        <v>0</v>
      </c>
      <c r="J687" s="2" t="inlineStr">
        <is>
          <t>EXP0201</t>
        </is>
      </c>
      <c r="K687" s="2" t="n">
        <v>1</v>
      </c>
      <c r="L687" s="2" t="inlineStr">
        <is>
          <t>BRK019</t>
        </is>
      </c>
      <c r="M687" s="2" t="inlineStr">
        <is>
          <t>PORT2</t>
        </is>
      </c>
      <c r="N687" s="2" t="n">
        <v>0</v>
      </c>
      <c r="O687" s="2" t="n">
        <v>0</v>
      </c>
      <c r="P687" s="2" t="n">
        <v>0</v>
      </c>
      <c r="Q687" s="2" t="n">
        <v>0</v>
      </c>
      <c r="R687" s="30">
        <f>IF(AND($C$5&lt;&gt;"",$A687=$C$5),1,"")</f>
        <v/>
      </c>
      <c r="S687" s="21">
        <f>IF(AND($C$5&lt;&gt;"",$A687=$C$5),SUMIFS($G$8:$G$715,$A$8:$A$715,$C$5,$B$8:$B$715,"&lt;="&amp;$B687),"")</f>
        <v/>
      </c>
      <c r="T687" s="24" t="n"/>
      <c r="U687" s="24" t="n"/>
    </row>
    <row r="688">
      <c r="A688" s="2" t="inlineStr">
        <is>
          <t>MYS-85</t>
        </is>
      </c>
      <c r="B688" s="2" t="n">
        <v>56</v>
      </c>
      <c r="C688" s="2" t="inlineStr">
        <is>
          <t>IMP00787</t>
        </is>
      </c>
      <c r="D688" s="2" t="inlineStr">
        <is>
          <t>Carrick Supply Partners Ltd</t>
        </is>
      </c>
      <c r="E688" s="2" t="n">
        <v>1</v>
      </c>
      <c r="F688" s="27" t="n">
        <v>1605485.54</v>
      </c>
      <c r="G688" s="28" t="n">
        <v>0.0003</v>
      </c>
      <c r="H688" s="19" t="n">
        <v>0.752</v>
      </c>
      <c r="I688" s="29" t="n">
        <v>0</v>
      </c>
      <c r="J688" s="2" t="inlineStr">
        <is>
          <t>EXP0183</t>
        </is>
      </c>
      <c r="K688" s="2" t="n">
        <v>10</v>
      </c>
      <c r="L688" s="2" t="inlineStr">
        <is>
          <t>BRK058</t>
        </is>
      </c>
      <c r="M688" s="2" t="inlineStr">
        <is>
          <t>PORT2</t>
        </is>
      </c>
      <c r="N688" s="2" t="n">
        <v>0</v>
      </c>
      <c r="O688" s="2" t="n">
        <v>0</v>
      </c>
      <c r="P688" s="2" t="n">
        <v>0</v>
      </c>
      <c r="Q688" s="2" t="n">
        <v>0</v>
      </c>
      <c r="R688" s="30">
        <f>IF(AND($C$5&lt;&gt;"",$A688=$C$5),1,"")</f>
        <v/>
      </c>
      <c r="S688" s="21">
        <f>IF(AND($C$5&lt;&gt;"",$A688=$C$5),SUMIFS($G$8:$G$715,$A$8:$A$715,$C$5,$B$8:$B$715,"&lt;="&amp;$B688),"")</f>
        <v/>
      </c>
      <c r="T688" s="24" t="n"/>
      <c r="U688" s="24" t="n"/>
    </row>
    <row r="689">
      <c r="A689" s="2" t="inlineStr">
        <is>
          <t>MYS-85</t>
        </is>
      </c>
      <c r="B689" s="2" t="n">
        <v>57</v>
      </c>
      <c r="C689" s="2" t="inlineStr">
        <is>
          <t>IMP00123</t>
        </is>
      </c>
      <c r="D689" s="2" t="inlineStr">
        <is>
          <t>Meridian Agro Co., Ltd</t>
        </is>
      </c>
      <c r="E689" s="2" t="n">
        <v>1</v>
      </c>
      <c r="F689" s="27" t="n">
        <v>1406220.74</v>
      </c>
      <c r="G689" s="28" t="n">
        <v>0.0003</v>
      </c>
      <c r="H689" s="19" t="n">
        <v>1.061</v>
      </c>
      <c r="I689" s="29" t="n">
        <v>0</v>
      </c>
      <c r="J689" s="2" t="inlineStr">
        <is>
          <t>EXP0093</t>
        </is>
      </c>
      <c r="K689" s="2" t="n">
        <v>1</v>
      </c>
      <c r="L689" s="2" t="inlineStr">
        <is>
          <t>BRK056</t>
        </is>
      </c>
      <c r="M689" s="2" t="inlineStr">
        <is>
          <t>PORT1</t>
        </is>
      </c>
      <c r="N689" s="2" t="n">
        <v>0</v>
      </c>
      <c r="O689" s="2" t="n">
        <v>0</v>
      </c>
      <c r="P689" s="2" t="n">
        <v>0</v>
      </c>
      <c r="Q689" s="2" t="n">
        <v>0</v>
      </c>
      <c r="R689" s="30">
        <f>IF(AND($C$5&lt;&gt;"",$A689=$C$5),1,"")</f>
        <v/>
      </c>
      <c r="S689" s="21">
        <f>IF(AND($C$5&lt;&gt;"",$A689=$C$5),SUMIFS($G$8:$G$715,$A$8:$A$715,$C$5,$B$8:$B$715,"&lt;="&amp;$B689),"")</f>
        <v/>
      </c>
      <c r="T689" s="24" t="n"/>
      <c r="U689" s="24" t="n"/>
    </row>
    <row r="690">
      <c r="A690" s="2" t="inlineStr">
        <is>
          <t>MYS-85</t>
        </is>
      </c>
      <c r="B690" s="2" t="n">
        <v>58</v>
      </c>
      <c r="C690" s="2" t="inlineStr">
        <is>
          <t>IMP00565</t>
        </is>
      </c>
      <c r="D690" s="2" t="inlineStr">
        <is>
          <t>Eastern Textiles Limited</t>
        </is>
      </c>
      <c r="E690" s="2" t="n">
        <v>1</v>
      </c>
      <c r="F690" s="27" t="n">
        <v>1065813.79</v>
      </c>
      <c r="G690" s="28" t="n">
        <v>0.0002</v>
      </c>
      <c r="H690" s="19" t="n">
        <v>1.003</v>
      </c>
      <c r="I690" s="29" t="n">
        <v>0</v>
      </c>
      <c r="J690" s="2" t="inlineStr">
        <is>
          <t>EXP0185</t>
        </is>
      </c>
      <c r="K690" s="2" t="n">
        <v>12</v>
      </c>
      <c r="L690" s="2" t="inlineStr">
        <is>
          <t>BRK041</t>
        </is>
      </c>
      <c r="M690" s="2" t="inlineStr">
        <is>
          <t>PORT1</t>
        </is>
      </c>
      <c r="N690" s="2" t="n">
        <v>0</v>
      </c>
      <c r="O690" s="2" t="n">
        <v>0</v>
      </c>
      <c r="P690" s="2" t="n">
        <v>0</v>
      </c>
      <c r="Q690" s="2" t="n">
        <v>0</v>
      </c>
      <c r="R690" s="30">
        <f>IF(AND($C$5&lt;&gt;"",$A690=$C$5),1,"")</f>
        <v/>
      </c>
      <c r="S690" s="21">
        <f>IF(AND($C$5&lt;&gt;"",$A690=$C$5),SUMIFS($G$8:$G$715,$A$8:$A$715,$C$5,$B$8:$B$715,"&lt;="&amp;$B690),"")</f>
        <v/>
      </c>
      <c r="T690" s="24" t="n"/>
      <c r="U690" s="24" t="n"/>
    </row>
    <row r="691">
      <c r="A691" s="2" t="inlineStr">
        <is>
          <t>MYS-85</t>
        </is>
      </c>
      <c r="B691" s="2" t="n">
        <v>59</v>
      </c>
      <c r="C691" s="2" t="inlineStr">
        <is>
          <t>IMP00589</t>
        </is>
      </c>
      <c r="D691" s="2" t="inlineStr">
        <is>
          <t>Arden Textiles Group Ltd</t>
        </is>
      </c>
      <c r="E691" s="2" t="n">
        <v>1</v>
      </c>
      <c r="F691" s="27" t="n">
        <v>883253.16</v>
      </c>
      <c r="G691" s="28" t="n">
        <v>0.0002</v>
      </c>
      <c r="H691" s="19" t="n">
        <v>0.945</v>
      </c>
      <c r="I691" s="29" t="n">
        <v>0</v>
      </c>
      <c r="J691" s="2" t="inlineStr">
        <is>
          <t>EXP0121</t>
        </is>
      </c>
      <c r="K691" s="2" t="n">
        <v>13</v>
      </c>
      <c r="L691" s="2" t="inlineStr">
        <is>
          <t>BRK059</t>
        </is>
      </c>
      <c r="M691" s="2" t="inlineStr">
        <is>
          <t>PORT2</t>
        </is>
      </c>
      <c r="N691" s="2" t="n">
        <v>0</v>
      </c>
      <c r="O691" s="2" t="n">
        <v>0</v>
      </c>
      <c r="P691" s="2" t="n">
        <v>0</v>
      </c>
      <c r="Q691" s="2" t="n">
        <v>0</v>
      </c>
      <c r="R691" s="30">
        <f>IF(AND($C$5&lt;&gt;"",$A691=$C$5),1,"")</f>
        <v/>
      </c>
      <c r="S691" s="21">
        <f>IF(AND($C$5&lt;&gt;"",$A691=$C$5),SUMIFS($G$8:$G$715,$A$8:$A$715,$C$5,$B$8:$B$715,"&lt;="&amp;$B691),"")</f>
        <v/>
      </c>
      <c r="T691" s="24" t="n"/>
      <c r="U691" s="24" t="n"/>
    </row>
    <row r="692">
      <c r="A692" s="2" t="inlineStr">
        <is>
          <t>MYS-85</t>
        </is>
      </c>
      <c r="B692" s="2" t="n">
        <v>60</v>
      </c>
      <c r="C692" s="2" t="inlineStr">
        <is>
          <t>IMP00999</t>
        </is>
      </c>
      <c r="D692" s="2" t="inlineStr">
        <is>
          <t>Carrick Electronics Group Ltd</t>
        </is>
      </c>
      <c r="E692" s="2" t="n">
        <v>1</v>
      </c>
      <c r="F692" s="27" t="n">
        <v>176560.1</v>
      </c>
      <c r="G692" s="28" t="n">
        <v>0</v>
      </c>
      <c r="H692" s="19" t="n">
        <v>0.806</v>
      </c>
      <c r="I692" s="29" t="n">
        <v>0</v>
      </c>
      <c r="J692" s="2" t="inlineStr">
        <is>
          <t>EXP0309</t>
        </is>
      </c>
      <c r="K692" s="2" t="n">
        <v>1</v>
      </c>
      <c r="L692" s="2" t="inlineStr">
        <is>
          <t>BRK035</t>
        </is>
      </c>
      <c r="M692" s="2" t="inlineStr">
        <is>
          <t>PORT3</t>
        </is>
      </c>
      <c r="N692" s="2" t="n">
        <v>0</v>
      </c>
      <c r="O692" s="2" t="n">
        <v>1</v>
      </c>
      <c r="P692" s="2" t="n">
        <v>0</v>
      </c>
      <c r="Q692" s="2" t="n">
        <v>0</v>
      </c>
      <c r="R692" s="30">
        <f>IF(AND($C$5&lt;&gt;"",$A692=$C$5),1,"")</f>
        <v/>
      </c>
      <c r="S692" s="21">
        <f>IF(AND($C$5&lt;&gt;"",$A692=$C$5),SUMIFS($G$8:$G$715,$A$8:$A$715,$C$5,$B$8:$B$715,"&lt;="&amp;$B692),"")</f>
        <v/>
      </c>
      <c r="T692" s="24" t="n"/>
      <c r="U692" s="24" t="n"/>
    </row>
    <row r="693">
      <c r="A693" s="2" t="inlineStr">
        <is>
          <t>MYS-87</t>
        </is>
      </c>
      <c r="B693" s="2" t="n">
        <v>1</v>
      </c>
      <c r="C693" s="2" t="inlineStr">
        <is>
          <t>IMP01229</t>
        </is>
      </c>
      <c r="D693" s="2" t="inlineStr">
        <is>
          <t>Delta Textiles Holdings Ltd</t>
        </is>
      </c>
      <c r="E693" s="2" t="n">
        <v>29</v>
      </c>
      <c r="F693" s="27" t="n">
        <v>369745780.66</v>
      </c>
      <c r="G693" s="28" t="n">
        <v>0.3148</v>
      </c>
      <c r="H693" s="19" t="n">
        <v>0.8120000000000001</v>
      </c>
      <c r="I693" s="29" t="n">
        <v>0.3448</v>
      </c>
      <c r="J693" s="2" t="inlineStr">
        <is>
          <t>EXP0055</t>
        </is>
      </c>
      <c r="K693" s="2" t="n">
        <v>2</v>
      </c>
      <c r="L693" s="2" t="inlineStr">
        <is>
          <t>BRK079</t>
        </is>
      </c>
      <c r="M693" s="2" t="inlineStr">
        <is>
          <t>PORT2</t>
        </is>
      </c>
      <c r="N693" s="2" t="n">
        <v>0</v>
      </c>
      <c r="O693" s="2" t="n">
        <v>0</v>
      </c>
      <c r="P693" s="2" t="n">
        <v>0</v>
      </c>
      <c r="Q693" s="2" t="n">
        <v>0</v>
      </c>
      <c r="R693" s="30">
        <f>IF(AND($C$5&lt;&gt;"",$A693=$C$5),1,"")</f>
        <v/>
      </c>
      <c r="S693" s="21">
        <f>IF(AND($C$5&lt;&gt;"",$A693=$C$5),SUMIFS($G$8:$G$715,$A$8:$A$715,$C$5,$B$8:$B$715,"&lt;="&amp;$B693),"")</f>
        <v/>
      </c>
      <c r="T693" s="24" t="n"/>
      <c r="U693" s="24" t="n"/>
    </row>
    <row r="694">
      <c r="A694" s="2" t="inlineStr">
        <is>
          <t>MYS-87</t>
        </is>
      </c>
      <c r="B694" s="2" t="n">
        <v>2</v>
      </c>
      <c r="C694" s="2" t="inlineStr">
        <is>
          <t>IMP01284</t>
        </is>
      </c>
      <c r="D694" s="2" t="inlineStr">
        <is>
          <t>Summit Industries International Ltd</t>
        </is>
      </c>
      <c r="E694" s="2" t="n">
        <v>46</v>
      </c>
      <c r="F694" s="27" t="n">
        <v>255597464.17</v>
      </c>
      <c r="G694" s="28" t="n">
        <v>0.2176</v>
      </c>
      <c r="H694" s="19" t="n">
        <v>0.964</v>
      </c>
      <c r="I694" s="29" t="n">
        <v>0</v>
      </c>
      <c r="J694" s="2" t="inlineStr">
        <is>
          <t>EXP0432</t>
        </is>
      </c>
      <c r="K694" s="2" t="n">
        <v>4</v>
      </c>
      <c r="L694" s="2" t="inlineStr">
        <is>
          <t>BRK008</t>
        </is>
      </c>
      <c r="M694" s="2" t="inlineStr">
        <is>
          <t>LAND1</t>
        </is>
      </c>
      <c r="N694" s="2" t="n">
        <v>0</v>
      </c>
      <c r="O694" s="2" t="n">
        <v>0</v>
      </c>
      <c r="P694" s="2" t="n">
        <v>0</v>
      </c>
      <c r="Q694" s="2" t="n">
        <v>0</v>
      </c>
      <c r="R694" s="30">
        <f>IF(AND($C$5&lt;&gt;"",$A694=$C$5),1,"")</f>
        <v/>
      </c>
      <c r="S694" s="21">
        <f>IF(AND($C$5&lt;&gt;"",$A694=$C$5),SUMIFS($G$8:$G$715,$A$8:$A$715,$C$5,$B$8:$B$715,"&lt;="&amp;$B694),"")</f>
        <v/>
      </c>
      <c r="T694" s="24" t="n"/>
      <c r="U694" s="24" t="n"/>
    </row>
    <row r="695">
      <c r="A695" s="2" t="inlineStr">
        <is>
          <t>MYS-87</t>
        </is>
      </c>
      <c r="B695" s="2" t="n">
        <v>3</v>
      </c>
      <c r="C695" s="2" t="inlineStr">
        <is>
          <t>IMP01320</t>
        </is>
      </c>
      <c r="D695" s="2" t="inlineStr">
        <is>
          <t>Silver Logistics Holdings Ltd</t>
        </is>
      </c>
      <c r="E695" s="2" t="n">
        <v>20</v>
      </c>
      <c r="F695" s="27" t="n">
        <v>154309641.5</v>
      </c>
      <c r="G695" s="28" t="n">
        <v>0.1314</v>
      </c>
      <c r="H695" s="19" t="n">
        <v>0.8804999999999999</v>
      </c>
      <c r="I695" s="29" t="n">
        <v>0.05</v>
      </c>
      <c r="J695" s="2" t="inlineStr">
        <is>
          <t>EXP0336</t>
        </is>
      </c>
      <c r="K695" s="2" t="n">
        <v>5</v>
      </c>
      <c r="L695" s="2" t="inlineStr">
        <is>
          <t>BRK039</t>
        </is>
      </c>
      <c r="M695" s="2" t="inlineStr">
        <is>
          <t>PORT1</t>
        </is>
      </c>
      <c r="N695" s="2" t="n">
        <v>0</v>
      </c>
      <c r="O695" s="2" t="n">
        <v>0</v>
      </c>
      <c r="P695" s="2" t="n">
        <v>0</v>
      </c>
      <c r="Q695" s="2" t="n">
        <v>0</v>
      </c>
      <c r="R695" s="30">
        <f>IF(AND($C$5&lt;&gt;"",$A695=$C$5),1,"")</f>
        <v/>
      </c>
      <c r="S695" s="21">
        <f>IF(AND($C$5&lt;&gt;"",$A695=$C$5),SUMIFS($G$8:$G$715,$A$8:$A$715,$C$5,$B$8:$B$715,"&lt;="&amp;$B695),"")</f>
        <v/>
      </c>
      <c r="T695" s="24" t="n"/>
      <c r="U695" s="24" t="n"/>
    </row>
    <row r="696">
      <c r="A696" s="2" t="inlineStr">
        <is>
          <t>MYS-87</t>
        </is>
      </c>
      <c r="B696" s="2" t="n">
        <v>4</v>
      </c>
      <c r="C696" s="2" t="inlineStr">
        <is>
          <t>IMP00605</t>
        </is>
      </c>
      <c r="D696" s="2" t="inlineStr">
        <is>
          <t>Arden Living Partners Ltd</t>
        </is>
      </c>
      <c r="E696" s="2" t="n">
        <v>64</v>
      </c>
      <c r="F696" s="27" t="n">
        <v>123579775.53</v>
      </c>
      <c r="G696" s="28" t="n">
        <v>0.1052</v>
      </c>
      <c r="H696" s="19" t="n">
        <v>0.844</v>
      </c>
      <c r="I696" s="29" t="n">
        <v>0.2344</v>
      </c>
      <c r="J696" s="2" t="inlineStr">
        <is>
          <t>EXP0181</t>
        </is>
      </c>
      <c r="K696" s="2" t="n">
        <v>3</v>
      </c>
      <c r="L696" s="2" t="inlineStr">
        <is>
          <t>BRK014</t>
        </is>
      </c>
      <c r="M696" s="2" t="inlineStr">
        <is>
          <t>AIR1</t>
        </is>
      </c>
      <c r="N696" s="2" t="n">
        <v>0</v>
      </c>
      <c r="O696" s="2" t="n">
        <v>0</v>
      </c>
      <c r="P696" s="2" t="n">
        <v>0</v>
      </c>
      <c r="Q696" s="2" t="n">
        <v>0</v>
      </c>
      <c r="R696" s="30">
        <f>IF(AND($C$5&lt;&gt;"",$A696=$C$5),1,"")</f>
        <v/>
      </c>
      <c r="S696" s="21">
        <f>IF(AND($C$5&lt;&gt;"",$A696=$C$5),SUMIFS($G$8:$G$715,$A$8:$A$715,$C$5,$B$8:$B$715,"&lt;="&amp;$B696),"")</f>
        <v/>
      </c>
      <c r="T696" s="24" t="n"/>
      <c r="U696" s="24" t="n"/>
    </row>
    <row r="697">
      <c r="A697" s="2" t="inlineStr">
        <is>
          <t>MYS-87</t>
        </is>
      </c>
      <c r="B697" s="2" t="n">
        <v>5</v>
      </c>
      <c r="C697" s="2" t="inlineStr">
        <is>
          <t>IMP00348</t>
        </is>
      </c>
      <c r="D697" s="2" t="inlineStr">
        <is>
          <t>Aldergate Fruits &amp; Sons</t>
        </is>
      </c>
      <c r="E697" s="2" t="n">
        <v>22</v>
      </c>
      <c r="F697" s="27" t="n">
        <v>105544038.91</v>
      </c>
      <c r="G697" s="28" t="n">
        <v>0.08989999999999999</v>
      </c>
      <c r="H697" s="19" t="n">
        <v>0.7995</v>
      </c>
      <c r="I697" s="29" t="n">
        <v>0.2727</v>
      </c>
      <c r="J697" s="2" t="inlineStr">
        <is>
          <t>EXP0336</t>
        </is>
      </c>
      <c r="K697" s="2" t="n">
        <v>5</v>
      </c>
      <c r="L697" s="2" t="inlineStr">
        <is>
          <t>BRK017</t>
        </is>
      </c>
      <c r="M697" s="2" t="inlineStr">
        <is>
          <t>LAND1</t>
        </is>
      </c>
      <c r="N697" s="2" t="n">
        <v>0</v>
      </c>
      <c r="O697" s="2" t="n">
        <v>0</v>
      </c>
      <c r="P697" s="2" t="n">
        <v>0</v>
      </c>
      <c r="Q697" s="2" t="n">
        <v>0</v>
      </c>
      <c r="R697" s="30">
        <f>IF(AND($C$5&lt;&gt;"",$A697=$C$5),1,"")</f>
        <v/>
      </c>
      <c r="S697" s="21">
        <f>IF(AND($C$5&lt;&gt;"",$A697=$C$5),SUMIFS($G$8:$G$715,$A$8:$A$715,$C$5,$B$8:$B$715,"&lt;="&amp;$B697),"")</f>
        <v/>
      </c>
      <c r="T697" s="24" t="n"/>
      <c r="U697" s="24" t="n"/>
    </row>
    <row r="698">
      <c r="A698" s="2" t="inlineStr">
        <is>
          <t>MYS-87</t>
        </is>
      </c>
      <c r="B698" s="2" t="n">
        <v>6</v>
      </c>
      <c r="C698" s="2" t="inlineStr">
        <is>
          <t>IMP00364</t>
        </is>
      </c>
      <c r="D698" s="2" t="inlineStr">
        <is>
          <t>Jade Fruits &amp; Sons</t>
        </is>
      </c>
      <c r="E698" s="2" t="n">
        <v>7</v>
      </c>
      <c r="F698" s="27" t="n">
        <v>38380781.2</v>
      </c>
      <c r="G698" s="28" t="n">
        <v>0.0327</v>
      </c>
      <c r="H698" s="19" t="n">
        <v>0.927</v>
      </c>
      <c r="I698" s="29" t="n">
        <v>0.2857</v>
      </c>
      <c r="J698" s="2" t="inlineStr">
        <is>
          <t>EXP0041</t>
        </is>
      </c>
      <c r="K698" s="2" t="n">
        <v>4</v>
      </c>
      <c r="L698" s="2" t="inlineStr">
        <is>
          <t>BRK001</t>
        </is>
      </c>
      <c r="M698" s="2" t="inlineStr">
        <is>
          <t>LAND3</t>
        </is>
      </c>
      <c r="N698" s="2" t="n">
        <v>0</v>
      </c>
      <c r="O698" s="2" t="n">
        <v>0</v>
      </c>
      <c r="P698" s="2" t="n">
        <v>0</v>
      </c>
      <c r="Q698" s="2" t="n">
        <v>0</v>
      </c>
      <c r="R698" s="30">
        <f>IF(AND($C$5&lt;&gt;"",$A698=$C$5),1,"")</f>
        <v/>
      </c>
      <c r="S698" s="21">
        <f>IF(AND($C$5&lt;&gt;"",$A698=$C$5),SUMIFS($G$8:$G$715,$A$8:$A$715,$C$5,$B$8:$B$715,"&lt;="&amp;$B698),"")</f>
        <v/>
      </c>
      <c r="T698" s="24" t="n"/>
      <c r="U698" s="24" t="n"/>
    </row>
    <row r="699">
      <c r="A699" s="2" t="inlineStr">
        <is>
          <t>MYS-87</t>
        </is>
      </c>
      <c r="B699" s="2" t="n">
        <v>7</v>
      </c>
      <c r="C699" s="2" t="inlineStr">
        <is>
          <t>IMP00538</t>
        </is>
      </c>
      <c r="D699" s="2" t="inlineStr">
        <is>
          <t>Pacific Distribution International Ltd</t>
        </is>
      </c>
      <c r="E699" s="2" t="n">
        <v>17</v>
      </c>
      <c r="F699" s="27" t="n">
        <v>31261954.12</v>
      </c>
      <c r="G699" s="28" t="n">
        <v>0.0266</v>
      </c>
      <c r="H699" s="19" t="n">
        <v>1.069</v>
      </c>
      <c r="I699" s="29" t="n">
        <v>0</v>
      </c>
      <c r="J699" s="2" t="inlineStr">
        <is>
          <t>EXP0041</t>
        </is>
      </c>
      <c r="K699" s="2" t="n">
        <v>4</v>
      </c>
      <c r="L699" s="2" t="inlineStr">
        <is>
          <t>BRK056</t>
        </is>
      </c>
      <c r="M699" s="2" t="inlineStr">
        <is>
          <t>LAND1</t>
        </is>
      </c>
      <c r="N699" s="2" t="n">
        <v>0</v>
      </c>
      <c r="O699" s="2" t="n">
        <v>0</v>
      </c>
      <c r="P699" s="2" t="n">
        <v>0</v>
      </c>
      <c r="Q699" s="2" t="n">
        <v>0</v>
      </c>
      <c r="R699" s="30">
        <f>IF(AND($C$5&lt;&gt;"",$A699=$C$5),1,"")</f>
        <v/>
      </c>
      <c r="S699" s="21">
        <f>IF(AND($C$5&lt;&gt;"",$A699=$C$5),SUMIFS($G$8:$G$715,$A$8:$A$715,$C$5,$B$8:$B$715,"&lt;="&amp;$B699),"")</f>
        <v/>
      </c>
      <c r="T699" s="24" t="n"/>
      <c r="U699" s="24" t="n"/>
    </row>
    <row r="700">
      <c r="A700" s="2" t="inlineStr">
        <is>
          <t>MYS-87</t>
        </is>
      </c>
      <c r="B700" s="2" t="n">
        <v>8</v>
      </c>
      <c r="C700" s="2" t="inlineStr">
        <is>
          <t>IMP00110</t>
        </is>
      </c>
      <c r="D700" s="2" t="inlineStr">
        <is>
          <t>Coral Living International Ltd</t>
        </is>
      </c>
      <c r="E700" s="2" t="n">
        <v>29</v>
      </c>
      <c r="F700" s="27" t="n">
        <v>27040037.23</v>
      </c>
      <c r="G700" s="28" t="n">
        <v>0.023</v>
      </c>
      <c r="H700" s="19" t="n">
        <v>0.868</v>
      </c>
      <c r="I700" s="29" t="n">
        <v>0.2069</v>
      </c>
      <c r="J700" s="2" t="inlineStr">
        <is>
          <t>EXP0571</t>
        </is>
      </c>
      <c r="K700" s="2" t="n">
        <v>2</v>
      </c>
      <c r="L700" s="2" t="inlineStr">
        <is>
          <t>BRK010</t>
        </is>
      </c>
      <c r="M700" s="2" t="inlineStr">
        <is>
          <t>LAND6</t>
        </is>
      </c>
      <c r="N700" s="2" t="n">
        <v>0</v>
      </c>
      <c r="O700" s="2" t="n">
        <v>0</v>
      </c>
      <c r="P700" s="2" t="n">
        <v>0</v>
      </c>
      <c r="Q700" s="2" t="n">
        <v>0</v>
      </c>
      <c r="R700" s="30">
        <f>IF(AND($C$5&lt;&gt;"",$A700=$C$5),1,"")</f>
        <v/>
      </c>
      <c r="S700" s="21">
        <f>IF(AND($C$5&lt;&gt;"",$A700=$C$5),SUMIFS($G$8:$G$715,$A$8:$A$715,$C$5,$B$8:$B$715,"&lt;="&amp;$B700),"")</f>
        <v/>
      </c>
      <c r="T700" s="24" t="n"/>
      <c r="U700" s="24" t="n"/>
    </row>
    <row r="701">
      <c r="A701" s="2" t="inlineStr">
        <is>
          <t>MYS-87</t>
        </is>
      </c>
      <c r="B701" s="2" t="n">
        <v>9</v>
      </c>
      <c r="C701" s="2" t="inlineStr">
        <is>
          <t>IMP01303</t>
        </is>
      </c>
      <c r="D701" s="2" t="inlineStr">
        <is>
          <t>Arden Industries Enterprises</t>
        </is>
      </c>
      <c r="E701" s="2" t="n">
        <v>10</v>
      </c>
      <c r="F701" s="27" t="n">
        <v>14320508.45</v>
      </c>
      <c r="G701" s="28" t="n">
        <v>0.0122</v>
      </c>
      <c r="H701" s="19" t="n">
        <v>1.059</v>
      </c>
      <c r="I701" s="29" t="n">
        <v>0.1</v>
      </c>
      <c r="J701" s="2" t="inlineStr">
        <is>
          <t>EXP0183</t>
        </is>
      </c>
      <c r="K701" s="2" t="n">
        <v>2</v>
      </c>
      <c r="L701" s="2" t="inlineStr">
        <is>
          <t>BRK068</t>
        </is>
      </c>
      <c r="M701" s="2" t="inlineStr">
        <is>
          <t>PORT3</t>
        </is>
      </c>
      <c r="N701" s="2" t="n">
        <v>0</v>
      </c>
      <c r="O701" s="2" t="n">
        <v>0</v>
      </c>
      <c r="P701" s="2" t="n">
        <v>0</v>
      </c>
      <c r="Q701" s="2" t="n">
        <v>0</v>
      </c>
      <c r="R701" s="30">
        <f>IF(AND($C$5&lt;&gt;"",$A701=$C$5),1,"")</f>
        <v/>
      </c>
      <c r="S701" s="21">
        <f>IF(AND($C$5&lt;&gt;"",$A701=$C$5),SUMIFS($G$8:$G$715,$A$8:$A$715,$C$5,$B$8:$B$715,"&lt;="&amp;$B701),"")</f>
        <v/>
      </c>
      <c r="T701" s="24" t="n"/>
      <c r="U701" s="24" t="n"/>
    </row>
    <row r="702">
      <c r="A702" s="2" t="inlineStr">
        <is>
          <t>MYS-87</t>
        </is>
      </c>
      <c r="B702" s="2" t="n">
        <v>10</v>
      </c>
      <c r="C702" s="2" t="inlineStr">
        <is>
          <t>IMP00603</t>
        </is>
      </c>
      <c r="D702" s="2" t="inlineStr">
        <is>
          <t>Coral Foods &amp; Sons</t>
        </is>
      </c>
      <c r="E702" s="2" t="n">
        <v>2</v>
      </c>
      <c r="F702" s="27" t="n">
        <v>14312245.9</v>
      </c>
      <c r="G702" s="28" t="n">
        <v>0.0122</v>
      </c>
      <c r="H702" s="19" t="n">
        <v>0.7504999999999999</v>
      </c>
      <c r="I702" s="29" t="n">
        <v>0.5</v>
      </c>
      <c r="J702" s="2" t="inlineStr">
        <is>
          <t>EXP0109</t>
        </is>
      </c>
      <c r="K702" s="2" t="n">
        <v>2</v>
      </c>
      <c r="L702" s="2" t="inlineStr">
        <is>
          <t>BRK029</t>
        </is>
      </c>
      <c r="M702" s="2" t="inlineStr">
        <is>
          <t>LAND2</t>
        </is>
      </c>
      <c r="N702" s="2" t="n">
        <v>0</v>
      </c>
      <c r="O702" s="2" t="n">
        <v>0</v>
      </c>
      <c r="P702" s="2" t="n">
        <v>0</v>
      </c>
      <c r="Q702" s="2" t="n">
        <v>0</v>
      </c>
      <c r="R702" s="30">
        <f>IF(AND($C$5&lt;&gt;"",$A702=$C$5),1,"")</f>
        <v/>
      </c>
      <c r="S702" s="21">
        <f>IF(AND($C$5&lt;&gt;"",$A702=$C$5),SUMIFS($G$8:$G$715,$A$8:$A$715,$C$5,$B$8:$B$715,"&lt;="&amp;$B702),"")</f>
        <v/>
      </c>
      <c r="T702" s="24" t="n"/>
      <c r="U702" s="24" t="n"/>
    </row>
    <row r="703">
      <c r="A703" s="2" t="inlineStr">
        <is>
          <t>MYS-87</t>
        </is>
      </c>
      <c r="B703" s="2" t="n">
        <v>11</v>
      </c>
      <c r="C703" s="2" t="inlineStr">
        <is>
          <t>IMP01247</t>
        </is>
      </c>
      <c r="D703" s="2" t="inlineStr">
        <is>
          <t>Coral Steel Partners Ltd</t>
        </is>
      </c>
      <c r="E703" s="2" t="n">
        <v>7</v>
      </c>
      <c r="F703" s="27" t="n">
        <v>8619354.939999999</v>
      </c>
      <c r="G703" s="28" t="n">
        <v>0.0073</v>
      </c>
      <c r="H703" s="19" t="n">
        <v>0.96</v>
      </c>
      <c r="I703" s="29" t="n">
        <v>0</v>
      </c>
      <c r="J703" s="2" t="inlineStr">
        <is>
          <t>EXP0055</t>
        </is>
      </c>
      <c r="K703" s="2" t="n">
        <v>2</v>
      </c>
      <c r="L703" s="2" t="inlineStr">
        <is>
          <t>BRK011</t>
        </is>
      </c>
      <c r="M703" s="2" t="inlineStr">
        <is>
          <t>PORT1</t>
        </is>
      </c>
      <c r="N703" s="2" t="n">
        <v>1</v>
      </c>
      <c r="O703" s="2" t="n">
        <v>0</v>
      </c>
      <c r="P703" s="2" t="n">
        <v>0</v>
      </c>
      <c r="Q703" s="2" t="n">
        <v>0</v>
      </c>
      <c r="R703" s="30">
        <f>IF(AND($C$5&lt;&gt;"",$A703=$C$5),1,"")</f>
        <v/>
      </c>
      <c r="S703" s="21">
        <f>IF(AND($C$5&lt;&gt;"",$A703=$C$5),SUMIFS($G$8:$G$715,$A$8:$A$715,$C$5,$B$8:$B$715,"&lt;="&amp;$B703),"")</f>
        <v/>
      </c>
      <c r="T703" s="24" t="n"/>
      <c r="U703" s="24" t="n"/>
    </row>
    <row r="704">
      <c r="A704" s="2" t="inlineStr">
        <is>
          <t>MYS-87</t>
        </is>
      </c>
      <c r="B704" s="2" t="n">
        <v>12</v>
      </c>
      <c r="C704" s="2" t="inlineStr">
        <is>
          <t>IMP00325</t>
        </is>
      </c>
      <c r="D704" s="2" t="inlineStr">
        <is>
          <t>Global Commercial Co.</t>
        </is>
      </c>
      <c r="E704" s="2" t="n">
        <v>7</v>
      </c>
      <c r="F704" s="27" t="n">
        <v>7629518.22</v>
      </c>
      <c r="G704" s="28" t="n">
        <v>0.0065</v>
      </c>
      <c r="H704" s="19" t="n">
        <v>1.074</v>
      </c>
      <c r="I704" s="29" t="n">
        <v>0.2857</v>
      </c>
      <c r="J704" s="2" t="inlineStr">
        <is>
          <t>EXP0041</t>
        </is>
      </c>
      <c r="K704" s="2" t="n">
        <v>4</v>
      </c>
      <c r="L704" s="2" t="inlineStr">
        <is>
          <t>BRK027</t>
        </is>
      </c>
      <c r="M704" s="2" t="inlineStr">
        <is>
          <t>PORT1</t>
        </is>
      </c>
      <c r="N704" s="2" t="n">
        <v>0</v>
      </c>
      <c r="O704" s="2" t="n">
        <v>0</v>
      </c>
      <c r="P704" s="2" t="n">
        <v>0</v>
      </c>
      <c r="Q704" s="2" t="n">
        <v>1</v>
      </c>
      <c r="R704" s="30">
        <f>IF(AND($C$5&lt;&gt;"",$A704=$C$5),1,"")</f>
        <v/>
      </c>
      <c r="S704" s="21">
        <f>IF(AND($C$5&lt;&gt;"",$A704=$C$5),SUMIFS($G$8:$G$715,$A$8:$A$715,$C$5,$B$8:$B$715,"&lt;="&amp;$B704),"")</f>
        <v/>
      </c>
      <c r="T704" s="24" t="n"/>
      <c r="U704" s="24" t="n"/>
    </row>
    <row r="705">
      <c r="A705" s="2" t="inlineStr">
        <is>
          <t>MYS-87</t>
        </is>
      </c>
      <c r="B705" s="2" t="n">
        <v>13</v>
      </c>
      <c r="C705" s="2" t="inlineStr">
        <is>
          <t>IMP00683</t>
        </is>
      </c>
      <c r="D705" s="2" t="inlineStr">
        <is>
          <t>Prescott Supply Co.</t>
        </is>
      </c>
      <c r="E705" s="2" t="n">
        <v>4</v>
      </c>
      <c r="F705" s="27" t="n">
        <v>7090104.48</v>
      </c>
      <c r="G705" s="28" t="n">
        <v>0.006</v>
      </c>
      <c r="H705" s="19" t="n">
        <v>0.8205</v>
      </c>
      <c r="I705" s="29" t="n">
        <v>0</v>
      </c>
      <c r="J705" s="2" t="inlineStr">
        <is>
          <t>EXP0212</t>
        </is>
      </c>
      <c r="K705" s="2" t="n">
        <v>4</v>
      </c>
      <c r="L705" s="2" t="inlineStr">
        <is>
          <t>BRK061</t>
        </is>
      </c>
      <c r="M705" s="2" t="inlineStr">
        <is>
          <t>PORT2</t>
        </is>
      </c>
      <c r="N705" s="2" t="n">
        <v>1</v>
      </c>
      <c r="O705" s="2" t="n">
        <v>0</v>
      </c>
      <c r="P705" s="2" t="n">
        <v>0</v>
      </c>
      <c r="Q705" s="2" t="n">
        <v>0</v>
      </c>
      <c r="R705" s="30">
        <f>IF(AND($C$5&lt;&gt;"",$A705=$C$5),1,"")</f>
        <v/>
      </c>
      <c r="S705" s="21">
        <f>IF(AND($C$5&lt;&gt;"",$A705=$C$5),SUMIFS($G$8:$G$715,$A$8:$A$715,$C$5,$B$8:$B$715,"&lt;="&amp;$B705),"")</f>
        <v/>
      </c>
      <c r="T705" s="24" t="n"/>
      <c r="U705" s="24" t="n"/>
    </row>
    <row r="706">
      <c r="A706" s="2" t="inlineStr">
        <is>
          <t>MYS-87</t>
        </is>
      </c>
      <c r="B706" s="2" t="n">
        <v>14</v>
      </c>
      <c r="C706" s="2" t="inlineStr">
        <is>
          <t>IMP00925</t>
        </is>
      </c>
      <c r="D706" s="2" t="inlineStr">
        <is>
          <t>United Supply Limited</t>
        </is>
      </c>
      <c r="E706" s="2" t="n">
        <v>2</v>
      </c>
      <c r="F706" s="27" t="n">
        <v>5233307.94</v>
      </c>
      <c r="G706" s="28" t="n">
        <v>0.0045</v>
      </c>
      <c r="H706" s="19" t="n">
        <v>0.6375</v>
      </c>
      <c r="I706" s="29" t="n">
        <v>0.5</v>
      </c>
      <c r="J706" s="2" t="inlineStr">
        <is>
          <t>EXP0432</t>
        </is>
      </c>
      <c r="K706" s="2" t="n">
        <v>4</v>
      </c>
      <c r="L706" s="2" t="inlineStr">
        <is>
          <t>BRK036</t>
        </is>
      </c>
      <c r="M706" s="2" t="inlineStr">
        <is>
          <t>PORT2</t>
        </is>
      </c>
      <c r="N706" s="2" t="n">
        <v>0</v>
      </c>
      <c r="O706" s="2" t="n">
        <v>0</v>
      </c>
      <c r="P706" s="2" t="n">
        <v>0</v>
      </c>
      <c r="Q706" s="2" t="n">
        <v>0</v>
      </c>
      <c r="R706" s="30">
        <f>IF(AND($C$5&lt;&gt;"",$A706=$C$5),1,"")</f>
        <v/>
      </c>
      <c r="S706" s="21">
        <f>IF(AND($C$5&lt;&gt;"",$A706=$C$5),SUMIFS($G$8:$G$715,$A$8:$A$715,$C$5,$B$8:$B$715,"&lt;="&amp;$B706),"")</f>
        <v/>
      </c>
      <c r="T706" s="24" t="n"/>
      <c r="U706" s="24" t="n"/>
    </row>
    <row r="707">
      <c r="A707" s="2" t="inlineStr">
        <is>
          <t>MYS-87</t>
        </is>
      </c>
      <c r="B707" s="2" t="n">
        <v>15</v>
      </c>
      <c r="C707" s="2" t="inlineStr">
        <is>
          <t>IMP00536</t>
        </is>
      </c>
      <c r="D707" s="2" t="inlineStr">
        <is>
          <t>Sunrise Glow &amp; Sons</t>
        </is>
      </c>
      <c r="E707" s="2" t="n">
        <v>2</v>
      </c>
      <c r="F707" s="27" t="n">
        <v>3489830.67</v>
      </c>
      <c r="G707" s="28" t="n">
        <v>0.003</v>
      </c>
      <c r="H707" s="19" t="n">
        <v>0.8375</v>
      </c>
      <c r="I707" s="29" t="n">
        <v>0.5</v>
      </c>
      <c r="J707" s="2" t="inlineStr">
        <is>
          <t>EXP0106</t>
        </is>
      </c>
      <c r="K707" s="2" t="n">
        <v>1</v>
      </c>
      <c r="L707" s="2" t="inlineStr">
        <is>
          <t>BRK018</t>
        </is>
      </c>
      <c r="M707" s="2" t="inlineStr">
        <is>
          <t>PORT1</t>
        </is>
      </c>
      <c r="N707" s="2" t="n">
        <v>0</v>
      </c>
      <c r="O707" s="2" t="n">
        <v>0</v>
      </c>
      <c r="P707" s="2" t="n">
        <v>0</v>
      </c>
      <c r="Q707" s="2" t="n">
        <v>0</v>
      </c>
      <c r="R707" s="30">
        <f>IF(AND($C$5&lt;&gt;"",$A707=$C$5),1,"")</f>
        <v/>
      </c>
      <c r="S707" s="21">
        <f>IF(AND($C$5&lt;&gt;"",$A707=$C$5),SUMIFS($G$8:$G$715,$A$8:$A$715,$C$5,$B$8:$B$715,"&lt;="&amp;$B707),"")</f>
        <v/>
      </c>
      <c r="T707" s="24" t="n"/>
      <c r="U707" s="24" t="n"/>
    </row>
    <row r="708">
      <c r="A708" s="2" t="inlineStr">
        <is>
          <t>MYS-87</t>
        </is>
      </c>
      <c r="B708" s="2" t="n">
        <v>16</v>
      </c>
      <c r="C708" s="2" t="inlineStr">
        <is>
          <t>IMP00730</t>
        </is>
      </c>
      <c r="D708" s="2" t="inlineStr">
        <is>
          <t>Harmony Foods Co., Ltd</t>
        </is>
      </c>
      <c r="E708" s="2" t="n">
        <v>1</v>
      </c>
      <c r="F708" s="27" t="n">
        <v>1875787.43</v>
      </c>
      <c r="G708" s="28" t="n">
        <v>0.0016</v>
      </c>
      <c r="H708" s="19" t="n">
        <v>1.223</v>
      </c>
      <c r="I708" s="29" t="n">
        <v>0</v>
      </c>
      <c r="J708" s="2" t="inlineStr">
        <is>
          <t>EXP0254</t>
        </is>
      </c>
      <c r="K708" s="2" t="n">
        <v>2</v>
      </c>
      <c r="L708" s="2" t="inlineStr">
        <is>
          <t>BRK056</t>
        </is>
      </c>
      <c r="M708" s="2" t="inlineStr">
        <is>
          <t>AIR2</t>
        </is>
      </c>
      <c r="N708" s="2" t="n">
        <v>0</v>
      </c>
      <c r="O708" s="2" t="n">
        <v>0</v>
      </c>
      <c r="P708" s="2" t="n">
        <v>0</v>
      </c>
      <c r="Q708" s="2" t="n">
        <v>0</v>
      </c>
      <c r="R708" s="30">
        <f>IF(AND($C$5&lt;&gt;"",$A708=$C$5),1,"")</f>
        <v/>
      </c>
      <c r="S708" s="21">
        <f>IF(AND($C$5&lt;&gt;"",$A708=$C$5),SUMIFS($G$8:$G$715,$A$8:$A$715,$C$5,$B$8:$B$715,"&lt;="&amp;$B708),"")</f>
        <v/>
      </c>
      <c r="T708" s="24" t="n"/>
      <c r="U708" s="24" t="n"/>
    </row>
    <row r="709">
      <c r="A709" s="2" t="inlineStr">
        <is>
          <t>MYS-87</t>
        </is>
      </c>
      <c r="B709" s="2" t="n">
        <v>17</v>
      </c>
      <c r="C709" s="2" t="inlineStr">
        <is>
          <t>IMP00072</t>
        </is>
      </c>
      <c r="D709" s="2" t="inlineStr">
        <is>
          <t>Great Vellmoor Pack Holdings Ltd</t>
        </is>
      </c>
      <c r="E709" s="2" t="n">
        <v>1</v>
      </c>
      <c r="F709" s="27" t="n">
        <v>1399309.7</v>
      </c>
      <c r="G709" s="28" t="n">
        <v>0.0012</v>
      </c>
      <c r="H709" s="19" t="n">
        <v>1.162</v>
      </c>
      <c r="I709" s="29" t="n">
        <v>0</v>
      </c>
      <c r="J709" s="2" t="inlineStr">
        <is>
          <t>EXP0336</t>
        </is>
      </c>
      <c r="K709" s="2" t="n">
        <v>5</v>
      </c>
      <c r="L709" s="2" t="inlineStr">
        <is>
          <t>BRK013</t>
        </is>
      </c>
      <c r="M709" s="2" t="inlineStr">
        <is>
          <t>AIR1</t>
        </is>
      </c>
      <c r="N709" s="2" t="n">
        <v>0</v>
      </c>
      <c r="O709" s="2" t="n">
        <v>0</v>
      </c>
      <c r="P709" s="2" t="n">
        <v>0</v>
      </c>
      <c r="Q709" s="2" t="n">
        <v>0</v>
      </c>
      <c r="R709" s="30">
        <f>IF(AND($C$5&lt;&gt;"",$A709=$C$5),1,"")</f>
        <v/>
      </c>
      <c r="S709" s="21">
        <f>IF(AND($C$5&lt;&gt;"",$A709=$C$5),SUMIFS($G$8:$G$715,$A$8:$A$715,$C$5,$B$8:$B$715,"&lt;="&amp;$B709),"")</f>
        <v/>
      </c>
      <c r="T709" s="24" t="n"/>
      <c r="U709" s="24" t="n"/>
    </row>
    <row r="710">
      <c r="A710" s="2" t="inlineStr">
        <is>
          <t>MYS-87</t>
        </is>
      </c>
      <c r="B710" s="2" t="n">
        <v>18</v>
      </c>
      <c r="C710" s="2" t="inlineStr">
        <is>
          <t>IMP00116</t>
        </is>
      </c>
      <c r="D710" s="2" t="inlineStr">
        <is>
          <t>Dunmore Steel Co., Ltd</t>
        </is>
      </c>
      <c r="E710" s="2" t="n">
        <v>1</v>
      </c>
      <c r="F710" s="27" t="n">
        <v>1331380.36</v>
      </c>
      <c r="G710" s="28" t="n">
        <v>0.0011</v>
      </c>
      <c r="H710" s="19" t="n">
        <v>1.945</v>
      </c>
      <c r="I710" s="29" t="n">
        <v>0</v>
      </c>
      <c r="J710" s="2" t="inlineStr">
        <is>
          <t>EXP0212</t>
        </is>
      </c>
      <c r="K710" s="2" t="n">
        <v>4</v>
      </c>
      <c r="L710" s="2" t="inlineStr">
        <is>
          <t>BRK006</t>
        </is>
      </c>
      <c r="M710" s="2" t="inlineStr">
        <is>
          <t>PORT2</t>
        </is>
      </c>
      <c r="N710" s="2" t="n">
        <v>0</v>
      </c>
      <c r="O710" s="2" t="n">
        <v>0</v>
      </c>
      <c r="P710" s="2" t="n">
        <v>0</v>
      </c>
      <c r="Q710" s="2" t="n">
        <v>0</v>
      </c>
      <c r="R710" s="30">
        <f>IF(AND($C$5&lt;&gt;"",$A710=$C$5),1,"")</f>
        <v/>
      </c>
      <c r="S710" s="21">
        <f>IF(AND($C$5&lt;&gt;"",$A710=$C$5),SUMIFS($G$8:$G$715,$A$8:$A$715,$C$5,$B$8:$B$715,"&lt;="&amp;$B710),"")</f>
        <v/>
      </c>
      <c r="T710" s="24" t="n"/>
      <c r="U710" s="24" t="n"/>
    </row>
    <row r="711">
      <c r="A711" s="2" t="inlineStr">
        <is>
          <t>MYS-87</t>
        </is>
      </c>
      <c r="B711" s="2" t="n">
        <v>19</v>
      </c>
      <c r="C711" s="2" t="inlineStr">
        <is>
          <t>IMP01256</t>
        </is>
      </c>
      <c r="D711" s="2" t="inlineStr">
        <is>
          <t>Jade Steel Holdings Ltd</t>
        </is>
      </c>
      <c r="E711" s="2" t="n">
        <v>1</v>
      </c>
      <c r="F711" s="27" t="n">
        <v>1138158.43</v>
      </c>
      <c r="G711" s="28" t="n">
        <v>0.001</v>
      </c>
      <c r="H711" s="19" t="n">
        <v>2.049</v>
      </c>
      <c r="I711" s="29" t="n">
        <v>0</v>
      </c>
      <c r="J711" s="2" t="inlineStr">
        <is>
          <t>EXP0254</t>
        </is>
      </c>
      <c r="K711" s="2" t="n">
        <v>2</v>
      </c>
      <c r="L711" s="2" t="inlineStr">
        <is>
          <t>BRK047</t>
        </is>
      </c>
      <c r="M711" s="2" t="inlineStr">
        <is>
          <t>PORT3</t>
        </is>
      </c>
      <c r="N711" s="2" t="n">
        <v>0</v>
      </c>
      <c r="O711" s="2" t="n">
        <v>0</v>
      </c>
      <c r="P711" s="2" t="n">
        <v>0</v>
      </c>
      <c r="Q711" s="2" t="n">
        <v>0</v>
      </c>
      <c r="R711" s="30">
        <f>IF(AND($C$5&lt;&gt;"",$A711=$C$5),1,"")</f>
        <v/>
      </c>
      <c r="S711" s="21">
        <f>IF(AND($C$5&lt;&gt;"",$A711=$C$5),SUMIFS($G$8:$G$715,$A$8:$A$715,$C$5,$B$8:$B$715,"&lt;="&amp;$B711),"")</f>
        <v/>
      </c>
      <c r="T711" s="24" t="n"/>
      <c r="U711" s="24" t="n"/>
    </row>
    <row r="712">
      <c r="A712" s="2" t="inlineStr">
        <is>
          <t>MYS-87</t>
        </is>
      </c>
      <c r="B712" s="2" t="n">
        <v>20</v>
      </c>
      <c r="C712" s="2" t="inlineStr">
        <is>
          <t>IMP00889</t>
        </is>
      </c>
      <c r="D712" s="2" t="inlineStr">
        <is>
          <t>Golden Industries International Ltd</t>
        </is>
      </c>
      <c r="E712" s="2" t="n">
        <v>2</v>
      </c>
      <c r="F712" s="27" t="n">
        <v>1053826.85</v>
      </c>
      <c r="G712" s="28" t="n">
        <v>0.0009</v>
      </c>
      <c r="H712" s="19" t="n">
        <v>0.9805</v>
      </c>
      <c r="I712" s="29" t="n">
        <v>0</v>
      </c>
      <c r="J712" s="2" t="inlineStr">
        <is>
          <t>EXP0212</t>
        </is>
      </c>
      <c r="K712" s="2" t="n">
        <v>4</v>
      </c>
      <c r="L712" s="2" t="inlineStr">
        <is>
          <t>BRK044</t>
        </is>
      </c>
      <c r="M712" s="2" t="inlineStr">
        <is>
          <t>LAND4</t>
        </is>
      </c>
      <c r="N712" s="2" t="n">
        <v>0</v>
      </c>
      <c r="O712" s="2" t="n">
        <v>0</v>
      </c>
      <c r="P712" s="2" t="n">
        <v>0</v>
      </c>
      <c r="Q712" s="2" t="n">
        <v>0</v>
      </c>
      <c r="R712" s="30">
        <f>IF(AND($C$5&lt;&gt;"",$A712=$C$5),1,"")</f>
        <v/>
      </c>
      <c r="S712" s="21">
        <f>IF(AND($C$5&lt;&gt;"",$A712=$C$5),SUMIFS($G$8:$G$715,$A$8:$A$715,$C$5,$B$8:$B$715,"&lt;="&amp;$B712),"")</f>
        <v/>
      </c>
      <c r="T712" s="24" t="n"/>
      <c r="U712" s="24" t="n"/>
    </row>
    <row r="713">
      <c r="A713" s="2" t="inlineStr">
        <is>
          <t>MYS-87</t>
        </is>
      </c>
      <c r="B713" s="2" t="n">
        <v>21</v>
      </c>
      <c r="C713" s="2" t="inlineStr">
        <is>
          <t>IMP00832</t>
        </is>
      </c>
      <c r="D713" s="2" t="inlineStr">
        <is>
          <t>Central Supply Holdings Ltd</t>
        </is>
      </c>
      <c r="E713" s="2" t="n">
        <v>1</v>
      </c>
      <c r="F713" s="27" t="n">
        <v>796379.74</v>
      </c>
      <c r="G713" s="28" t="n">
        <v>0.0007</v>
      </c>
      <c r="H713" s="19" t="n">
        <v>1.38</v>
      </c>
      <c r="I713" s="29" t="n">
        <v>0</v>
      </c>
      <c r="J713" s="2" t="inlineStr">
        <is>
          <t>EXP0558</t>
        </is>
      </c>
      <c r="K713" s="2" t="n">
        <v>1</v>
      </c>
      <c r="L713" s="2" t="inlineStr">
        <is>
          <t>BRK041</t>
        </is>
      </c>
      <c r="M713" s="2" t="inlineStr">
        <is>
          <t>PORT3</t>
        </is>
      </c>
      <c r="N713" s="2" t="n">
        <v>0</v>
      </c>
      <c r="O713" s="2" t="n">
        <v>0</v>
      </c>
      <c r="P713" s="2" t="n">
        <v>0</v>
      </c>
      <c r="Q713" s="2" t="n">
        <v>0</v>
      </c>
      <c r="R713" s="30">
        <f>IF(AND($C$5&lt;&gt;"",$A713=$C$5),1,"")</f>
        <v/>
      </c>
      <c r="S713" s="21">
        <f>IF(AND($C$5&lt;&gt;"",$A713=$C$5),SUMIFS($G$8:$G$715,$A$8:$A$715,$C$5,$B$8:$B$715,"&lt;="&amp;$B713),"")</f>
        <v/>
      </c>
      <c r="T713" s="24" t="n"/>
      <c r="U713" s="24" t="n"/>
    </row>
    <row r="714">
      <c r="A714" s="2" t="inlineStr">
        <is>
          <t>MYS-87</t>
        </is>
      </c>
      <c r="B714" s="2" t="n">
        <v>22</v>
      </c>
      <c r="C714" s="2" t="inlineStr">
        <is>
          <t>IMP01424</t>
        </is>
      </c>
      <c r="D714" s="2" t="inlineStr">
        <is>
          <t>Phoenix Glow International Ltd</t>
        </is>
      </c>
      <c r="E714" s="2" t="n">
        <v>1</v>
      </c>
      <c r="F714" s="27" t="n">
        <v>581139.84</v>
      </c>
      <c r="G714" s="28" t="n">
        <v>0.0005</v>
      </c>
      <c r="H714" s="19" t="n">
        <v>1.111</v>
      </c>
      <c r="I714" s="29" t="n">
        <v>0</v>
      </c>
      <c r="J714" s="2" t="inlineStr">
        <is>
          <t>EXP0109</t>
        </is>
      </c>
      <c r="K714" s="2" t="n">
        <v>2</v>
      </c>
      <c r="L714" s="2" t="inlineStr">
        <is>
          <t>BRK071</t>
        </is>
      </c>
      <c r="M714" s="2" t="inlineStr">
        <is>
          <t>PORT1</t>
        </is>
      </c>
      <c r="N714" s="2" t="n">
        <v>0</v>
      </c>
      <c r="O714" s="2" t="n">
        <v>0</v>
      </c>
      <c r="P714" s="2" t="n">
        <v>0</v>
      </c>
      <c r="Q714" s="2" t="n">
        <v>0</v>
      </c>
      <c r="R714" s="30">
        <f>IF(AND($C$5&lt;&gt;"",$A714=$C$5),1,"")</f>
        <v/>
      </c>
      <c r="S714" s="21">
        <f>IF(AND($C$5&lt;&gt;"",$A714=$C$5),SUMIFS($G$8:$G$715,$A$8:$A$715,$C$5,$B$8:$B$715,"&lt;="&amp;$B714),"")</f>
        <v/>
      </c>
      <c r="T714" s="24" t="n"/>
      <c r="U714" s="24" t="n"/>
    </row>
    <row r="715">
      <c r="A715" s="2" t="inlineStr">
        <is>
          <t>MYS-87</t>
        </is>
      </c>
      <c r="B715" s="2" t="n">
        <v>23</v>
      </c>
      <c r="C715" s="2" t="inlineStr">
        <is>
          <t>IMP01170</t>
        </is>
      </c>
      <c r="D715" s="2" t="inlineStr">
        <is>
          <t>Central Supply International Ltd</t>
        </is>
      </c>
      <c r="E715" s="2" t="n">
        <v>1</v>
      </c>
      <c r="F715" s="27" t="n">
        <v>325616.93</v>
      </c>
      <c r="G715" s="28" t="n">
        <v>0.0003</v>
      </c>
      <c r="H715" s="19" t="n">
        <v>0.82</v>
      </c>
      <c r="I715" s="29" t="n">
        <v>0</v>
      </c>
      <c r="J715" s="2" t="inlineStr">
        <is>
          <t>EXP0181</t>
        </is>
      </c>
      <c r="K715" s="2" t="n">
        <v>3</v>
      </c>
      <c r="L715" s="2" t="inlineStr">
        <is>
          <t>BRK025</t>
        </is>
      </c>
      <c r="M715" s="2" t="inlineStr">
        <is>
          <t>PORT1</t>
        </is>
      </c>
      <c r="N715" s="2" t="n">
        <v>1</v>
      </c>
      <c r="O715" s="2" t="n">
        <v>0</v>
      </c>
      <c r="P715" s="2" t="n">
        <v>0</v>
      </c>
      <c r="Q715" s="2" t="n">
        <v>0</v>
      </c>
      <c r="R715" s="30">
        <f>IF(AND($C$5&lt;&gt;"",$A715=$C$5),1,"")</f>
        <v/>
      </c>
      <c r="S715" s="21">
        <f>IF(AND($C$5&lt;&gt;"",$A715=$C$5),SUMIFS($G$8:$G$715,$A$8:$A$715,$C$5,$B$8:$B$715,"&lt;="&amp;$B715),"")</f>
        <v/>
      </c>
      <c r="T715" s="24" t="n"/>
      <c r="U715" s="24"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row>
    <row r="717">
      <c r="A717" s="9" t="inlineStr">
        <is>
          <t>The worked case: type the corridor of the worked case in the yellow cell and add the value shares of its ranks 1 to 5 (the grey running share does it for you). Then type your own corridor and filter on it.</t>
        </is>
      </c>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row>
    <row r="718">
      <c r="A718" s="9" t="inlineStr">
        <is>
          <t>A reason code per pick: price, two price levels, seller, new, broker, office, shared address, bunching, alternating. In a corridor where everyone prices low, rank by what is at stake: value first, then the reason. The one never to open prices like its peers. The Trader sheet holds the two trader recipes for every importer.</t>
        </is>
      </c>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row>
  </sheetData>
  <autoFilter ref="A7:U715"/>
  <mergeCells count="1">
    <mergeCell ref="A4:T4"/>
  </mergeCells>
  <dataValidations count="1">
    <dataValidation sqref="C5" showDropDown="0" showInputMessage="0" showErrorMessage="0" allowBlank="1" type="list">
      <formula1>"CHN-17,CHN-33,CHN-39,CHN-52,CHN-61,CHN-72,CHN-85,CHN-87,IND-17,IND-33,IND-39,IND-52,IND-61,IND-72,IND-85,IND-87,MYS-17,MYS-33,MYS-39,MYS-52,MYS-61,MYS-72,MYS-85,MYS-87"</formula1>
    </dataValidation>
  </dataValidations>
  <pageMargins left="0.75" right="0.75" top="1" bottom="1" header="0.5" footer="0.5"/>
  <pageSetup orientation="landscape" fitToWidth="1"/>
  <headerFooter>
    <oddHeader/>
    <oddFooter>&amp;LIMF · Data and AI for Customs&amp;R&amp;P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1509"/>
  <sheetViews>
    <sheetView workbookViewId="0">
      <pane ySplit="7" topLeftCell="A8" activePane="bottomLeft" state="frozen"/>
      <selection pane="bottomLeft" activeCell="A1" sqref="A1"/>
    </sheetView>
  </sheetViews>
  <sheetFormatPr baseColWidth="8" defaultRowHeight="15"/>
  <cols>
    <col width="10" customWidth="1" min="1" max="1"/>
    <col width="7" customWidth="1" min="2" max="2"/>
    <col width="10" customWidth="1" min="3" max="3"/>
    <col width="10" customWidth="1" min="4" max="4"/>
    <col width="10" customWidth="1" min="5" max="5"/>
    <col width="10" customWidth="1" min="6" max="6"/>
    <col width="10" customWidth="1" min="7" max="7"/>
    <col width="12" customWidth="1" min="8" max="8"/>
    <col width="12" customWidth="1" min="9" max="9"/>
  </cols>
  <sheetData>
    <row r="1">
      <c r="A1" s="1" t="inlineStr">
        <is>
          <t>The trader recipes: every importer's months 1-18 lines, no outcome</t>
        </is>
      </c>
      <c r="B1" s="2" t="n"/>
      <c r="C1" s="2" t="n"/>
      <c r="D1" s="2" t="n"/>
      <c r="E1" s="2" t="n"/>
      <c r="F1" s="2" t="n"/>
      <c r="G1" s="2" t="n"/>
      <c r="H1" s="2" t="n"/>
      <c r="I1" s="2" t="n"/>
      <c r="J1" s="2" t="n"/>
    </row>
    <row r="2">
      <c r="A2" s="15" t="inlineStr">
        <is>
          <t>Two habits that point at a trader rather than a line. Grey: the two flags recomputed from the columns beside them.</t>
        </is>
      </c>
      <c r="B2" s="2" t="n"/>
      <c r="C2" s="2" t="n"/>
      <c r="D2" s="2" t="n"/>
      <c r="E2" s="2" t="n"/>
      <c r="F2" s="2" t="n"/>
      <c r="G2" s="2" t="n"/>
      <c r="H2" s="2" t="n"/>
      <c r="I2" s="2" t="n"/>
      <c r="J2" s="2" t="n"/>
    </row>
    <row r="3">
      <c r="A3" s="2" t="n"/>
      <c r="B3" s="2" t="n"/>
      <c r="C3" s="2" t="n"/>
      <c r="D3" s="2" t="n"/>
      <c r="E3" s="2" t="n"/>
      <c r="F3" s="2" t="n"/>
      <c r="G3" s="2" t="n"/>
      <c r="H3" s="2" t="n"/>
      <c r="I3" s="2" t="n"/>
      <c r="J3" s="2" t="n"/>
    </row>
    <row r="4" ht="46" customHeight="1">
      <c r="A4" s="5" t="inlineStr">
        <is>
          <t>How each number was computed, on all of an importer's lines of months 1-18: lines; median share of peers; lines under 0.75 of peers; importers at the same customs address (the address as declared, tidied: lower case, no punctuation, no unit number). Habitually priced low: 5 lines or more and a median share under 0.80. Two price levels: 8 lines or more and between 25% and 75% of them under 0.75 of peers.</t>
        </is>
      </c>
      <c r="B4" s="2" t="n"/>
      <c r="C4" s="2" t="n"/>
      <c r="D4" s="2" t="n"/>
      <c r="E4" s="2" t="n"/>
      <c r="F4" s="2" t="n"/>
      <c r="G4" s="2" t="n"/>
      <c r="H4" s="2" t="n"/>
      <c r="I4" s="2" t="n"/>
      <c r="J4" s="2" t="n"/>
    </row>
    <row r="5">
      <c r="A5" s="2" t="n"/>
      <c r="B5" s="2" t="n"/>
      <c r="C5" s="2" t="n"/>
      <c r="D5" s="2" t="n"/>
      <c r="E5" s="2" t="n"/>
      <c r="F5" s="2" t="n"/>
      <c r="G5" s="2" t="n"/>
      <c r="H5" s="2" t="n"/>
      <c r="I5" s="2" t="n"/>
      <c r="J5" s="2" t="n"/>
    </row>
    <row r="6" ht="32" customHeight="1">
      <c r="A6" s="16" t="inlineStr">
        <is>
          <t>importer</t>
        </is>
      </c>
      <c r="B6" s="16" t="inlineStr">
        <is>
          <t>lines</t>
        </is>
      </c>
      <c r="C6" s="16" t="inlineStr">
        <is>
          <t>median share of peers</t>
        </is>
      </c>
      <c r="D6" s="16" t="inlineStr">
        <is>
          <t>lines under 0.75 of peers</t>
        </is>
      </c>
      <c r="E6" s="16" t="inlineStr">
        <is>
          <t>importers at the address</t>
        </is>
      </c>
      <c r="F6" s="16" t="inlineStr">
        <is>
          <t>habitually priced low</t>
        </is>
      </c>
      <c r="G6" s="16" t="inlineStr">
        <is>
          <t>two price levels</t>
        </is>
      </c>
      <c r="H6" s="25" t="inlineStr">
        <is>
          <t>priced low, recomputed</t>
        </is>
      </c>
      <c r="I6" s="25" t="inlineStr">
        <is>
          <t>two levels, recomputed</t>
        </is>
      </c>
      <c r="J6" s="2" t="n"/>
    </row>
    <row r="7">
      <c r="A7" s="17" t="inlineStr">
        <is>
          <t>importer_id</t>
        </is>
      </c>
      <c r="B7" s="17" t="inlineStr">
        <is>
          <t>lines_h1</t>
        </is>
      </c>
      <c r="C7" s="17" t="inlineStr">
        <is>
          <t>med_ratio_h1</t>
        </is>
      </c>
      <c r="D7" s="17" t="inlineStr">
        <is>
          <t>low_share_h1</t>
        </is>
      </c>
      <c r="E7" s="17" t="inlineStr">
        <is>
          <t>address_shared_n</t>
        </is>
      </c>
      <c r="F7" s="17" t="inlineStr">
        <is>
          <t>price_habit</t>
        </is>
      </c>
      <c r="G7" s="17" t="inlineStr">
        <is>
          <t>two_levels</t>
        </is>
      </c>
      <c r="H7" s="26" t="inlineStr">
        <is>
          <t>price_habit_check</t>
        </is>
      </c>
      <c r="I7" s="26" t="inlineStr">
        <is>
          <t>two_levels_check</t>
        </is>
      </c>
      <c r="J7" s="2" t="n"/>
    </row>
    <row r="8">
      <c r="A8" s="2" t="inlineStr">
        <is>
          <t>IMP00001</t>
        </is>
      </c>
      <c r="B8" s="2" t="n">
        <v>2</v>
      </c>
      <c r="C8" s="19" t="n">
        <v>1.0285</v>
      </c>
      <c r="D8" s="29" t="n">
        <v>0</v>
      </c>
      <c r="E8" s="2" t="n">
        <v>2</v>
      </c>
      <c r="F8" s="2" t="n">
        <v>0</v>
      </c>
      <c r="G8" s="2" t="n">
        <v>0</v>
      </c>
      <c r="H8" s="30">
        <f>IF(AND(B8&gt;=5,C8&lt;&gt;"",C8&lt;0.8),1,0)</f>
        <v/>
      </c>
      <c r="I8" s="30">
        <f>IF(AND(B8&gt;=8,D8&lt;&gt;"",D8&gt;=0.25,D8&lt;=0.75),1,0)</f>
        <v/>
      </c>
      <c r="J8" s="2" t="n"/>
    </row>
    <row r="9">
      <c r="A9" s="2" t="inlineStr">
        <is>
          <t>IMP00002</t>
        </is>
      </c>
      <c r="B9" s="2" t="n">
        <v>26</v>
      </c>
      <c r="C9" s="19" t="n">
        <v>0.9915</v>
      </c>
      <c r="D9" s="29" t="n">
        <v>0.2308</v>
      </c>
      <c r="E9" s="2" t="n">
        <v>1</v>
      </c>
      <c r="F9" s="2" t="n">
        <v>0</v>
      </c>
      <c r="G9" s="2" t="n">
        <v>0</v>
      </c>
      <c r="H9" s="30">
        <f>IF(AND(B9&gt;=5,C9&lt;&gt;"",C9&lt;0.8),1,0)</f>
        <v/>
      </c>
      <c r="I9" s="30">
        <f>IF(AND(B9&gt;=8,D9&lt;&gt;"",D9&gt;=0.25,D9&lt;=0.75),1,0)</f>
        <v/>
      </c>
      <c r="J9" s="2" t="n"/>
    </row>
    <row r="10">
      <c r="A10" s="2" t="inlineStr">
        <is>
          <t>IMP00003</t>
        </is>
      </c>
      <c r="B10" s="2" t="n">
        <v>25</v>
      </c>
      <c r="C10" s="19" t="n">
        <v>0.908</v>
      </c>
      <c r="D10" s="29" t="n">
        <v>0.04</v>
      </c>
      <c r="E10" s="2" t="n">
        <v>1</v>
      </c>
      <c r="F10" s="2" t="n">
        <v>0</v>
      </c>
      <c r="G10" s="2" t="n">
        <v>0</v>
      </c>
      <c r="H10" s="30">
        <f>IF(AND(B10&gt;=5,C10&lt;&gt;"",C10&lt;0.8),1,0)</f>
        <v/>
      </c>
      <c r="I10" s="30">
        <f>IF(AND(B10&gt;=8,D10&lt;&gt;"",D10&gt;=0.25,D10&lt;=0.75),1,0)</f>
        <v/>
      </c>
      <c r="J10" s="2" t="n"/>
    </row>
    <row r="11">
      <c r="A11" s="2" t="inlineStr">
        <is>
          <t>IMP00004</t>
        </is>
      </c>
      <c r="B11" s="2" t="n">
        <v>23</v>
      </c>
      <c r="C11" s="19" t="n">
        <v>1.087</v>
      </c>
      <c r="D11" s="29" t="n">
        <v>0.0435</v>
      </c>
      <c r="E11" s="2" t="n">
        <v>1</v>
      </c>
      <c r="F11" s="2" t="n">
        <v>0</v>
      </c>
      <c r="G11" s="2" t="n">
        <v>0</v>
      </c>
      <c r="H11" s="30">
        <f>IF(AND(B11&gt;=5,C11&lt;&gt;"",C11&lt;0.8),1,0)</f>
        <v/>
      </c>
      <c r="I11" s="30">
        <f>IF(AND(B11&gt;=8,D11&lt;&gt;"",D11&gt;=0.25,D11&lt;=0.75),1,0)</f>
        <v/>
      </c>
      <c r="J11" s="2" t="n"/>
    </row>
    <row r="12">
      <c r="A12" s="2" t="inlineStr">
        <is>
          <t>IMP00005</t>
        </is>
      </c>
      <c r="B12" s="2" t="n">
        <v>4</v>
      </c>
      <c r="C12" s="19" t="n">
        <v>1.437</v>
      </c>
      <c r="D12" s="29" t="n">
        <v>0</v>
      </c>
      <c r="E12" s="2" t="n">
        <v>9</v>
      </c>
      <c r="F12" s="2" t="n">
        <v>0</v>
      </c>
      <c r="G12" s="2" t="n">
        <v>0</v>
      </c>
      <c r="H12" s="30">
        <f>IF(AND(B12&gt;=5,C12&lt;&gt;"",C12&lt;0.8),1,0)</f>
        <v/>
      </c>
      <c r="I12" s="30">
        <f>IF(AND(B12&gt;=8,D12&lt;&gt;"",D12&gt;=0.25,D12&lt;=0.75),1,0)</f>
        <v/>
      </c>
      <c r="J12" s="2" t="n"/>
    </row>
    <row r="13">
      <c r="A13" s="2" t="inlineStr">
        <is>
          <t>IMP00006</t>
        </is>
      </c>
      <c r="B13" s="2" t="n">
        <v>2</v>
      </c>
      <c r="C13" s="19" t="n">
        <v>1.0965</v>
      </c>
      <c r="D13" s="29" t="n">
        <v>0</v>
      </c>
      <c r="E13" s="2" t="n">
        <v>1</v>
      </c>
      <c r="F13" s="2" t="n">
        <v>0</v>
      </c>
      <c r="G13" s="2" t="n">
        <v>0</v>
      </c>
      <c r="H13" s="30">
        <f>IF(AND(B13&gt;=5,C13&lt;&gt;"",C13&lt;0.8),1,0)</f>
        <v/>
      </c>
      <c r="I13" s="30">
        <f>IF(AND(B13&gt;=8,D13&lt;&gt;"",D13&gt;=0.25,D13&lt;=0.75),1,0)</f>
        <v/>
      </c>
      <c r="J13" s="2" t="n"/>
    </row>
    <row r="14">
      <c r="A14" s="2" t="inlineStr">
        <is>
          <t>IMP00007</t>
        </is>
      </c>
      <c r="B14" s="2" t="n">
        <v>1</v>
      </c>
      <c r="C14" s="19" t="n">
        <v>1.264</v>
      </c>
      <c r="D14" s="29" t="n">
        <v>0</v>
      </c>
      <c r="E14" s="2" t="n">
        <v>2</v>
      </c>
      <c r="F14" s="2" t="n">
        <v>0</v>
      </c>
      <c r="G14" s="2" t="n">
        <v>0</v>
      </c>
      <c r="H14" s="30">
        <f>IF(AND(B14&gt;=5,C14&lt;&gt;"",C14&lt;0.8),1,0)</f>
        <v/>
      </c>
      <c r="I14" s="30">
        <f>IF(AND(B14&gt;=8,D14&lt;&gt;"",D14&gt;=0.25,D14&lt;=0.75),1,0)</f>
        <v/>
      </c>
      <c r="J14" s="2" t="n"/>
    </row>
    <row r="15">
      <c r="A15" s="2" t="inlineStr">
        <is>
          <t>IMP00008</t>
        </is>
      </c>
      <c r="B15" s="2" t="n">
        <v>26</v>
      </c>
      <c r="C15" s="19" t="n">
        <v>1.0225</v>
      </c>
      <c r="D15" s="29" t="n">
        <v>0</v>
      </c>
      <c r="E15" s="2" t="n">
        <v>1</v>
      </c>
      <c r="F15" s="2" t="n">
        <v>0</v>
      </c>
      <c r="G15" s="2" t="n">
        <v>0</v>
      </c>
      <c r="H15" s="30">
        <f>IF(AND(B15&gt;=5,C15&lt;&gt;"",C15&lt;0.8),1,0)</f>
        <v/>
      </c>
      <c r="I15" s="30">
        <f>IF(AND(B15&gt;=8,D15&lt;&gt;"",D15&gt;=0.25,D15&lt;=0.75),1,0)</f>
        <v/>
      </c>
      <c r="J15" s="2" t="n"/>
    </row>
    <row r="16">
      <c r="A16" s="2" t="inlineStr">
        <is>
          <t>IMP00009</t>
        </is>
      </c>
      <c r="B16" s="2" t="n">
        <v>3</v>
      </c>
      <c r="C16" s="19" t="n">
        <v>1.007</v>
      </c>
      <c r="D16" s="29" t="n">
        <v>0</v>
      </c>
      <c r="E16" s="2" t="n">
        <v>1</v>
      </c>
      <c r="F16" s="2" t="n">
        <v>0</v>
      </c>
      <c r="G16" s="2" t="n">
        <v>0</v>
      </c>
      <c r="H16" s="30">
        <f>IF(AND(B16&gt;=5,C16&lt;&gt;"",C16&lt;0.8),1,0)</f>
        <v/>
      </c>
      <c r="I16" s="30">
        <f>IF(AND(B16&gt;=8,D16&lt;&gt;"",D16&gt;=0.25,D16&lt;=0.75),1,0)</f>
        <v/>
      </c>
      <c r="J16" s="2" t="n"/>
    </row>
    <row r="17">
      <c r="A17" s="2" t="inlineStr">
        <is>
          <t>IMP00010</t>
        </is>
      </c>
      <c r="B17" s="2" t="n">
        <v>6</v>
      </c>
      <c r="C17" s="19" t="n">
        <v>0.8195</v>
      </c>
      <c r="D17" s="29" t="n">
        <v>0.3333</v>
      </c>
      <c r="E17" s="2" t="n">
        <v>1</v>
      </c>
      <c r="F17" s="2" t="n">
        <v>0</v>
      </c>
      <c r="G17" s="2" t="n">
        <v>0</v>
      </c>
      <c r="H17" s="30">
        <f>IF(AND(B17&gt;=5,C17&lt;&gt;"",C17&lt;0.8),1,0)</f>
        <v/>
      </c>
      <c r="I17" s="30">
        <f>IF(AND(B17&gt;=8,D17&lt;&gt;"",D17&gt;=0.25,D17&lt;=0.75),1,0)</f>
        <v/>
      </c>
      <c r="J17" s="2" t="n"/>
    </row>
    <row r="18">
      <c r="A18" s="2" t="inlineStr">
        <is>
          <t>IMP00011</t>
        </is>
      </c>
      <c r="B18" s="2" t="n">
        <v>91</v>
      </c>
      <c r="C18" s="19" t="n">
        <v>0.878</v>
      </c>
      <c r="D18" s="29" t="n">
        <v>0.1648</v>
      </c>
      <c r="E18" s="2" t="n">
        <v>13</v>
      </c>
      <c r="F18" s="2" t="n">
        <v>0</v>
      </c>
      <c r="G18" s="2" t="n">
        <v>0</v>
      </c>
      <c r="H18" s="30">
        <f>IF(AND(B18&gt;=5,C18&lt;&gt;"",C18&lt;0.8),1,0)</f>
        <v/>
      </c>
      <c r="I18" s="30">
        <f>IF(AND(B18&gt;=8,D18&lt;&gt;"",D18&gt;=0.25,D18&lt;=0.75),1,0)</f>
        <v/>
      </c>
      <c r="J18" s="2" t="n"/>
    </row>
    <row r="19">
      <c r="A19" s="2" t="inlineStr">
        <is>
          <t>IMP00012</t>
        </is>
      </c>
      <c r="B19" s="2" t="n">
        <v>9</v>
      </c>
      <c r="C19" s="19" t="n">
        <v>0.903</v>
      </c>
      <c r="D19" s="29" t="n">
        <v>0</v>
      </c>
      <c r="E19" s="2" t="n">
        <v>1</v>
      </c>
      <c r="F19" s="2" t="n">
        <v>0</v>
      </c>
      <c r="G19" s="2" t="n">
        <v>0</v>
      </c>
      <c r="H19" s="30">
        <f>IF(AND(B19&gt;=5,C19&lt;&gt;"",C19&lt;0.8),1,0)</f>
        <v/>
      </c>
      <c r="I19" s="30">
        <f>IF(AND(B19&gt;=8,D19&lt;&gt;"",D19&gt;=0.25,D19&lt;=0.75),1,0)</f>
        <v/>
      </c>
      <c r="J19" s="2" t="n"/>
    </row>
    <row r="20">
      <c r="A20" s="2" t="inlineStr">
        <is>
          <t>IMP00013</t>
        </is>
      </c>
      <c r="B20" s="2" t="n">
        <v>126</v>
      </c>
      <c r="C20" s="19" t="n">
        <v>1</v>
      </c>
      <c r="D20" s="29" t="n">
        <v>0.007900000000000001</v>
      </c>
      <c r="E20" s="2" t="n">
        <v>1</v>
      </c>
      <c r="F20" s="2" t="n">
        <v>0</v>
      </c>
      <c r="G20" s="2" t="n">
        <v>0</v>
      </c>
      <c r="H20" s="30">
        <f>IF(AND(B20&gt;=5,C20&lt;&gt;"",C20&lt;0.8),1,0)</f>
        <v/>
      </c>
      <c r="I20" s="30">
        <f>IF(AND(B20&gt;=8,D20&lt;&gt;"",D20&gt;=0.25,D20&lt;=0.75),1,0)</f>
        <v/>
      </c>
      <c r="J20" s="2" t="n"/>
    </row>
    <row r="21">
      <c r="A21" s="2" t="inlineStr">
        <is>
          <t>IMP00014</t>
        </is>
      </c>
      <c r="B21" s="2" t="n">
        <v>0</v>
      </c>
      <c r="C21" s="19" t="n"/>
      <c r="D21" s="29" t="n"/>
      <c r="E21" s="2" t="n">
        <v>0</v>
      </c>
      <c r="F21" s="2" t="n">
        <v>0</v>
      </c>
      <c r="G21" s="2" t="n">
        <v>0</v>
      </c>
      <c r="H21" s="30">
        <f>IF(AND(B21&gt;=5,C21&lt;&gt;"",C21&lt;0.8),1,0)</f>
        <v/>
      </c>
      <c r="I21" s="30">
        <f>IF(AND(B21&gt;=8,D21&lt;&gt;"",D21&gt;=0.25,D21&lt;=0.75),1,0)</f>
        <v/>
      </c>
      <c r="J21" s="2" t="n"/>
    </row>
    <row r="22">
      <c r="A22" s="2" t="inlineStr">
        <is>
          <t>IMP00015</t>
        </is>
      </c>
      <c r="B22" s="2" t="n">
        <v>5</v>
      </c>
      <c r="C22" s="19" t="n">
        <v>0.862</v>
      </c>
      <c r="D22" s="29" t="n">
        <v>0.2</v>
      </c>
      <c r="E22" s="2" t="n">
        <v>1</v>
      </c>
      <c r="F22" s="2" t="n">
        <v>0</v>
      </c>
      <c r="G22" s="2" t="n">
        <v>0</v>
      </c>
      <c r="H22" s="30">
        <f>IF(AND(B22&gt;=5,C22&lt;&gt;"",C22&lt;0.8),1,0)</f>
        <v/>
      </c>
      <c r="I22" s="30">
        <f>IF(AND(B22&gt;=8,D22&lt;&gt;"",D22&gt;=0.25,D22&lt;=0.75),1,0)</f>
        <v/>
      </c>
      <c r="J22" s="2" t="n"/>
    </row>
    <row r="23">
      <c r="A23" s="2" t="inlineStr">
        <is>
          <t>IMP00016</t>
        </is>
      </c>
      <c r="B23" s="2" t="n">
        <v>5</v>
      </c>
      <c r="C23" s="19" t="n">
        <v>1.821</v>
      </c>
      <c r="D23" s="29" t="n">
        <v>0.2</v>
      </c>
      <c r="E23" s="2" t="n">
        <v>1</v>
      </c>
      <c r="F23" s="2" t="n">
        <v>0</v>
      </c>
      <c r="G23" s="2" t="n">
        <v>0</v>
      </c>
      <c r="H23" s="30">
        <f>IF(AND(B23&gt;=5,C23&lt;&gt;"",C23&lt;0.8),1,0)</f>
        <v/>
      </c>
      <c r="I23" s="30">
        <f>IF(AND(B23&gt;=8,D23&lt;&gt;"",D23&gt;=0.25,D23&lt;=0.75),1,0)</f>
        <v/>
      </c>
      <c r="J23" s="2" t="n"/>
    </row>
    <row r="24">
      <c r="A24" s="2" t="inlineStr">
        <is>
          <t>IMP00017</t>
        </is>
      </c>
      <c r="B24" s="2" t="n">
        <v>32</v>
      </c>
      <c r="C24" s="19" t="n">
        <v>0.6885</v>
      </c>
      <c r="D24" s="29" t="n">
        <v>0.625</v>
      </c>
      <c r="E24" s="2" t="n">
        <v>1</v>
      </c>
      <c r="F24" s="2" t="n">
        <v>1</v>
      </c>
      <c r="G24" s="2" t="n">
        <v>1</v>
      </c>
      <c r="H24" s="30">
        <f>IF(AND(B24&gt;=5,C24&lt;&gt;"",C24&lt;0.8),1,0)</f>
        <v/>
      </c>
      <c r="I24" s="30">
        <f>IF(AND(B24&gt;=8,D24&lt;&gt;"",D24&gt;=0.25,D24&lt;=0.75),1,0)</f>
        <v/>
      </c>
      <c r="J24" s="2" t="n"/>
    </row>
    <row r="25">
      <c r="A25" s="2" t="inlineStr">
        <is>
          <t>IMP00018</t>
        </is>
      </c>
      <c r="B25" s="2" t="n">
        <v>57</v>
      </c>
      <c r="C25" s="19" t="n">
        <v>1.083</v>
      </c>
      <c r="D25" s="29" t="n">
        <v>0.0175</v>
      </c>
      <c r="E25" s="2" t="n">
        <v>1</v>
      </c>
      <c r="F25" s="2" t="n">
        <v>0</v>
      </c>
      <c r="G25" s="2" t="n">
        <v>0</v>
      </c>
      <c r="H25" s="30">
        <f>IF(AND(B25&gt;=5,C25&lt;&gt;"",C25&lt;0.8),1,0)</f>
        <v/>
      </c>
      <c r="I25" s="30">
        <f>IF(AND(B25&gt;=8,D25&lt;&gt;"",D25&gt;=0.25,D25&lt;=0.75),1,0)</f>
        <v/>
      </c>
      <c r="J25" s="2" t="n"/>
    </row>
    <row r="26">
      <c r="A26" s="2" t="inlineStr">
        <is>
          <t>IMP00019</t>
        </is>
      </c>
      <c r="B26" s="2" t="n">
        <v>53</v>
      </c>
      <c r="C26" s="19" t="n">
        <v>0.947</v>
      </c>
      <c r="D26" s="29" t="n">
        <v>0.0377</v>
      </c>
      <c r="E26" s="2" t="n">
        <v>1</v>
      </c>
      <c r="F26" s="2" t="n">
        <v>0</v>
      </c>
      <c r="G26" s="2" t="n">
        <v>0</v>
      </c>
      <c r="H26" s="30">
        <f>IF(AND(B26&gt;=5,C26&lt;&gt;"",C26&lt;0.8),1,0)</f>
        <v/>
      </c>
      <c r="I26" s="30">
        <f>IF(AND(B26&gt;=8,D26&lt;&gt;"",D26&gt;=0.25,D26&lt;=0.75),1,0)</f>
        <v/>
      </c>
      <c r="J26" s="2" t="n"/>
    </row>
    <row r="27">
      <c r="A27" s="2" t="inlineStr">
        <is>
          <t>IMP00020</t>
        </is>
      </c>
      <c r="B27" s="2" t="n">
        <v>41</v>
      </c>
      <c r="C27" s="19" t="n">
        <v>1.098</v>
      </c>
      <c r="D27" s="29" t="n">
        <v>0.0732</v>
      </c>
      <c r="E27" s="2" t="n">
        <v>1</v>
      </c>
      <c r="F27" s="2" t="n">
        <v>0</v>
      </c>
      <c r="G27" s="2" t="n">
        <v>0</v>
      </c>
      <c r="H27" s="30">
        <f>IF(AND(B27&gt;=5,C27&lt;&gt;"",C27&lt;0.8),1,0)</f>
        <v/>
      </c>
      <c r="I27" s="30">
        <f>IF(AND(B27&gt;=8,D27&lt;&gt;"",D27&gt;=0.25,D27&lt;=0.75),1,0)</f>
        <v/>
      </c>
      <c r="J27" s="2" t="n"/>
    </row>
    <row r="28">
      <c r="A28" s="2" t="inlineStr">
        <is>
          <t>IMP00021</t>
        </is>
      </c>
      <c r="B28" s="2" t="n">
        <v>17</v>
      </c>
      <c r="C28" s="19" t="n">
        <v>1.346</v>
      </c>
      <c r="D28" s="29" t="n">
        <v>0.1176</v>
      </c>
      <c r="E28" s="2" t="n">
        <v>2</v>
      </c>
      <c r="F28" s="2" t="n">
        <v>0</v>
      </c>
      <c r="G28" s="2" t="n">
        <v>0</v>
      </c>
      <c r="H28" s="30">
        <f>IF(AND(B28&gt;=5,C28&lt;&gt;"",C28&lt;0.8),1,0)</f>
        <v/>
      </c>
      <c r="I28" s="30">
        <f>IF(AND(B28&gt;=8,D28&lt;&gt;"",D28&gt;=0.25,D28&lt;=0.75),1,0)</f>
        <v/>
      </c>
      <c r="J28" s="2" t="n"/>
    </row>
    <row r="29">
      <c r="A29" s="2" t="inlineStr">
        <is>
          <t>IMP00022</t>
        </is>
      </c>
      <c r="B29" s="2" t="n">
        <v>22</v>
      </c>
      <c r="C29" s="19" t="n">
        <v>0.998</v>
      </c>
      <c r="D29" s="29" t="n">
        <v>0.0455</v>
      </c>
      <c r="E29" s="2" t="n">
        <v>1</v>
      </c>
      <c r="F29" s="2" t="n">
        <v>0</v>
      </c>
      <c r="G29" s="2" t="n">
        <v>0</v>
      </c>
      <c r="H29" s="30">
        <f>IF(AND(B29&gt;=5,C29&lt;&gt;"",C29&lt;0.8),1,0)</f>
        <v/>
      </c>
      <c r="I29" s="30">
        <f>IF(AND(B29&gt;=8,D29&lt;&gt;"",D29&gt;=0.25,D29&lt;=0.75),1,0)</f>
        <v/>
      </c>
      <c r="J29" s="2" t="n"/>
    </row>
    <row r="30">
      <c r="A30" s="2" t="inlineStr">
        <is>
          <t>IMP00023</t>
        </is>
      </c>
      <c r="B30" s="2" t="n">
        <v>226</v>
      </c>
      <c r="C30" s="19" t="n">
        <v>1.0025</v>
      </c>
      <c r="D30" s="29" t="n">
        <v>0.0619</v>
      </c>
      <c r="E30" s="2" t="n">
        <v>1</v>
      </c>
      <c r="F30" s="2" t="n">
        <v>0</v>
      </c>
      <c r="G30" s="2" t="n">
        <v>0</v>
      </c>
      <c r="H30" s="30">
        <f>IF(AND(B30&gt;=5,C30&lt;&gt;"",C30&lt;0.8),1,0)</f>
        <v/>
      </c>
      <c r="I30" s="30">
        <f>IF(AND(B30&gt;=8,D30&lt;&gt;"",D30&gt;=0.25,D30&lt;=0.75),1,0)</f>
        <v/>
      </c>
      <c r="J30" s="2" t="n"/>
    </row>
    <row r="31">
      <c r="A31" s="2" t="inlineStr">
        <is>
          <t>IMP00024</t>
        </is>
      </c>
      <c r="B31" s="2" t="n">
        <v>17</v>
      </c>
      <c r="C31" s="19" t="n">
        <v>0.944</v>
      </c>
      <c r="D31" s="29" t="n">
        <v>0</v>
      </c>
      <c r="E31" s="2" t="n">
        <v>1</v>
      </c>
      <c r="F31" s="2" t="n">
        <v>0</v>
      </c>
      <c r="G31" s="2" t="n">
        <v>0</v>
      </c>
      <c r="H31" s="30">
        <f>IF(AND(B31&gt;=5,C31&lt;&gt;"",C31&lt;0.8),1,0)</f>
        <v/>
      </c>
      <c r="I31" s="30">
        <f>IF(AND(B31&gt;=8,D31&lt;&gt;"",D31&gt;=0.25,D31&lt;=0.75),1,0)</f>
        <v/>
      </c>
      <c r="J31" s="2" t="n"/>
    </row>
    <row r="32">
      <c r="A32" s="2" t="inlineStr">
        <is>
          <t>IMP00025</t>
        </is>
      </c>
      <c r="B32" s="2" t="n">
        <v>0</v>
      </c>
      <c r="C32" s="19" t="n"/>
      <c r="D32" s="29" t="n"/>
      <c r="E32" s="2" t="n">
        <v>0</v>
      </c>
      <c r="F32" s="2" t="n">
        <v>0</v>
      </c>
      <c r="G32" s="2" t="n">
        <v>0</v>
      </c>
      <c r="H32" s="30">
        <f>IF(AND(B32&gt;=5,C32&lt;&gt;"",C32&lt;0.8),1,0)</f>
        <v/>
      </c>
      <c r="I32" s="30">
        <f>IF(AND(B32&gt;=8,D32&lt;&gt;"",D32&gt;=0.25,D32&lt;=0.75),1,0)</f>
        <v/>
      </c>
      <c r="J32" s="2" t="n"/>
    </row>
    <row r="33">
      <c r="A33" s="2" t="inlineStr">
        <is>
          <t>IMP00026</t>
        </is>
      </c>
      <c r="B33" s="2" t="n">
        <v>246</v>
      </c>
      <c r="C33" s="19" t="n">
        <v>1.1105</v>
      </c>
      <c r="D33" s="29" t="n">
        <v>0.09760000000000001</v>
      </c>
      <c r="E33" s="2" t="n">
        <v>1</v>
      </c>
      <c r="F33" s="2" t="n">
        <v>0</v>
      </c>
      <c r="G33" s="2" t="n">
        <v>0</v>
      </c>
      <c r="H33" s="30">
        <f>IF(AND(B33&gt;=5,C33&lt;&gt;"",C33&lt;0.8),1,0)</f>
        <v/>
      </c>
      <c r="I33" s="30">
        <f>IF(AND(B33&gt;=8,D33&lt;&gt;"",D33&gt;=0.25,D33&lt;=0.75),1,0)</f>
        <v/>
      </c>
      <c r="J33" s="2" t="n"/>
    </row>
    <row r="34">
      <c r="A34" s="2" t="inlineStr">
        <is>
          <t>IMP00027</t>
        </is>
      </c>
      <c r="B34" s="2" t="n">
        <v>5</v>
      </c>
      <c r="C34" s="19" t="n">
        <v>0.946</v>
      </c>
      <c r="D34" s="29" t="n">
        <v>0</v>
      </c>
      <c r="E34" s="2" t="n">
        <v>1</v>
      </c>
      <c r="F34" s="2" t="n">
        <v>0</v>
      </c>
      <c r="G34" s="2" t="n">
        <v>0</v>
      </c>
      <c r="H34" s="30">
        <f>IF(AND(B34&gt;=5,C34&lt;&gt;"",C34&lt;0.8),1,0)</f>
        <v/>
      </c>
      <c r="I34" s="30">
        <f>IF(AND(B34&gt;=8,D34&lt;&gt;"",D34&gt;=0.25,D34&lt;=0.75),1,0)</f>
        <v/>
      </c>
      <c r="J34" s="2" t="n"/>
    </row>
    <row r="35">
      <c r="A35" s="2" t="inlineStr">
        <is>
          <t>IMP00028</t>
        </is>
      </c>
      <c r="B35" s="2" t="n">
        <v>25</v>
      </c>
      <c r="C35" s="19" t="n">
        <v>1.057</v>
      </c>
      <c r="D35" s="29" t="n">
        <v>0</v>
      </c>
      <c r="E35" s="2" t="n">
        <v>1</v>
      </c>
      <c r="F35" s="2" t="n">
        <v>0</v>
      </c>
      <c r="G35" s="2" t="n">
        <v>0</v>
      </c>
      <c r="H35" s="30">
        <f>IF(AND(B35&gt;=5,C35&lt;&gt;"",C35&lt;0.8),1,0)</f>
        <v/>
      </c>
      <c r="I35" s="30">
        <f>IF(AND(B35&gt;=8,D35&lt;&gt;"",D35&gt;=0.25,D35&lt;=0.75),1,0)</f>
        <v/>
      </c>
      <c r="J35" s="2" t="n"/>
    </row>
    <row r="36">
      <c r="A36" s="2" t="inlineStr">
        <is>
          <t>IMP00029</t>
        </is>
      </c>
      <c r="B36" s="2" t="n">
        <v>22</v>
      </c>
      <c r="C36" s="19" t="n">
        <v>1.211</v>
      </c>
      <c r="D36" s="29" t="n">
        <v>0.0455</v>
      </c>
      <c r="E36" s="2" t="n">
        <v>1</v>
      </c>
      <c r="F36" s="2" t="n">
        <v>0</v>
      </c>
      <c r="G36" s="2" t="n">
        <v>0</v>
      </c>
      <c r="H36" s="30">
        <f>IF(AND(B36&gt;=5,C36&lt;&gt;"",C36&lt;0.8),1,0)</f>
        <v/>
      </c>
      <c r="I36" s="30">
        <f>IF(AND(B36&gt;=8,D36&lt;&gt;"",D36&gt;=0.25,D36&lt;=0.75),1,0)</f>
        <v/>
      </c>
      <c r="J36" s="2" t="n"/>
    </row>
    <row r="37">
      <c r="A37" s="2" t="inlineStr">
        <is>
          <t>IMP00030</t>
        </is>
      </c>
      <c r="B37" s="2" t="n">
        <v>24</v>
      </c>
      <c r="C37" s="19" t="n">
        <v>0.7185</v>
      </c>
      <c r="D37" s="29" t="n">
        <v>0.5417</v>
      </c>
      <c r="E37" s="2" t="n">
        <v>2</v>
      </c>
      <c r="F37" s="2" t="n">
        <v>1</v>
      </c>
      <c r="G37" s="2" t="n">
        <v>1</v>
      </c>
      <c r="H37" s="30">
        <f>IF(AND(B37&gt;=5,C37&lt;&gt;"",C37&lt;0.8),1,0)</f>
        <v/>
      </c>
      <c r="I37" s="30">
        <f>IF(AND(B37&gt;=8,D37&lt;&gt;"",D37&gt;=0.25,D37&lt;=0.75),1,0)</f>
        <v/>
      </c>
      <c r="J37" s="2" t="n"/>
    </row>
    <row r="38">
      <c r="A38" s="2" t="inlineStr">
        <is>
          <t>IMP00031</t>
        </is>
      </c>
      <c r="B38" s="2" t="n">
        <v>293</v>
      </c>
      <c r="C38" s="19" t="n">
        <v>1.0065</v>
      </c>
      <c r="D38" s="29" t="n">
        <v>0.0068</v>
      </c>
      <c r="E38" s="2" t="n">
        <v>1</v>
      </c>
      <c r="F38" s="2" t="n">
        <v>0</v>
      </c>
      <c r="G38" s="2" t="n">
        <v>0</v>
      </c>
      <c r="H38" s="30">
        <f>IF(AND(B38&gt;=5,C38&lt;&gt;"",C38&lt;0.8),1,0)</f>
        <v/>
      </c>
      <c r="I38" s="30">
        <f>IF(AND(B38&gt;=8,D38&lt;&gt;"",D38&gt;=0.25,D38&lt;=0.75),1,0)</f>
        <v/>
      </c>
      <c r="J38" s="2" t="n"/>
    </row>
    <row r="39">
      <c r="A39" s="2" t="inlineStr">
        <is>
          <t>IMP00032</t>
        </is>
      </c>
      <c r="B39" s="2" t="n">
        <v>286</v>
      </c>
      <c r="C39" s="19" t="n">
        <v>0.989</v>
      </c>
      <c r="D39" s="29" t="n">
        <v>0.09089999999999999</v>
      </c>
      <c r="E39" s="2" t="n">
        <v>2</v>
      </c>
      <c r="F39" s="2" t="n">
        <v>0</v>
      </c>
      <c r="G39" s="2" t="n">
        <v>0</v>
      </c>
      <c r="H39" s="30">
        <f>IF(AND(B39&gt;=5,C39&lt;&gt;"",C39&lt;0.8),1,0)</f>
        <v/>
      </c>
      <c r="I39" s="30">
        <f>IF(AND(B39&gt;=8,D39&lt;&gt;"",D39&gt;=0.25,D39&lt;=0.75),1,0)</f>
        <v/>
      </c>
      <c r="J39" s="2" t="n"/>
    </row>
    <row r="40">
      <c r="A40" s="2" t="inlineStr">
        <is>
          <t>IMP00033</t>
        </is>
      </c>
      <c r="B40" s="2" t="n">
        <v>157</v>
      </c>
      <c r="C40" s="19" t="n">
        <v>0.949</v>
      </c>
      <c r="D40" s="29" t="n">
        <v>0.0573</v>
      </c>
      <c r="E40" s="2" t="n">
        <v>2</v>
      </c>
      <c r="F40" s="2" t="n">
        <v>0</v>
      </c>
      <c r="G40" s="2" t="n">
        <v>0</v>
      </c>
      <c r="H40" s="30">
        <f>IF(AND(B40&gt;=5,C40&lt;&gt;"",C40&lt;0.8),1,0)</f>
        <v/>
      </c>
      <c r="I40" s="30">
        <f>IF(AND(B40&gt;=8,D40&lt;&gt;"",D40&gt;=0.25,D40&lt;=0.75),1,0)</f>
        <v/>
      </c>
      <c r="J40" s="2" t="n"/>
    </row>
    <row r="41">
      <c r="A41" s="2" t="inlineStr">
        <is>
          <t>IMP00034</t>
        </is>
      </c>
      <c r="B41" s="2" t="n">
        <v>2</v>
      </c>
      <c r="C41" s="19" t="n">
        <v>0.746</v>
      </c>
      <c r="D41" s="29" t="n">
        <v>0.5</v>
      </c>
      <c r="E41" s="2" t="n">
        <v>2</v>
      </c>
      <c r="F41" s="2" t="n">
        <v>0</v>
      </c>
      <c r="G41" s="2" t="n">
        <v>0</v>
      </c>
      <c r="H41" s="30">
        <f>IF(AND(B41&gt;=5,C41&lt;&gt;"",C41&lt;0.8),1,0)</f>
        <v/>
      </c>
      <c r="I41" s="30">
        <f>IF(AND(B41&gt;=8,D41&lt;&gt;"",D41&gt;=0.25,D41&lt;=0.75),1,0)</f>
        <v/>
      </c>
      <c r="J41" s="2" t="n"/>
    </row>
    <row r="42">
      <c r="A42" s="2" t="inlineStr">
        <is>
          <t>IMP00035</t>
        </is>
      </c>
      <c r="B42" s="2" t="n">
        <v>27</v>
      </c>
      <c r="C42" s="19" t="n">
        <v>0.92</v>
      </c>
      <c r="D42" s="29" t="n">
        <v>0.2222</v>
      </c>
      <c r="E42" s="2" t="n">
        <v>1</v>
      </c>
      <c r="F42" s="2" t="n">
        <v>0</v>
      </c>
      <c r="G42" s="2" t="n">
        <v>0</v>
      </c>
      <c r="H42" s="30">
        <f>IF(AND(B42&gt;=5,C42&lt;&gt;"",C42&lt;0.8),1,0)</f>
        <v/>
      </c>
      <c r="I42" s="30">
        <f>IF(AND(B42&gt;=8,D42&lt;&gt;"",D42&gt;=0.25,D42&lt;=0.75),1,0)</f>
        <v/>
      </c>
      <c r="J42" s="2" t="n"/>
    </row>
    <row r="43">
      <c r="A43" s="2" t="inlineStr">
        <is>
          <t>IMP00036</t>
        </is>
      </c>
      <c r="B43" s="2" t="n">
        <v>57</v>
      </c>
      <c r="C43" s="19" t="n">
        <v>0.962</v>
      </c>
      <c r="D43" s="29" t="n">
        <v>0.0175</v>
      </c>
      <c r="E43" s="2" t="n">
        <v>2</v>
      </c>
      <c r="F43" s="2" t="n">
        <v>0</v>
      </c>
      <c r="G43" s="2" t="n">
        <v>0</v>
      </c>
      <c r="H43" s="30">
        <f>IF(AND(B43&gt;=5,C43&lt;&gt;"",C43&lt;0.8),1,0)</f>
        <v/>
      </c>
      <c r="I43" s="30">
        <f>IF(AND(B43&gt;=8,D43&lt;&gt;"",D43&gt;=0.25,D43&lt;=0.75),1,0)</f>
        <v/>
      </c>
      <c r="J43" s="2" t="n"/>
    </row>
    <row r="44">
      <c r="A44" s="2" t="inlineStr">
        <is>
          <t>IMP00037</t>
        </is>
      </c>
      <c r="B44" s="2" t="n">
        <v>36</v>
      </c>
      <c r="C44" s="19" t="n">
        <v>1.1775</v>
      </c>
      <c r="D44" s="29" t="n">
        <v>0.0556</v>
      </c>
      <c r="E44" s="2" t="n">
        <v>1</v>
      </c>
      <c r="F44" s="2" t="n">
        <v>0</v>
      </c>
      <c r="G44" s="2" t="n">
        <v>0</v>
      </c>
      <c r="H44" s="30">
        <f>IF(AND(B44&gt;=5,C44&lt;&gt;"",C44&lt;0.8),1,0)</f>
        <v/>
      </c>
      <c r="I44" s="30">
        <f>IF(AND(B44&gt;=8,D44&lt;&gt;"",D44&gt;=0.25,D44&lt;=0.75),1,0)</f>
        <v/>
      </c>
      <c r="J44" s="2" t="n"/>
    </row>
    <row r="45">
      <c r="A45" s="2" t="inlineStr">
        <is>
          <t>IMP00038</t>
        </is>
      </c>
      <c r="B45" s="2" t="n">
        <v>123</v>
      </c>
      <c r="C45" s="19" t="n">
        <v>1.156</v>
      </c>
      <c r="D45" s="29" t="n">
        <v>0.0325</v>
      </c>
      <c r="E45" s="2" t="n">
        <v>3</v>
      </c>
      <c r="F45" s="2" t="n">
        <v>0</v>
      </c>
      <c r="G45" s="2" t="n">
        <v>0</v>
      </c>
      <c r="H45" s="30">
        <f>IF(AND(B45&gt;=5,C45&lt;&gt;"",C45&lt;0.8),1,0)</f>
        <v/>
      </c>
      <c r="I45" s="30">
        <f>IF(AND(B45&gt;=8,D45&lt;&gt;"",D45&gt;=0.25,D45&lt;=0.75),1,0)</f>
        <v/>
      </c>
      <c r="J45" s="2" t="n"/>
    </row>
    <row r="46">
      <c r="A46" s="2" t="inlineStr">
        <is>
          <t>IMP00039</t>
        </is>
      </c>
      <c r="B46" s="2" t="n">
        <v>8</v>
      </c>
      <c r="C46" s="19" t="n">
        <v>0.9535</v>
      </c>
      <c r="D46" s="29" t="n">
        <v>0.125</v>
      </c>
      <c r="E46" s="2" t="n">
        <v>1</v>
      </c>
      <c r="F46" s="2" t="n">
        <v>0</v>
      </c>
      <c r="G46" s="2" t="n">
        <v>0</v>
      </c>
      <c r="H46" s="30">
        <f>IF(AND(B46&gt;=5,C46&lt;&gt;"",C46&lt;0.8),1,0)</f>
        <v/>
      </c>
      <c r="I46" s="30">
        <f>IF(AND(B46&gt;=8,D46&lt;&gt;"",D46&gt;=0.25,D46&lt;=0.75),1,0)</f>
        <v/>
      </c>
      <c r="J46" s="2" t="n"/>
    </row>
    <row r="47">
      <c r="A47" s="2" t="inlineStr">
        <is>
          <t>IMP00040</t>
        </is>
      </c>
      <c r="B47" s="2" t="n">
        <v>1</v>
      </c>
      <c r="C47" s="19" t="n">
        <v>0.6840000000000001</v>
      </c>
      <c r="D47" s="29" t="n">
        <v>1</v>
      </c>
      <c r="E47" s="2" t="n">
        <v>2</v>
      </c>
      <c r="F47" s="2" t="n">
        <v>0</v>
      </c>
      <c r="G47" s="2" t="n">
        <v>0</v>
      </c>
      <c r="H47" s="30">
        <f>IF(AND(B47&gt;=5,C47&lt;&gt;"",C47&lt;0.8),1,0)</f>
        <v/>
      </c>
      <c r="I47" s="30">
        <f>IF(AND(B47&gt;=8,D47&lt;&gt;"",D47&gt;=0.25,D47&lt;=0.75),1,0)</f>
        <v/>
      </c>
      <c r="J47" s="2" t="n"/>
    </row>
    <row r="48">
      <c r="A48" s="2" t="inlineStr">
        <is>
          <t>IMP00041</t>
        </is>
      </c>
      <c r="B48" s="2" t="n">
        <v>1</v>
      </c>
      <c r="C48" s="19" t="n">
        <v>0.879</v>
      </c>
      <c r="D48" s="29" t="n">
        <v>0</v>
      </c>
      <c r="E48" s="2" t="n">
        <v>1</v>
      </c>
      <c r="F48" s="2" t="n">
        <v>0</v>
      </c>
      <c r="G48" s="2" t="n">
        <v>0</v>
      </c>
      <c r="H48" s="30">
        <f>IF(AND(B48&gt;=5,C48&lt;&gt;"",C48&lt;0.8),1,0)</f>
        <v/>
      </c>
      <c r="I48" s="30">
        <f>IF(AND(B48&gt;=8,D48&lt;&gt;"",D48&gt;=0.25,D48&lt;=0.75),1,0)</f>
        <v/>
      </c>
      <c r="J48" s="2" t="n"/>
    </row>
    <row r="49">
      <c r="A49" s="2" t="inlineStr">
        <is>
          <t>IMP00042</t>
        </is>
      </c>
      <c r="B49" s="2" t="n">
        <v>4</v>
      </c>
      <c r="C49" s="19" t="n">
        <v>0.8095</v>
      </c>
      <c r="D49" s="29" t="n">
        <v>0</v>
      </c>
      <c r="E49" s="2" t="n">
        <v>1</v>
      </c>
      <c r="F49" s="2" t="n">
        <v>0</v>
      </c>
      <c r="G49" s="2" t="n">
        <v>0</v>
      </c>
      <c r="H49" s="30">
        <f>IF(AND(B49&gt;=5,C49&lt;&gt;"",C49&lt;0.8),1,0)</f>
        <v/>
      </c>
      <c r="I49" s="30">
        <f>IF(AND(B49&gt;=8,D49&lt;&gt;"",D49&gt;=0.25,D49&lt;=0.75),1,0)</f>
        <v/>
      </c>
      <c r="J49" s="2" t="n"/>
    </row>
    <row r="50">
      <c r="A50" s="2" t="inlineStr">
        <is>
          <t>IMP00043</t>
        </is>
      </c>
      <c r="B50" s="2" t="n">
        <v>39</v>
      </c>
      <c r="C50" s="19" t="n">
        <v>1.127</v>
      </c>
      <c r="D50" s="29" t="n">
        <v>0.0513</v>
      </c>
      <c r="E50" s="2" t="n">
        <v>3</v>
      </c>
      <c r="F50" s="2" t="n">
        <v>0</v>
      </c>
      <c r="G50" s="2" t="n">
        <v>0</v>
      </c>
      <c r="H50" s="30">
        <f>IF(AND(B50&gt;=5,C50&lt;&gt;"",C50&lt;0.8),1,0)</f>
        <v/>
      </c>
      <c r="I50" s="30">
        <f>IF(AND(B50&gt;=8,D50&lt;&gt;"",D50&gt;=0.25,D50&lt;=0.75),1,0)</f>
        <v/>
      </c>
      <c r="J50" s="2" t="n"/>
    </row>
    <row r="51">
      <c r="A51" s="2" t="inlineStr">
        <is>
          <t>IMP00044</t>
        </is>
      </c>
      <c r="B51" s="2" t="n">
        <v>70</v>
      </c>
      <c r="C51" s="19" t="n">
        <v>1.235</v>
      </c>
      <c r="D51" s="29" t="n">
        <v>0.0143</v>
      </c>
      <c r="E51" s="2" t="n">
        <v>2</v>
      </c>
      <c r="F51" s="2" t="n">
        <v>0</v>
      </c>
      <c r="G51" s="2" t="n">
        <v>0</v>
      </c>
      <c r="H51" s="30">
        <f>IF(AND(B51&gt;=5,C51&lt;&gt;"",C51&lt;0.8),1,0)</f>
        <v/>
      </c>
      <c r="I51" s="30">
        <f>IF(AND(B51&gt;=8,D51&lt;&gt;"",D51&gt;=0.25,D51&lt;=0.75),1,0)</f>
        <v/>
      </c>
      <c r="J51" s="2" t="n"/>
    </row>
    <row r="52">
      <c r="A52" s="2" t="inlineStr">
        <is>
          <t>IMP00045</t>
        </is>
      </c>
      <c r="B52" s="2" t="n">
        <v>3</v>
      </c>
      <c r="C52" s="19" t="n">
        <v>1.197</v>
      </c>
      <c r="D52" s="29" t="n">
        <v>0</v>
      </c>
      <c r="E52" s="2" t="n">
        <v>1</v>
      </c>
      <c r="F52" s="2" t="n">
        <v>0</v>
      </c>
      <c r="G52" s="2" t="n">
        <v>0</v>
      </c>
      <c r="H52" s="30">
        <f>IF(AND(B52&gt;=5,C52&lt;&gt;"",C52&lt;0.8),1,0)</f>
        <v/>
      </c>
      <c r="I52" s="30">
        <f>IF(AND(B52&gt;=8,D52&lt;&gt;"",D52&gt;=0.25,D52&lt;=0.75),1,0)</f>
        <v/>
      </c>
      <c r="J52" s="2" t="n"/>
    </row>
    <row r="53">
      <c r="A53" s="2" t="inlineStr">
        <is>
          <t>IMP00046</t>
        </is>
      </c>
      <c r="B53" s="2" t="n">
        <v>26</v>
      </c>
      <c r="C53" s="19" t="n">
        <v>0.965</v>
      </c>
      <c r="D53" s="29" t="n">
        <v>0.1538</v>
      </c>
      <c r="E53" s="2" t="n">
        <v>3</v>
      </c>
      <c r="F53" s="2" t="n">
        <v>0</v>
      </c>
      <c r="G53" s="2" t="n">
        <v>0</v>
      </c>
      <c r="H53" s="30">
        <f>IF(AND(B53&gt;=5,C53&lt;&gt;"",C53&lt;0.8),1,0)</f>
        <v/>
      </c>
      <c r="I53" s="30">
        <f>IF(AND(B53&gt;=8,D53&lt;&gt;"",D53&gt;=0.25,D53&lt;=0.75),1,0)</f>
        <v/>
      </c>
      <c r="J53" s="2" t="n"/>
    </row>
    <row r="54">
      <c r="A54" s="2" t="inlineStr">
        <is>
          <t>IMP00047</t>
        </is>
      </c>
      <c r="B54" s="2" t="n">
        <v>3</v>
      </c>
      <c r="C54" s="19" t="n">
        <v>1.109</v>
      </c>
      <c r="D54" s="29" t="n">
        <v>0</v>
      </c>
      <c r="E54" s="2" t="n">
        <v>1</v>
      </c>
      <c r="F54" s="2" t="n">
        <v>0</v>
      </c>
      <c r="G54" s="2" t="n">
        <v>0</v>
      </c>
      <c r="H54" s="30">
        <f>IF(AND(B54&gt;=5,C54&lt;&gt;"",C54&lt;0.8),1,0)</f>
        <v/>
      </c>
      <c r="I54" s="30">
        <f>IF(AND(B54&gt;=8,D54&lt;&gt;"",D54&gt;=0.25,D54&lt;=0.75),1,0)</f>
        <v/>
      </c>
      <c r="J54" s="2" t="n"/>
    </row>
    <row r="55">
      <c r="A55" s="2" t="inlineStr">
        <is>
          <t>IMP00048</t>
        </is>
      </c>
      <c r="B55" s="2" t="n">
        <v>0</v>
      </c>
      <c r="C55" s="19" t="n"/>
      <c r="D55" s="29" t="n"/>
      <c r="E55" s="2" t="n">
        <v>0</v>
      </c>
      <c r="F55" s="2" t="n">
        <v>0</v>
      </c>
      <c r="G55" s="2" t="n">
        <v>0</v>
      </c>
      <c r="H55" s="30">
        <f>IF(AND(B55&gt;=5,C55&lt;&gt;"",C55&lt;0.8),1,0)</f>
        <v/>
      </c>
      <c r="I55" s="30">
        <f>IF(AND(B55&gt;=8,D55&lt;&gt;"",D55&gt;=0.25,D55&lt;=0.75),1,0)</f>
        <v/>
      </c>
      <c r="J55" s="2" t="n"/>
    </row>
    <row r="56">
      <c r="A56" s="2" t="inlineStr">
        <is>
          <t>IMP00049</t>
        </is>
      </c>
      <c r="B56" s="2" t="n">
        <v>0</v>
      </c>
      <c r="C56" s="19" t="n"/>
      <c r="D56" s="29" t="n"/>
      <c r="E56" s="2" t="n">
        <v>0</v>
      </c>
      <c r="F56" s="2" t="n">
        <v>0</v>
      </c>
      <c r="G56" s="2" t="n">
        <v>0</v>
      </c>
      <c r="H56" s="30">
        <f>IF(AND(B56&gt;=5,C56&lt;&gt;"",C56&lt;0.8),1,0)</f>
        <v/>
      </c>
      <c r="I56" s="30">
        <f>IF(AND(B56&gt;=8,D56&lt;&gt;"",D56&gt;=0.25,D56&lt;=0.75),1,0)</f>
        <v/>
      </c>
      <c r="J56" s="2" t="n"/>
    </row>
    <row r="57">
      <c r="A57" s="2" t="inlineStr">
        <is>
          <t>IMP00050</t>
        </is>
      </c>
      <c r="B57" s="2" t="n">
        <v>6</v>
      </c>
      <c r="C57" s="19" t="n">
        <v>1.231</v>
      </c>
      <c r="D57" s="29" t="n">
        <v>0</v>
      </c>
      <c r="E57" s="2" t="n">
        <v>1</v>
      </c>
      <c r="F57" s="2" t="n">
        <v>0</v>
      </c>
      <c r="G57" s="2" t="n">
        <v>0</v>
      </c>
      <c r="H57" s="30">
        <f>IF(AND(B57&gt;=5,C57&lt;&gt;"",C57&lt;0.8),1,0)</f>
        <v/>
      </c>
      <c r="I57" s="30">
        <f>IF(AND(B57&gt;=8,D57&lt;&gt;"",D57&gt;=0.25,D57&lt;=0.75),1,0)</f>
        <v/>
      </c>
      <c r="J57" s="2" t="n"/>
    </row>
    <row r="58">
      <c r="A58" s="2" t="inlineStr">
        <is>
          <t>IMP00051</t>
        </is>
      </c>
      <c r="B58" s="2" t="n">
        <v>3</v>
      </c>
      <c r="C58" s="19" t="n">
        <v>1.035</v>
      </c>
      <c r="D58" s="29" t="n">
        <v>0</v>
      </c>
      <c r="E58" s="2" t="n">
        <v>1</v>
      </c>
      <c r="F58" s="2" t="n">
        <v>0</v>
      </c>
      <c r="G58" s="2" t="n">
        <v>0</v>
      </c>
      <c r="H58" s="30">
        <f>IF(AND(B58&gt;=5,C58&lt;&gt;"",C58&lt;0.8),1,0)</f>
        <v/>
      </c>
      <c r="I58" s="30">
        <f>IF(AND(B58&gt;=8,D58&lt;&gt;"",D58&gt;=0.25,D58&lt;=0.75),1,0)</f>
        <v/>
      </c>
      <c r="J58" s="2" t="n"/>
    </row>
    <row r="59">
      <c r="A59" s="2" t="inlineStr">
        <is>
          <t>IMP00052</t>
        </is>
      </c>
      <c r="B59" s="2" t="n">
        <v>91</v>
      </c>
      <c r="C59" s="19" t="n">
        <v>0.916</v>
      </c>
      <c r="D59" s="29" t="n">
        <v>0.0659</v>
      </c>
      <c r="E59" s="2" t="n">
        <v>2</v>
      </c>
      <c r="F59" s="2" t="n">
        <v>0</v>
      </c>
      <c r="G59" s="2" t="n">
        <v>0</v>
      </c>
      <c r="H59" s="30">
        <f>IF(AND(B59&gt;=5,C59&lt;&gt;"",C59&lt;0.8),1,0)</f>
        <v/>
      </c>
      <c r="I59" s="30">
        <f>IF(AND(B59&gt;=8,D59&lt;&gt;"",D59&gt;=0.25,D59&lt;=0.75),1,0)</f>
        <v/>
      </c>
      <c r="J59" s="2" t="n"/>
    </row>
    <row r="60">
      <c r="A60" s="2" t="inlineStr">
        <is>
          <t>IMP00053</t>
        </is>
      </c>
      <c r="B60" s="2" t="n">
        <v>0</v>
      </c>
      <c r="C60" s="19" t="n"/>
      <c r="D60" s="29" t="n"/>
      <c r="E60" s="2" t="n">
        <v>0</v>
      </c>
      <c r="F60" s="2" t="n">
        <v>0</v>
      </c>
      <c r="G60" s="2" t="n">
        <v>0</v>
      </c>
      <c r="H60" s="30">
        <f>IF(AND(B60&gt;=5,C60&lt;&gt;"",C60&lt;0.8),1,0)</f>
        <v/>
      </c>
      <c r="I60" s="30">
        <f>IF(AND(B60&gt;=8,D60&lt;&gt;"",D60&gt;=0.25,D60&lt;=0.75),1,0)</f>
        <v/>
      </c>
      <c r="J60" s="2" t="n"/>
    </row>
    <row r="61">
      <c r="A61" s="2" t="inlineStr">
        <is>
          <t>IMP00054</t>
        </is>
      </c>
      <c r="B61" s="2" t="n">
        <v>19</v>
      </c>
      <c r="C61" s="19" t="n">
        <v>0.9465</v>
      </c>
      <c r="D61" s="29" t="n">
        <v>0.3158</v>
      </c>
      <c r="E61" s="2" t="n">
        <v>1</v>
      </c>
      <c r="F61" s="2" t="n">
        <v>0</v>
      </c>
      <c r="G61" s="2" t="n">
        <v>1</v>
      </c>
      <c r="H61" s="30">
        <f>IF(AND(B61&gt;=5,C61&lt;&gt;"",C61&lt;0.8),1,0)</f>
        <v/>
      </c>
      <c r="I61" s="30">
        <f>IF(AND(B61&gt;=8,D61&lt;&gt;"",D61&gt;=0.25,D61&lt;=0.75),1,0)</f>
        <v/>
      </c>
      <c r="J61" s="2" t="n"/>
    </row>
    <row r="62">
      <c r="A62" s="2" t="inlineStr">
        <is>
          <t>IMP00055</t>
        </is>
      </c>
      <c r="B62" s="2" t="n">
        <v>23</v>
      </c>
      <c r="C62" s="19" t="n">
        <v>0.895</v>
      </c>
      <c r="D62" s="29" t="n">
        <v>0</v>
      </c>
      <c r="E62" s="2" t="n">
        <v>1</v>
      </c>
      <c r="F62" s="2" t="n">
        <v>0</v>
      </c>
      <c r="G62" s="2" t="n">
        <v>0</v>
      </c>
      <c r="H62" s="30">
        <f>IF(AND(B62&gt;=5,C62&lt;&gt;"",C62&lt;0.8),1,0)</f>
        <v/>
      </c>
      <c r="I62" s="30">
        <f>IF(AND(B62&gt;=8,D62&lt;&gt;"",D62&gt;=0.25,D62&lt;=0.75),1,0)</f>
        <v/>
      </c>
      <c r="J62" s="2" t="n"/>
    </row>
    <row r="63">
      <c r="A63" s="2" t="inlineStr">
        <is>
          <t>IMP00056</t>
        </is>
      </c>
      <c r="B63" s="2" t="n">
        <v>61</v>
      </c>
      <c r="C63" s="19" t="n">
        <v>1.091</v>
      </c>
      <c r="D63" s="29" t="n">
        <v>0.0164</v>
      </c>
      <c r="E63" s="2" t="n">
        <v>1</v>
      </c>
      <c r="F63" s="2" t="n">
        <v>0</v>
      </c>
      <c r="G63" s="2" t="n">
        <v>0</v>
      </c>
      <c r="H63" s="30">
        <f>IF(AND(B63&gt;=5,C63&lt;&gt;"",C63&lt;0.8),1,0)</f>
        <v/>
      </c>
      <c r="I63" s="30">
        <f>IF(AND(B63&gt;=8,D63&lt;&gt;"",D63&gt;=0.25,D63&lt;=0.75),1,0)</f>
        <v/>
      </c>
      <c r="J63" s="2" t="n"/>
    </row>
    <row r="64">
      <c r="A64" s="2" t="inlineStr">
        <is>
          <t>IMP00057</t>
        </is>
      </c>
      <c r="B64" s="2" t="n">
        <v>18</v>
      </c>
      <c r="C64" s="19" t="n">
        <v>1.0905</v>
      </c>
      <c r="D64" s="29" t="n">
        <v>0.1667</v>
      </c>
      <c r="E64" s="2" t="n">
        <v>1</v>
      </c>
      <c r="F64" s="2" t="n">
        <v>0</v>
      </c>
      <c r="G64" s="2" t="n">
        <v>0</v>
      </c>
      <c r="H64" s="30">
        <f>IF(AND(B64&gt;=5,C64&lt;&gt;"",C64&lt;0.8),1,0)</f>
        <v/>
      </c>
      <c r="I64" s="30">
        <f>IF(AND(B64&gt;=8,D64&lt;&gt;"",D64&gt;=0.25,D64&lt;=0.75),1,0)</f>
        <v/>
      </c>
      <c r="J64" s="2" t="n"/>
    </row>
    <row r="65">
      <c r="A65" s="2" t="inlineStr">
        <is>
          <t>IMP00058</t>
        </is>
      </c>
      <c r="B65" s="2" t="n">
        <v>2</v>
      </c>
      <c r="C65" s="19" t="n">
        <v>1.01</v>
      </c>
      <c r="D65" s="29" t="n">
        <v>0</v>
      </c>
      <c r="E65" s="2" t="n">
        <v>1</v>
      </c>
      <c r="F65" s="2" t="n">
        <v>0</v>
      </c>
      <c r="G65" s="2" t="n">
        <v>0</v>
      </c>
      <c r="H65" s="30">
        <f>IF(AND(B65&gt;=5,C65&lt;&gt;"",C65&lt;0.8),1,0)</f>
        <v/>
      </c>
      <c r="I65" s="30">
        <f>IF(AND(B65&gt;=8,D65&lt;&gt;"",D65&gt;=0.25,D65&lt;=0.75),1,0)</f>
        <v/>
      </c>
      <c r="J65" s="2" t="n"/>
    </row>
    <row r="66">
      <c r="A66" s="2" t="inlineStr">
        <is>
          <t>IMP00059</t>
        </is>
      </c>
      <c r="B66" s="2" t="n">
        <v>451</v>
      </c>
      <c r="C66" s="19" t="n">
        <v>1.036</v>
      </c>
      <c r="D66" s="29" t="n">
        <v>0.02</v>
      </c>
      <c r="E66" s="2" t="n">
        <v>1</v>
      </c>
      <c r="F66" s="2" t="n">
        <v>0</v>
      </c>
      <c r="G66" s="2" t="n">
        <v>0</v>
      </c>
      <c r="H66" s="30">
        <f>IF(AND(B66&gt;=5,C66&lt;&gt;"",C66&lt;0.8),1,0)</f>
        <v/>
      </c>
      <c r="I66" s="30">
        <f>IF(AND(B66&gt;=8,D66&lt;&gt;"",D66&gt;=0.25,D66&lt;=0.75),1,0)</f>
        <v/>
      </c>
      <c r="J66" s="2" t="n"/>
    </row>
    <row r="67">
      <c r="A67" s="2" t="inlineStr">
        <is>
          <t>IMP00060</t>
        </is>
      </c>
      <c r="B67" s="2" t="n">
        <v>33</v>
      </c>
      <c r="C67" s="19" t="n">
        <v>0.805</v>
      </c>
      <c r="D67" s="29" t="n">
        <v>0.3636</v>
      </c>
      <c r="E67" s="2" t="n">
        <v>1</v>
      </c>
      <c r="F67" s="2" t="n">
        <v>0</v>
      </c>
      <c r="G67" s="2" t="n">
        <v>1</v>
      </c>
      <c r="H67" s="30">
        <f>IF(AND(B67&gt;=5,C67&lt;&gt;"",C67&lt;0.8),1,0)</f>
        <v/>
      </c>
      <c r="I67" s="30">
        <f>IF(AND(B67&gt;=8,D67&lt;&gt;"",D67&gt;=0.25,D67&lt;=0.75),1,0)</f>
        <v/>
      </c>
      <c r="J67" s="2" t="n"/>
    </row>
    <row r="68">
      <c r="A68" s="2" t="inlineStr">
        <is>
          <t>IMP00061</t>
        </is>
      </c>
      <c r="B68" s="2" t="n">
        <v>26</v>
      </c>
      <c r="C68" s="19" t="n">
        <v>1.188</v>
      </c>
      <c r="D68" s="29" t="n">
        <v>0.0385</v>
      </c>
      <c r="E68" s="2" t="n">
        <v>1</v>
      </c>
      <c r="F68" s="2" t="n">
        <v>0</v>
      </c>
      <c r="G68" s="2" t="n">
        <v>0</v>
      </c>
      <c r="H68" s="30">
        <f>IF(AND(B68&gt;=5,C68&lt;&gt;"",C68&lt;0.8),1,0)</f>
        <v/>
      </c>
      <c r="I68" s="30">
        <f>IF(AND(B68&gt;=8,D68&lt;&gt;"",D68&gt;=0.25,D68&lt;=0.75),1,0)</f>
        <v/>
      </c>
      <c r="J68" s="2" t="n"/>
    </row>
    <row r="69">
      <c r="A69" s="2" t="inlineStr">
        <is>
          <t>IMP00062</t>
        </is>
      </c>
      <c r="B69" s="2" t="n">
        <v>428</v>
      </c>
      <c r="C69" s="19" t="n">
        <v>1.017</v>
      </c>
      <c r="D69" s="29" t="n">
        <v>0.0397</v>
      </c>
      <c r="E69" s="2" t="n">
        <v>3</v>
      </c>
      <c r="F69" s="2" t="n">
        <v>0</v>
      </c>
      <c r="G69" s="2" t="n">
        <v>0</v>
      </c>
      <c r="H69" s="30">
        <f>IF(AND(B69&gt;=5,C69&lt;&gt;"",C69&lt;0.8),1,0)</f>
        <v/>
      </c>
      <c r="I69" s="30">
        <f>IF(AND(B69&gt;=8,D69&lt;&gt;"",D69&gt;=0.25,D69&lt;=0.75),1,0)</f>
        <v/>
      </c>
      <c r="J69" s="2" t="n"/>
    </row>
    <row r="70">
      <c r="A70" s="2" t="inlineStr">
        <is>
          <t>IMP00063</t>
        </is>
      </c>
      <c r="B70" s="2" t="n">
        <v>3920</v>
      </c>
      <c r="C70" s="19" t="n">
        <v>0.998</v>
      </c>
      <c r="D70" s="29" t="n">
        <v>0.0638</v>
      </c>
      <c r="E70" s="2" t="n">
        <v>1</v>
      </c>
      <c r="F70" s="2" t="n">
        <v>0</v>
      </c>
      <c r="G70" s="2" t="n">
        <v>0</v>
      </c>
      <c r="H70" s="30">
        <f>IF(AND(B70&gt;=5,C70&lt;&gt;"",C70&lt;0.8),1,0)</f>
        <v/>
      </c>
      <c r="I70" s="30">
        <f>IF(AND(B70&gt;=8,D70&lt;&gt;"",D70&gt;=0.25,D70&lt;=0.75),1,0)</f>
        <v/>
      </c>
      <c r="J70" s="2" t="n"/>
    </row>
    <row r="71">
      <c r="A71" s="2" t="inlineStr">
        <is>
          <t>IMP00064</t>
        </is>
      </c>
      <c r="B71" s="2" t="n">
        <v>0</v>
      </c>
      <c r="C71" s="19" t="n"/>
      <c r="D71" s="29" t="n"/>
      <c r="E71" s="2" t="n">
        <v>0</v>
      </c>
      <c r="F71" s="2" t="n">
        <v>0</v>
      </c>
      <c r="G71" s="2" t="n">
        <v>0</v>
      </c>
      <c r="H71" s="30">
        <f>IF(AND(B71&gt;=5,C71&lt;&gt;"",C71&lt;0.8),1,0)</f>
        <v/>
      </c>
      <c r="I71" s="30">
        <f>IF(AND(B71&gt;=8,D71&lt;&gt;"",D71&gt;=0.25,D71&lt;=0.75),1,0)</f>
        <v/>
      </c>
      <c r="J71" s="2" t="n"/>
    </row>
    <row r="72">
      <c r="A72" s="2" t="inlineStr">
        <is>
          <t>IMP00065</t>
        </is>
      </c>
      <c r="B72" s="2" t="n">
        <v>1</v>
      </c>
      <c r="C72" s="19" t="n">
        <v>1.03</v>
      </c>
      <c r="D72" s="29" t="n">
        <v>0</v>
      </c>
      <c r="E72" s="2" t="n">
        <v>2</v>
      </c>
      <c r="F72" s="2" t="n">
        <v>0</v>
      </c>
      <c r="G72" s="2" t="n">
        <v>0</v>
      </c>
      <c r="H72" s="30">
        <f>IF(AND(B72&gt;=5,C72&lt;&gt;"",C72&lt;0.8),1,0)</f>
        <v/>
      </c>
      <c r="I72" s="30">
        <f>IF(AND(B72&gt;=8,D72&lt;&gt;"",D72&gt;=0.25,D72&lt;=0.75),1,0)</f>
        <v/>
      </c>
      <c r="J72" s="2" t="n"/>
    </row>
    <row r="73">
      <c r="A73" s="2" t="inlineStr">
        <is>
          <t>IMP00066</t>
        </is>
      </c>
      <c r="B73" s="2" t="n">
        <v>1</v>
      </c>
      <c r="C73" s="19" t="n">
        <v>1.162</v>
      </c>
      <c r="D73" s="29" t="n">
        <v>0</v>
      </c>
      <c r="E73" s="2" t="n">
        <v>2</v>
      </c>
      <c r="F73" s="2" t="n">
        <v>0</v>
      </c>
      <c r="G73" s="2" t="n">
        <v>0</v>
      </c>
      <c r="H73" s="30">
        <f>IF(AND(B73&gt;=5,C73&lt;&gt;"",C73&lt;0.8),1,0)</f>
        <v/>
      </c>
      <c r="I73" s="30">
        <f>IF(AND(B73&gt;=8,D73&lt;&gt;"",D73&gt;=0.25,D73&lt;=0.75),1,0)</f>
        <v/>
      </c>
      <c r="J73" s="2" t="n"/>
    </row>
    <row r="74">
      <c r="A74" s="2" t="inlineStr">
        <is>
          <t>IMP00067</t>
        </is>
      </c>
      <c r="B74" s="2" t="n">
        <v>193</v>
      </c>
      <c r="C74" s="19" t="n">
        <v>0.901</v>
      </c>
      <c r="D74" s="29" t="n">
        <v>0.0725</v>
      </c>
      <c r="E74" s="2" t="n">
        <v>2</v>
      </c>
      <c r="F74" s="2" t="n">
        <v>0</v>
      </c>
      <c r="G74" s="2" t="n">
        <v>0</v>
      </c>
      <c r="H74" s="30">
        <f>IF(AND(B74&gt;=5,C74&lt;&gt;"",C74&lt;0.8),1,0)</f>
        <v/>
      </c>
      <c r="I74" s="30">
        <f>IF(AND(B74&gt;=8,D74&lt;&gt;"",D74&gt;=0.25,D74&lt;=0.75),1,0)</f>
        <v/>
      </c>
      <c r="J74" s="2" t="n"/>
    </row>
    <row r="75">
      <c r="A75" s="2" t="inlineStr">
        <is>
          <t>IMP00068</t>
        </is>
      </c>
      <c r="B75" s="2" t="n">
        <v>6</v>
      </c>
      <c r="C75" s="19" t="n">
        <v>0.8045</v>
      </c>
      <c r="D75" s="29" t="n">
        <v>0.5</v>
      </c>
      <c r="E75" s="2" t="n">
        <v>2</v>
      </c>
      <c r="F75" s="2" t="n">
        <v>0</v>
      </c>
      <c r="G75" s="2" t="n">
        <v>0</v>
      </c>
      <c r="H75" s="30">
        <f>IF(AND(B75&gt;=5,C75&lt;&gt;"",C75&lt;0.8),1,0)</f>
        <v/>
      </c>
      <c r="I75" s="30">
        <f>IF(AND(B75&gt;=8,D75&lt;&gt;"",D75&gt;=0.25,D75&lt;=0.75),1,0)</f>
        <v/>
      </c>
      <c r="J75" s="2" t="n"/>
    </row>
    <row r="76">
      <c r="A76" s="2" t="inlineStr">
        <is>
          <t>IMP00069</t>
        </is>
      </c>
      <c r="B76" s="2" t="n">
        <v>92</v>
      </c>
      <c r="C76" s="19" t="n">
        <v>0.868</v>
      </c>
      <c r="D76" s="29" t="n">
        <v>0.3696</v>
      </c>
      <c r="E76" s="2" t="n">
        <v>1</v>
      </c>
      <c r="F76" s="2" t="n">
        <v>0</v>
      </c>
      <c r="G76" s="2" t="n">
        <v>1</v>
      </c>
      <c r="H76" s="30">
        <f>IF(AND(B76&gt;=5,C76&lt;&gt;"",C76&lt;0.8),1,0)</f>
        <v/>
      </c>
      <c r="I76" s="30">
        <f>IF(AND(B76&gt;=8,D76&lt;&gt;"",D76&gt;=0.25,D76&lt;=0.75),1,0)</f>
        <v/>
      </c>
      <c r="J76" s="2" t="n"/>
    </row>
    <row r="77">
      <c r="A77" s="2" t="inlineStr">
        <is>
          <t>IMP00070</t>
        </is>
      </c>
      <c r="B77" s="2" t="n">
        <v>0</v>
      </c>
      <c r="C77" s="19" t="n"/>
      <c r="D77" s="29" t="n"/>
      <c r="E77" s="2" t="n">
        <v>0</v>
      </c>
      <c r="F77" s="2" t="n">
        <v>0</v>
      </c>
      <c r="G77" s="2" t="n">
        <v>0</v>
      </c>
      <c r="H77" s="30">
        <f>IF(AND(B77&gt;=5,C77&lt;&gt;"",C77&lt;0.8),1,0)</f>
        <v/>
      </c>
      <c r="I77" s="30">
        <f>IF(AND(B77&gt;=8,D77&lt;&gt;"",D77&gt;=0.25,D77&lt;=0.75),1,0)</f>
        <v/>
      </c>
      <c r="J77" s="2" t="n"/>
    </row>
    <row r="78">
      <c r="A78" s="2" t="inlineStr">
        <is>
          <t>IMP00071</t>
        </is>
      </c>
      <c r="B78" s="2" t="n">
        <v>0</v>
      </c>
      <c r="C78" s="19" t="n"/>
      <c r="D78" s="29" t="n"/>
      <c r="E78" s="2" t="n">
        <v>0</v>
      </c>
      <c r="F78" s="2" t="n">
        <v>0</v>
      </c>
      <c r="G78" s="2" t="n">
        <v>0</v>
      </c>
      <c r="H78" s="30">
        <f>IF(AND(B78&gt;=5,C78&lt;&gt;"",C78&lt;0.8),1,0)</f>
        <v/>
      </c>
      <c r="I78" s="30">
        <f>IF(AND(B78&gt;=8,D78&lt;&gt;"",D78&gt;=0.25,D78&lt;=0.75),1,0)</f>
        <v/>
      </c>
      <c r="J78" s="2" t="n"/>
    </row>
    <row r="79">
      <c r="A79" s="2" t="inlineStr">
        <is>
          <t>IMP00072</t>
        </is>
      </c>
      <c r="B79" s="2" t="n">
        <v>103</v>
      </c>
      <c r="C79" s="19" t="n">
        <v>0.952</v>
      </c>
      <c r="D79" s="29" t="n">
        <v>0.1165</v>
      </c>
      <c r="E79" s="2" t="n">
        <v>1</v>
      </c>
      <c r="F79" s="2" t="n">
        <v>0</v>
      </c>
      <c r="G79" s="2" t="n">
        <v>0</v>
      </c>
      <c r="H79" s="30">
        <f>IF(AND(B79&gt;=5,C79&lt;&gt;"",C79&lt;0.8),1,0)</f>
        <v/>
      </c>
      <c r="I79" s="30">
        <f>IF(AND(B79&gt;=8,D79&lt;&gt;"",D79&gt;=0.25,D79&lt;=0.75),1,0)</f>
        <v/>
      </c>
      <c r="J79" s="2" t="n"/>
    </row>
    <row r="80">
      <c r="A80" s="2" t="inlineStr">
        <is>
          <t>IMP00073</t>
        </is>
      </c>
      <c r="B80" s="2" t="n">
        <v>6</v>
      </c>
      <c r="C80" s="19" t="n">
        <v>0.8435</v>
      </c>
      <c r="D80" s="29" t="n">
        <v>0.1667</v>
      </c>
      <c r="E80" s="2" t="n">
        <v>1</v>
      </c>
      <c r="F80" s="2" t="n">
        <v>0</v>
      </c>
      <c r="G80" s="2" t="n">
        <v>0</v>
      </c>
      <c r="H80" s="30">
        <f>IF(AND(B80&gt;=5,C80&lt;&gt;"",C80&lt;0.8),1,0)</f>
        <v/>
      </c>
      <c r="I80" s="30">
        <f>IF(AND(B80&gt;=8,D80&lt;&gt;"",D80&gt;=0.25,D80&lt;=0.75),1,0)</f>
        <v/>
      </c>
      <c r="J80" s="2" t="n"/>
    </row>
    <row r="81">
      <c r="A81" s="2" t="inlineStr">
        <is>
          <t>IMP00074</t>
        </is>
      </c>
      <c r="B81" s="2" t="n">
        <v>13</v>
      </c>
      <c r="C81" s="19" t="n">
        <v>0.882</v>
      </c>
      <c r="D81" s="29" t="n">
        <v>0</v>
      </c>
      <c r="E81" s="2" t="n">
        <v>1</v>
      </c>
      <c r="F81" s="2" t="n">
        <v>0</v>
      </c>
      <c r="G81" s="2" t="n">
        <v>0</v>
      </c>
      <c r="H81" s="30">
        <f>IF(AND(B81&gt;=5,C81&lt;&gt;"",C81&lt;0.8),1,0)</f>
        <v/>
      </c>
      <c r="I81" s="30">
        <f>IF(AND(B81&gt;=8,D81&lt;&gt;"",D81&gt;=0.25,D81&lt;=0.75),1,0)</f>
        <v/>
      </c>
      <c r="J81" s="2" t="n"/>
    </row>
    <row r="82">
      <c r="A82" s="2" t="inlineStr">
        <is>
          <t>IMP00075</t>
        </is>
      </c>
      <c r="B82" s="2" t="n">
        <v>0</v>
      </c>
      <c r="C82" s="19" t="n"/>
      <c r="D82" s="29" t="n"/>
      <c r="E82" s="2" t="n">
        <v>0</v>
      </c>
      <c r="F82" s="2" t="n">
        <v>0</v>
      </c>
      <c r="G82" s="2" t="n">
        <v>0</v>
      </c>
      <c r="H82" s="30">
        <f>IF(AND(B82&gt;=5,C82&lt;&gt;"",C82&lt;0.8),1,0)</f>
        <v/>
      </c>
      <c r="I82" s="30">
        <f>IF(AND(B82&gt;=8,D82&lt;&gt;"",D82&gt;=0.25,D82&lt;=0.75),1,0)</f>
        <v/>
      </c>
      <c r="J82" s="2" t="n"/>
    </row>
    <row r="83">
      <c r="A83" s="2" t="inlineStr">
        <is>
          <t>IMP00076</t>
        </is>
      </c>
      <c r="B83" s="2" t="n">
        <v>47</v>
      </c>
      <c r="C83" s="19" t="n">
        <v>0.9755</v>
      </c>
      <c r="D83" s="29" t="n">
        <v>0.0638</v>
      </c>
      <c r="E83" s="2" t="n">
        <v>1</v>
      </c>
      <c r="F83" s="2" t="n">
        <v>0</v>
      </c>
      <c r="G83" s="2" t="n">
        <v>0</v>
      </c>
      <c r="H83" s="30">
        <f>IF(AND(B83&gt;=5,C83&lt;&gt;"",C83&lt;0.8),1,0)</f>
        <v/>
      </c>
      <c r="I83" s="30">
        <f>IF(AND(B83&gt;=8,D83&lt;&gt;"",D83&gt;=0.25,D83&lt;=0.75),1,0)</f>
        <v/>
      </c>
      <c r="J83" s="2" t="n"/>
    </row>
    <row r="84">
      <c r="A84" s="2" t="inlineStr">
        <is>
          <t>IMP00077</t>
        </is>
      </c>
      <c r="B84" s="2" t="n">
        <v>143</v>
      </c>
      <c r="C84" s="19" t="n">
        <v>1.045</v>
      </c>
      <c r="D84" s="29" t="n">
        <v>0</v>
      </c>
      <c r="E84" s="2" t="n">
        <v>1</v>
      </c>
      <c r="F84" s="2" t="n">
        <v>0</v>
      </c>
      <c r="G84" s="2" t="n">
        <v>0</v>
      </c>
      <c r="H84" s="30">
        <f>IF(AND(B84&gt;=5,C84&lt;&gt;"",C84&lt;0.8),1,0)</f>
        <v/>
      </c>
      <c r="I84" s="30">
        <f>IF(AND(B84&gt;=8,D84&lt;&gt;"",D84&gt;=0.25,D84&lt;=0.75),1,0)</f>
        <v/>
      </c>
      <c r="J84" s="2" t="n"/>
    </row>
    <row r="85">
      <c r="A85" s="2" t="inlineStr">
        <is>
          <t>IMP00078</t>
        </is>
      </c>
      <c r="B85" s="2" t="n">
        <v>0</v>
      </c>
      <c r="C85" s="19" t="n"/>
      <c r="D85" s="29" t="n"/>
      <c r="E85" s="2" t="n">
        <v>0</v>
      </c>
      <c r="F85" s="2" t="n">
        <v>0</v>
      </c>
      <c r="G85" s="2" t="n">
        <v>0</v>
      </c>
      <c r="H85" s="30">
        <f>IF(AND(B85&gt;=5,C85&lt;&gt;"",C85&lt;0.8),1,0)</f>
        <v/>
      </c>
      <c r="I85" s="30">
        <f>IF(AND(B85&gt;=8,D85&lt;&gt;"",D85&gt;=0.25,D85&lt;=0.75),1,0)</f>
        <v/>
      </c>
      <c r="J85" s="2" t="n"/>
    </row>
    <row r="86">
      <c r="A86" s="2" t="inlineStr">
        <is>
          <t>IMP00079</t>
        </is>
      </c>
      <c r="B86" s="2" t="n">
        <v>56</v>
      </c>
      <c r="C86" s="19" t="n">
        <v>0.985</v>
      </c>
      <c r="D86" s="29" t="n">
        <v>0.1964</v>
      </c>
      <c r="E86" s="2" t="n">
        <v>1</v>
      </c>
      <c r="F86" s="2" t="n">
        <v>0</v>
      </c>
      <c r="G86" s="2" t="n">
        <v>0</v>
      </c>
      <c r="H86" s="30">
        <f>IF(AND(B86&gt;=5,C86&lt;&gt;"",C86&lt;0.8),1,0)</f>
        <v/>
      </c>
      <c r="I86" s="30">
        <f>IF(AND(B86&gt;=8,D86&lt;&gt;"",D86&gt;=0.25,D86&lt;=0.75),1,0)</f>
        <v/>
      </c>
      <c r="J86" s="2" t="n"/>
    </row>
    <row r="87">
      <c r="A87" s="2" t="inlineStr">
        <is>
          <t>IMP00080</t>
        </is>
      </c>
      <c r="B87" s="2" t="n">
        <v>0</v>
      </c>
      <c r="C87" s="19" t="n"/>
      <c r="D87" s="29" t="n"/>
      <c r="E87" s="2" t="n">
        <v>0</v>
      </c>
      <c r="F87" s="2" t="n">
        <v>0</v>
      </c>
      <c r="G87" s="2" t="n">
        <v>0</v>
      </c>
      <c r="H87" s="30">
        <f>IF(AND(B87&gt;=5,C87&lt;&gt;"",C87&lt;0.8),1,0)</f>
        <v/>
      </c>
      <c r="I87" s="30">
        <f>IF(AND(B87&gt;=8,D87&lt;&gt;"",D87&gt;=0.25,D87&lt;=0.75),1,0)</f>
        <v/>
      </c>
      <c r="J87" s="2" t="n"/>
    </row>
    <row r="88">
      <c r="A88" s="2" t="inlineStr">
        <is>
          <t>IMP00081</t>
        </is>
      </c>
      <c r="B88" s="2" t="n">
        <v>29</v>
      </c>
      <c r="C88" s="19" t="n">
        <v>1.038</v>
      </c>
      <c r="D88" s="29" t="n">
        <v>0.1724</v>
      </c>
      <c r="E88" s="2" t="n">
        <v>2</v>
      </c>
      <c r="F88" s="2" t="n">
        <v>0</v>
      </c>
      <c r="G88" s="2" t="n">
        <v>0</v>
      </c>
      <c r="H88" s="30">
        <f>IF(AND(B88&gt;=5,C88&lt;&gt;"",C88&lt;0.8),1,0)</f>
        <v/>
      </c>
      <c r="I88" s="30">
        <f>IF(AND(B88&gt;=8,D88&lt;&gt;"",D88&gt;=0.25,D88&lt;=0.75),1,0)</f>
        <v/>
      </c>
      <c r="J88" s="2" t="n"/>
    </row>
    <row r="89">
      <c r="A89" s="2" t="inlineStr">
        <is>
          <t>IMP00082</t>
        </is>
      </c>
      <c r="B89" s="2" t="n">
        <v>7</v>
      </c>
      <c r="C89" s="19" t="n">
        <v>0.882</v>
      </c>
      <c r="D89" s="29" t="n">
        <v>0.4286</v>
      </c>
      <c r="E89" s="2" t="n">
        <v>1</v>
      </c>
      <c r="F89" s="2" t="n">
        <v>0</v>
      </c>
      <c r="G89" s="2" t="n">
        <v>0</v>
      </c>
      <c r="H89" s="30">
        <f>IF(AND(B89&gt;=5,C89&lt;&gt;"",C89&lt;0.8),1,0)</f>
        <v/>
      </c>
      <c r="I89" s="30">
        <f>IF(AND(B89&gt;=8,D89&lt;&gt;"",D89&gt;=0.25,D89&lt;=0.75),1,0)</f>
        <v/>
      </c>
      <c r="J89" s="2" t="n"/>
    </row>
    <row r="90">
      <c r="A90" s="2" t="inlineStr">
        <is>
          <t>IMP00083</t>
        </is>
      </c>
      <c r="B90" s="2" t="n">
        <v>156</v>
      </c>
      <c r="C90" s="19" t="n">
        <v>0.947</v>
      </c>
      <c r="D90" s="29" t="n">
        <v>0.0449</v>
      </c>
      <c r="E90" s="2" t="n">
        <v>1</v>
      </c>
      <c r="F90" s="2" t="n">
        <v>0</v>
      </c>
      <c r="G90" s="2" t="n">
        <v>0</v>
      </c>
      <c r="H90" s="30">
        <f>IF(AND(B90&gt;=5,C90&lt;&gt;"",C90&lt;0.8),1,0)</f>
        <v/>
      </c>
      <c r="I90" s="30">
        <f>IF(AND(B90&gt;=8,D90&lt;&gt;"",D90&gt;=0.25,D90&lt;=0.75),1,0)</f>
        <v/>
      </c>
      <c r="J90" s="2" t="n"/>
    </row>
    <row r="91">
      <c r="A91" s="2" t="inlineStr">
        <is>
          <t>IMP00084</t>
        </is>
      </c>
      <c r="B91" s="2" t="n">
        <v>1</v>
      </c>
      <c r="C91" s="19" t="n">
        <v>0.779</v>
      </c>
      <c r="D91" s="29" t="n">
        <v>0</v>
      </c>
      <c r="E91" s="2" t="n">
        <v>1</v>
      </c>
      <c r="F91" s="2" t="n">
        <v>0</v>
      </c>
      <c r="G91" s="2" t="n">
        <v>0</v>
      </c>
      <c r="H91" s="30">
        <f>IF(AND(B91&gt;=5,C91&lt;&gt;"",C91&lt;0.8),1,0)</f>
        <v/>
      </c>
      <c r="I91" s="30">
        <f>IF(AND(B91&gt;=8,D91&lt;&gt;"",D91&gt;=0.25,D91&lt;=0.75),1,0)</f>
        <v/>
      </c>
      <c r="J91" s="2" t="n"/>
    </row>
    <row r="92">
      <c r="A92" s="2" t="inlineStr">
        <is>
          <t>IMP00085</t>
        </is>
      </c>
      <c r="B92" s="2" t="n">
        <v>62</v>
      </c>
      <c r="C92" s="19" t="n">
        <v>1.317</v>
      </c>
      <c r="D92" s="29" t="n">
        <v>0</v>
      </c>
      <c r="E92" s="2" t="n">
        <v>1</v>
      </c>
      <c r="F92" s="2" t="n">
        <v>0</v>
      </c>
      <c r="G92" s="2" t="n">
        <v>0</v>
      </c>
      <c r="H92" s="30">
        <f>IF(AND(B92&gt;=5,C92&lt;&gt;"",C92&lt;0.8),1,0)</f>
        <v/>
      </c>
      <c r="I92" s="30">
        <f>IF(AND(B92&gt;=8,D92&lt;&gt;"",D92&gt;=0.25,D92&lt;=0.75),1,0)</f>
        <v/>
      </c>
      <c r="J92" s="2" t="n"/>
    </row>
    <row r="93">
      <c r="A93" s="2" t="inlineStr">
        <is>
          <t>IMP00086</t>
        </is>
      </c>
      <c r="B93" s="2" t="n">
        <v>19</v>
      </c>
      <c r="C93" s="19" t="n">
        <v>1.217</v>
      </c>
      <c r="D93" s="29" t="n">
        <v>0.0526</v>
      </c>
      <c r="E93" s="2" t="n">
        <v>1</v>
      </c>
      <c r="F93" s="2" t="n">
        <v>0</v>
      </c>
      <c r="G93" s="2" t="n">
        <v>0</v>
      </c>
      <c r="H93" s="30">
        <f>IF(AND(B93&gt;=5,C93&lt;&gt;"",C93&lt;0.8),1,0)</f>
        <v/>
      </c>
      <c r="I93" s="30">
        <f>IF(AND(B93&gt;=8,D93&lt;&gt;"",D93&gt;=0.25,D93&lt;=0.75),1,0)</f>
        <v/>
      </c>
      <c r="J93" s="2" t="n"/>
    </row>
    <row r="94">
      <c r="A94" s="2" t="inlineStr">
        <is>
          <t>IMP00087</t>
        </is>
      </c>
      <c r="B94" s="2" t="n">
        <v>5</v>
      </c>
      <c r="C94" s="19" t="n">
        <v>1</v>
      </c>
      <c r="D94" s="29" t="n">
        <v>0</v>
      </c>
      <c r="E94" s="2" t="n">
        <v>2</v>
      </c>
      <c r="F94" s="2" t="n">
        <v>0</v>
      </c>
      <c r="G94" s="2" t="n">
        <v>0</v>
      </c>
      <c r="H94" s="30">
        <f>IF(AND(B94&gt;=5,C94&lt;&gt;"",C94&lt;0.8),1,0)</f>
        <v/>
      </c>
      <c r="I94" s="30">
        <f>IF(AND(B94&gt;=8,D94&lt;&gt;"",D94&gt;=0.25,D94&lt;=0.75),1,0)</f>
        <v/>
      </c>
      <c r="J94" s="2" t="n"/>
    </row>
    <row r="95">
      <c r="A95" s="2" t="inlineStr">
        <is>
          <t>IMP00088</t>
        </is>
      </c>
      <c r="B95" s="2" t="n">
        <v>0</v>
      </c>
      <c r="C95" s="19" t="n"/>
      <c r="D95" s="29" t="n"/>
      <c r="E95" s="2" t="n">
        <v>0</v>
      </c>
      <c r="F95" s="2" t="n">
        <v>0</v>
      </c>
      <c r="G95" s="2" t="n">
        <v>0</v>
      </c>
      <c r="H95" s="30">
        <f>IF(AND(B95&gt;=5,C95&lt;&gt;"",C95&lt;0.8),1,0)</f>
        <v/>
      </c>
      <c r="I95" s="30">
        <f>IF(AND(B95&gt;=8,D95&lt;&gt;"",D95&gt;=0.25,D95&lt;=0.75),1,0)</f>
        <v/>
      </c>
      <c r="J95" s="2" t="n"/>
    </row>
    <row r="96">
      <c r="A96" s="2" t="inlineStr">
        <is>
          <t>IMP00089</t>
        </is>
      </c>
      <c r="B96" s="2" t="n">
        <v>215</v>
      </c>
      <c r="C96" s="19" t="n">
        <v>0.996</v>
      </c>
      <c r="D96" s="29" t="n">
        <v>0.186</v>
      </c>
      <c r="E96" s="2" t="n">
        <v>3</v>
      </c>
      <c r="F96" s="2" t="n">
        <v>0</v>
      </c>
      <c r="G96" s="2" t="n">
        <v>0</v>
      </c>
      <c r="H96" s="30">
        <f>IF(AND(B96&gt;=5,C96&lt;&gt;"",C96&lt;0.8),1,0)</f>
        <v/>
      </c>
      <c r="I96" s="30">
        <f>IF(AND(B96&gt;=8,D96&lt;&gt;"",D96&gt;=0.25,D96&lt;=0.75),1,0)</f>
        <v/>
      </c>
      <c r="J96" s="2" t="n"/>
    </row>
    <row r="97">
      <c r="A97" s="2" t="inlineStr">
        <is>
          <t>IMP00090</t>
        </is>
      </c>
      <c r="B97" s="2" t="n">
        <v>0</v>
      </c>
      <c r="C97" s="19" t="n"/>
      <c r="D97" s="29" t="n"/>
      <c r="E97" s="2" t="n">
        <v>0</v>
      </c>
      <c r="F97" s="2" t="n">
        <v>0</v>
      </c>
      <c r="G97" s="2" t="n">
        <v>0</v>
      </c>
      <c r="H97" s="30">
        <f>IF(AND(B97&gt;=5,C97&lt;&gt;"",C97&lt;0.8),1,0)</f>
        <v/>
      </c>
      <c r="I97" s="30">
        <f>IF(AND(B97&gt;=8,D97&lt;&gt;"",D97&gt;=0.25,D97&lt;=0.75),1,0)</f>
        <v/>
      </c>
      <c r="J97" s="2" t="n"/>
    </row>
    <row r="98">
      <c r="A98" s="2" t="inlineStr">
        <is>
          <t>IMP00091</t>
        </is>
      </c>
      <c r="B98" s="2" t="n">
        <v>8</v>
      </c>
      <c r="C98" s="19" t="n">
        <v>0.8235</v>
      </c>
      <c r="D98" s="29" t="n">
        <v>0.25</v>
      </c>
      <c r="E98" s="2" t="n">
        <v>3</v>
      </c>
      <c r="F98" s="2" t="n">
        <v>0</v>
      </c>
      <c r="G98" s="2" t="n">
        <v>1</v>
      </c>
      <c r="H98" s="30">
        <f>IF(AND(B98&gt;=5,C98&lt;&gt;"",C98&lt;0.8),1,0)</f>
        <v/>
      </c>
      <c r="I98" s="30">
        <f>IF(AND(B98&gt;=8,D98&lt;&gt;"",D98&gt;=0.25,D98&lt;=0.75),1,0)</f>
        <v/>
      </c>
      <c r="J98" s="2" t="n"/>
    </row>
    <row r="99">
      <c r="A99" s="2" t="inlineStr">
        <is>
          <t>IMP00092</t>
        </is>
      </c>
      <c r="B99" s="2" t="n">
        <v>16</v>
      </c>
      <c r="C99" s="19" t="n">
        <v>1.2085</v>
      </c>
      <c r="D99" s="29" t="n">
        <v>0</v>
      </c>
      <c r="E99" s="2" t="n">
        <v>1</v>
      </c>
      <c r="F99" s="2" t="n">
        <v>0</v>
      </c>
      <c r="G99" s="2" t="n">
        <v>0</v>
      </c>
      <c r="H99" s="30">
        <f>IF(AND(B99&gt;=5,C99&lt;&gt;"",C99&lt;0.8),1,0)</f>
        <v/>
      </c>
      <c r="I99" s="30">
        <f>IF(AND(B99&gt;=8,D99&lt;&gt;"",D99&gt;=0.25,D99&lt;=0.75),1,0)</f>
        <v/>
      </c>
      <c r="J99" s="2" t="n"/>
    </row>
    <row r="100">
      <c r="A100" s="2" t="inlineStr">
        <is>
          <t>IMP00093</t>
        </is>
      </c>
      <c r="B100" s="2" t="n">
        <v>121</v>
      </c>
      <c r="C100" s="19" t="n">
        <v>1.111</v>
      </c>
      <c r="D100" s="29" t="n">
        <v>0.0248</v>
      </c>
      <c r="E100" s="2" t="n">
        <v>1</v>
      </c>
      <c r="F100" s="2" t="n">
        <v>0</v>
      </c>
      <c r="G100" s="2" t="n">
        <v>0</v>
      </c>
      <c r="H100" s="30">
        <f>IF(AND(B100&gt;=5,C100&lt;&gt;"",C100&lt;0.8),1,0)</f>
        <v/>
      </c>
      <c r="I100" s="30">
        <f>IF(AND(B100&gt;=8,D100&lt;&gt;"",D100&gt;=0.25,D100&lt;=0.75),1,0)</f>
        <v/>
      </c>
      <c r="J100" s="2" t="n"/>
    </row>
    <row r="101">
      <c r="A101" s="2" t="inlineStr">
        <is>
          <t>IMP00094</t>
        </is>
      </c>
      <c r="B101" s="2" t="n">
        <v>0</v>
      </c>
      <c r="C101" s="19" t="n"/>
      <c r="D101" s="29" t="n"/>
      <c r="E101" s="2" t="n">
        <v>0</v>
      </c>
      <c r="F101" s="2" t="n">
        <v>0</v>
      </c>
      <c r="G101" s="2" t="n">
        <v>0</v>
      </c>
      <c r="H101" s="30">
        <f>IF(AND(B101&gt;=5,C101&lt;&gt;"",C101&lt;0.8),1,0)</f>
        <v/>
      </c>
      <c r="I101" s="30">
        <f>IF(AND(B101&gt;=8,D101&lt;&gt;"",D101&gt;=0.25,D101&lt;=0.75),1,0)</f>
        <v/>
      </c>
      <c r="J101" s="2" t="n"/>
    </row>
    <row r="102">
      <c r="A102" s="2" t="inlineStr">
        <is>
          <t>IMP00095</t>
        </is>
      </c>
      <c r="B102" s="2" t="n">
        <v>88</v>
      </c>
      <c r="C102" s="19" t="n">
        <v>1.033</v>
      </c>
      <c r="D102" s="29" t="n">
        <v>0.1364</v>
      </c>
      <c r="E102" s="2" t="n">
        <v>9</v>
      </c>
      <c r="F102" s="2" t="n">
        <v>0</v>
      </c>
      <c r="G102" s="2" t="n">
        <v>0</v>
      </c>
      <c r="H102" s="30">
        <f>IF(AND(B102&gt;=5,C102&lt;&gt;"",C102&lt;0.8),1,0)</f>
        <v/>
      </c>
      <c r="I102" s="30">
        <f>IF(AND(B102&gt;=8,D102&lt;&gt;"",D102&gt;=0.25,D102&lt;=0.75),1,0)</f>
        <v/>
      </c>
      <c r="J102" s="2" t="n"/>
    </row>
    <row r="103">
      <c r="A103" s="2" t="inlineStr">
        <is>
          <t>IMP00096</t>
        </is>
      </c>
      <c r="B103" s="2" t="n">
        <v>6</v>
      </c>
      <c r="C103" s="19" t="n">
        <v>0.992</v>
      </c>
      <c r="D103" s="29" t="n">
        <v>0</v>
      </c>
      <c r="E103" s="2" t="n">
        <v>2</v>
      </c>
      <c r="F103" s="2" t="n">
        <v>0</v>
      </c>
      <c r="G103" s="2" t="n">
        <v>0</v>
      </c>
      <c r="H103" s="30">
        <f>IF(AND(B103&gt;=5,C103&lt;&gt;"",C103&lt;0.8),1,0)</f>
        <v/>
      </c>
      <c r="I103" s="30">
        <f>IF(AND(B103&gt;=8,D103&lt;&gt;"",D103&gt;=0.25,D103&lt;=0.75),1,0)</f>
        <v/>
      </c>
      <c r="J103" s="2" t="n"/>
    </row>
    <row r="104">
      <c r="A104" s="2" t="inlineStr">
        <is>
          <t>IMP00097</t>
        </is>
      </c>
      <c r="B104" s="2" t="n">
        <v>34</v>
      </c>
      <c r="C104" s="19" t="n">
        <v>0.903</v>
      </c>
      <c r="D104" s="29" t="n">
        <v>0.1471</v>
      </c>
      <c r="E104" s="2" t="n">
        <v>1</v>
      </c>
      <c r="F104" s="2" t="n">
        <v>0</v>
      </c>
      <c r="G104" s="2" t="n">
        <v>0</v>
      </c>
      <c r="H104" s="30">
        <f>IF(AND(B104&gt;=5,C104&lt;&gt;"",C104&lt;0.8),1,0)</f>
        <v/>
      </c>
      <c r="I104" s="30">
        <f>IF(AND(B104&gt;=8,D104&lt;&gt;"",D104&gt;=0.25,D104&lt;=0.75),1,0)</f>
        <v/>
      </c>
      <c r="J104" s="2" t="n"/>
    </row>
    <row r="105">
      <c r="A105" s="2" t="inlineStr">
        <is>
          <t>IMP00098</t>
        </is>
      </c>
      <c r="B105" s="2" t="n">
        <v>46</v>
      </c>
      <c r="C105" s="19" t="n">
        <v>1.151</v>
      </c>
      <c r="D105" s="29" t="n">
        <v>0</v>
      </c>
      <c r="E105" s="2" t="n">
        <v>1</v>
      </c>
      <c r="F105" s="2" t="n">
        <v>0</v>
      </c>
      <c r="G105" s="2" t="n">
        <v>0</v>
      </c>
      <c r="H105" s="30">
        <f>IF(AND(B105&gt;=5,C105&lt;&gt;"",C105&lt;0.8),1,0)</f>
        <v/>
      </c>
      <c r="I105" s="30">
        <f>IF(AND(B105&gt;=8,D105&lt;&gt;"",D105&gt;=0.25,D105&lt;=0.75),1,0)</f>
        <v/>
      </c>
      <c r="J105" s="2" t="n"/>
    </row>
    <row r="106">
      <c r="A106" s="2" t="inlineStr">
        <is>
          <t>IMP00099</t>
        </is>
      </c>
      <c r="B106" s="2" t="n">
        <v>37</v>
      </c>
      <c r="C106" s="19" t="n">
        <v>0.978</v>
      </c>
      <c r="D106" s="29" t="n">
        <v>0.0541</v>
      </c>
      <c r="E106" s="2" t="n">
        <v>2</v>
      </c>
      <c r="F106" s="2" t="n">
        <v>0</v>
      </c>
      <c r="G106" s="2" t="n">
        <v>0</v>
      </c>
      <c r="H106" s="30">
        <f>IF(AND(B106&gt;=5,C106&lt;&gt;"",C106&lt;0.8),1,0)</f>
        <v/>
      </c>
      <c r="I106" s="30">
        <f>IF(AND(B106&gt;=8,D106&lt;&gt;"",D106&gt;=0.25,D106&lt;=0.75),1,0)</f>
        <v/>
      </c>
      <c r="J106" s="2" t="n"/>
    </row>
    <row r="107">
      <c r="A107" s="2" t="inlineStr">
        <is>
          <t>IMP00100</t>
        </is>
      </c>
      <c r="B107" s="2" t="n">
        <v>402</v>
      </c>
      <c r="C107" s="19" t="n">
        <v>1.0065</v>
      </c>
      <c r="D107" s="29" t="n">
        <v>0.0249</v>
      </c>
      <c r="E107" s="2" t="n">
        <v>2</v>
      </c>
      <c r="F107" s="2" t="n">
        <v>0</v>
      </c>
      <c r="G107" s="2" t="n">
        <v>0</v>
      </c>
      <c r="H107" s="30">
        <f>IF(AND(B107&gt;=5,C107&lt;&gt;"",C107&lt;0.8),1,0)</f>
        <v/>
      </c>
      <c r="I107" s="30">
        <f>IF(AND(B107&gt;=8,D107&lt;&gt;"",D107&gt;=0.25,D107&lt;=0.75),1,0)</f>
        <v/>
      </c>
      <c r="J107" s="2" t="n"/>
    </row>
    <row r="108">
      <c r="A108" s="2" t="inlineStr">
        <is>
          <t>IMP00101</t>
        </is>
      </c>
      <c r="B108" s="2" t="n">
        <v>12</v>
      </c>
      <c r="C108" s="19" t="n">
        <v>0.9429999999999999</v>
      </c>
      <c r="D108" s="29" t="n">
        <v>0.25</v>
      </c>
      <c r="E108" s="2" t="n">
        <v>1</v>
      </c>
      <c r="F108" s="2" t="n">
        <v>0</v>
      </c>
      <c r="G108" s="2" t="n">
        <v>1</v>
      </c>
      <c r="H108" s="30">
        <f>IF(AND(B108&gt;=5,C108&lt;&gt;"",C108&lt;0.8),1,0)</f>
        <v/>
      </c>
      <c r="I108" s="30">
        <f>IF(AND(B108&gt;=8,D108&lt;&gt;"",D108&gt;=0.25,D108&lt;=0.75),1,0)</f>
        <v/>
      </c>
      <c r="J108" s="2" t="n"/>
    </row>
    <row r="109">
      <c r="A109" s="2" t="inlineStr">
        <is>
          <t>IMP00102</t>
        </is>
      </c>
      <c r="B109" s="2" t="n">
        <v>3</v>
      </c>
      <c r="C109" s="19" t="n">
        <v>2.39</v>
      </c>
      <c r="D109" s="29" t="n">
        <v>0</v>
      </c>
      <c r="E109" s="2" t="n">
        <v>1</v>
      </c>
      <c r="F109" s="2" t="n">
        <v>0</v>
      </c>
      <c r="G109" s="2" t="n">
        <v>0</v>
      </c>
      <c r="H109" s="30">
        <f>IF(AND(B109&gt;=5,C109&lt;&gt;"",C109&lt;0.8),1,0)</f>
        <v/>
      </c>
      <c r="I109" s="30">
        <f>IF(AND(B109&gt;=8,D109&lt;&gt;"",D109&gt;=0.25,D109&lt;=0.75),1,0)</f>
        <v/>
      </c>
      <c r="J109" s="2" t="n"/>
    </row>
    <row r="110">
      <c r="A110" s="2" t="inlineStr">
        <is>
          <t>IMP00103</t>
        </is>
      </c>
      <c r="B110" s="2" t="n">
        <v>184</v>
      </c>
      <c r="C110" s="19" t="n">
        <v>0.966</v>
      </c>
      <c r="D110" s="29" t="n">
        <v>0.0163</v>
      </c>
      <c r="E110" s="2" t="n">
        <v>1</v>
      </c>
      <c r="F110" s="2" t="n">
        <v>0</v>
      </c>
      <c r="G110" s="2" t="n">
        <v>0</v>
      </c>
      <c r="H110" s="30">
        <f>IF(AND(B110&gt;=5,C110&lt;&gt;"",C110&lt;0.8),1,0)</f>
        <v/>
      </c>
      <c r="I110" s="30">
        <f>IF(AND(B110&gt;=8,D110&lt;&gt;"",D110&gt;=0.25,D110&lt;=0.75),1,0)</f>
        <v/>
      </c>
      <c r="J110" s="2" t="n"/>
    </row>
    <row r="111">
      <c r="A111" s="2" t="inlineStr">
        <is>
          <t>IMP00104</t>
        </is>
      </c>
      <c r="B111" s="2" t="n">
        <v>114</v>
      </c>
      <c r="C111" s="19" t="n">
        <v>0.963</v>
      </c>
      <c r="D111" s="29" t="n">
        <v>0.114</v>
      </c>
      <c r="E111" s="2" t="n">
        <v>1</v>
      </c>
      <c r="F111" s="2" t="n">
        <v>0</v>
      </c>
      <c r="G111" s="2" t="n">
        <v>0</v>
      </c>
      <c r="H111" s="30">
        <f>IF(AND(B111&gt;=5,C111&lt;&gt;"",C111&lt;0.8),1,0)</f>
        <v/>
      </c>
      <c r="I111" s="30">
        <f>IF(AND(B111&gt;=8,D111&lt;&gt;"",D111&gt;=0.25,D111&lt;=0.75),1,0)</f>
        <v/>
      </c>
      <c r="J111" s="2" t="n"/>
    </row>
    <row r="112">
      <c r="A112" s="2" t="inlineStr">
        <is>
          <t>IMP00105</t>
        </is>
      </c>
      <c r="B112" s="2" t="n">
        <v>616</v>
      </c>
      <c r="C112" s="19" t="n">
        <v>0.992</v>
      </c>
      <c r="D112" s="29" t="n">
        <v>0.0308</v>
      </c>
      <c r="E112" s="2" t="n">
        <v>1</v>
      </c>
      <c r="F112" s="2" t="n">
        <v>0</v>
      </c>
      <c r="G112" s="2" t="n">
        <v>0</v>
      </c>
      <c r="H112" s="30">
        <f>IF(AND(B112&gt;=5,C112&lt;&gt;"",C112&lt;0.8),1,0)</f>
        <v/>
      </c>
      <c r="I112" s="30">
        <f>IF(AND(B112&gt;=8,D112&lt;&gt;"",D112&gt;=0.25,D112&lt;=0.75),1,0)</f>
        <v/>
      </c>
      <c r="J112" s="2" t="n"/>
    </row>
    <row r="113">
      <c r="A113" s="2" t="inlineStr">
        <is>
          <t>IMP00106</t>
        </is>
      </c>
      <c r="B113" s="2" t="n">
        <v>115</v>
      </c>
      <c r="C113" s="19" t="n">
        <v>0.955</v>
      </c>
      <c r="D113" s="29" t="n">
        <v>0.0348</v>
      </c>
      <c r="E113" s="2" t="n">
        <v>3</v>
      </c>
      <c r="F113" s="2" t="n">
        <v>0</v>
      </c>
      <c r="G113" s="2" t="n">
        <v>0</v>
      </c>
      <c r="H113" s="30">
        <f>IF(AND(B113&gt;=5,C113&lt;&gt;"",C113&lt;0.8),1,0)</f>
        <v/>
      </c>
      <c r="I113" s="30">
        <f>IF(AND(B113&gt;=8,D113&lt;&gt;"",D113&gt;=0.25,D113&lt;=0.75),1,0)</f>
        <v/>
      </c>
      <c r="J113" s="2" t="n"/>
    </row>
    <row r="114">
      <c r="A114" s="2" t="inlineStr">
        <is>
          <t>IMP00107</t>
        </is>
      </c>
      <c r="B114" s="2" t="n">
        <v>18</v>
      </c>
      <c r="C114" s="19" t="n">
        <v>1.003</v>
      </c>
      <c r="D114" s="29" t="n">
        <v>0.1111</v>
      </c>
      <c r="E114" s="2" t="n">
        <v>1</v>
      </c>
      <c r="F114" s="2" t="n">
        <v>0</v>
      </c>
      <c r="G114" s="2" t="n">
        <v>0</v>
      </c>
      <c r="H114" s="30">
        <f>IF(AND(B114&gt;=5,C114&lt;&gt;"",C114&lt;0.8),1,0)</f>
        <v/>
      </c>
      <c r="I114" s="30">
        <f>IF(AND(B114&gt;=8,D114&lt;&gt;"",D114&gt;=0.25,D114&lt;=0.75),1,0)</f>
        <v/>
      </c>
      <c r="J114" s="2" t="n"/>
    </row>
    <row r="115">
      <c r="A115" s="2" t="inlineStr">
        <is>
          <t>IMP00108</t>
        </is>
      </c>
      <c r="B115" s="2" t="n">
        <v>26</v>
      </c>
      <c r="C115" s="19" t="n">
        <v>0.9815</v>
      </c>
      <c r="D115" s="29" t="n">
        <v>0</v>
      </c>
      <c r="E115" s="2" t="n">
        <v>1</v>
      </c>
      <c r="F115" s="2" t="n">
        <v>0</v>
      </c>
      <c r="G115" s="2" t="n">
        <v>0</v>
      </c>
      <c r="H115" s="30">
        <f>IF(AND(B115&gt;=5,C115&lt;&gt;"",C115&lt;0.8),1,0)</f>
        <v/>
      </c>
      <c r="I115" s="30">
        <f>IF(AND(B115&gt;=8,D115&lt;&gt;"",D115&gt;=0.25,D115&lt;=0.75),1,0)</f>
        <v/>
      </c>
      <c r="J115" s="2" t="n"/>
    </row>
    <row r="116">
      <c r="A116" s="2" t="inlineStr">
        <is>
          <t>IMP00109</t>
        </is>
      </c>
      <c r="B116" s="2" t="n">
        <v>365</v>
      </c>
      <c r="C116" s="19" t="n">
        <v>0.9635</v>
      </c>
      <c r="D116" s="29" t="n">
        <v>0.0658</v>
      </c>
      <c r="E116" s="2" t="n">
        <v>2</v>
      </c>
      <c r="F116" s="2" t="n">
        <v>0</v>
      </c>
      <c r="G116" s="2" t="n">
        <v>0</v>
      </c>
      <c r="H116" s="30">
        <f>IF(AND(B116&gt;=5,C116&lt;&gt;"",C116&lt;0.8),1,0)</f>
        <v/>
      </c>
      <c r="I116" s="30">
        <f>IF(AND(B116&gt;=8,D116&lt;&gt;"",D116&gt;=0.25,D116&lt;=0.75),1,0)</f>
        <v/>
      </c>
      <c r="J116" s="2" t="n"/>
    </row>
    <row r="117">
      <c r="A117" s="2" t="inlineStr">
        <is>
          <t>IMP00110</t>
        </is>
      </c>
      <c r="B117" s="2" t="n">
        <v>85</v>
      </c>
      <c r="C117" s="19" t="n">
        <v>0.913</v>
      </c>
      <c r="D117" s="29" t="n">
        <v>0.0706</v>
      </c>
      <c r="E117" s="2" t="n">
        <v>2</v>
      </c>
      <c r="F117" s="2" t="n">
        <v>0</v>
      </c>
      <c r="G117" s="2" t="n">
        <v>0</v>
      </c>
      <c r="H117" s="30">
        <f>IF(AND(B117&gt;=5,C117&lt;&gt;"",C117&lt;0.8),1,0)</f>
        <v/>
      </c>
      <c r="I117" s="30">
        <f>IF(AND(B117&gt;=8,D117&lt;&gt;"",D117&gt;=0.25,D117&lt;=0.75),1,0)</f>
        <v/>
      </c>
      <c r="J117" s="2" t="n"/>
    </row>
    <row r="118">
      <c r="A118" s="2" t="inlineStr">
        <is>
          <t>IMP00111</t>
        </is>
      </c>
      <c r="B118" s="2" t="n">
        <v>161</v>
      </c>
      <c r="C118" s="19" t="n">
        <v>1.0165</v>
      </c>
      <c r="D118" s="29" t="n">
        <v>0.0435</v>
      </c>
      <c r="E118" s="2" t="n">
        <v>2</v>
      </c>
      <c r="F118" s="2" t="n">
        <v>0</v>
      </c>
      <c r="G118" s="2" t="n">
        <v>0</v>
      </c>
      <c r="H118" s="30">
        <f>IF(AND(B118&gt;=5,C118&lt;&gt;"",C118&lt;0.8),1,0)</f>
        <v/>
      </c>
      <c r="I118" s="30">
        <f>IF(AND(B118&gt;=8,D118&lt;&gt;"",D118&gt;=0.25,D118&lt;=0.75),1,0)</f>
        <v/>
      </c>
      <c r="J118" s="2" t="n"/>
    </row>
    <row r="119">
      <c r="A119" s="2" t="inlineStr">
        <is>
          <t>IMP00112</t>
        </is>
      </c>
      <c r="B119" s="2" t="n">
        <v>25</v>
      </c>
      <c r="C119" s="19" t="n">
        <v>1.015</v>
      </c>
      <c r="D119" s="29" t="n">
        <v>0.04</v>
      </c>
      <c r="E119" s="2" t="n">
        <v>1</v>
      </c>
      <c r="F119" s="2" t="n">
        <v>0</v>
      </c>
      <c r="G119" s="2" t="n">
        <v>0</v>
      </c>
      <c r="H119" s="30">
        <f>IF(AND(B119&gt;=5,C119&lt;&gt;"",C119&lt;0.8),1,0)</f>
        <v/>
      </c>
      <c r="I119" s="30">
        <f>IF(AND(B119&gt;=8,D119&lt;&gt;"",D119&gt;=0.25,D119&lt;=0.75),1,0)</f>
        <v/>
      </c>
      <c r="J119" s="2" t="n"/>
    </row>
    <row r="120">
      <c r="A120" s="2" t="inlineStr">
        <is>
          <t>IMP00113</t>
        </is>
      </c>
      <c r="B120" s="2" t="n">
        <v>4</v>
      </c>
      <c r="C120" s="19" t="n">
        <v>1.082</v>
      </c>
      <c r="D120" s="29" t="n">
        <v>0</v>
      </c>
      <c r="E120" s="2" t="n">
        <v>1</v>
      </c>
      <c r="F120" s="2" t="n">
        <v>0</v>
      </c>
      <c r="G120" s="2" t="n">
        <v>0</v>
      </c>
      <c r="H120" s="30">
        <f>IF(AND(B120&gt;=5,C120&lt;&gt;"",C120&lt;0.8),1,0)</f>
        <v/>
      </c>
      <c r="I120" s="30">
        <f>IF(AND(B120&gt;=8,D120&lt;&gt;"",D120&gt;=0.25,D120&lt;=0.75),1,0)</f>
        <v/>
      </c>
      <c r="J120" s="2" t="n"/>
    </row>
    <row r="121">
      <c r="A121" s="2" t="inlineStr">
        <is>
          <t>IMP00114</t>
        </is>
      </c>
      <c r="B121" s="2" t="n">
        <v>5</v>
      </c>
      <c r="C121" s="19" t="n">
        <v>0.953</v>
      </c>
      <c r="D121" s="29" t="n">
        <v>0.4</v>
      </c>
      <c r="E121" s="2" t="n">
        <v>13</v>
      </c>
      <c r="F121" s="2" t="n">
        <v>0</v>
      </c>
      <c r="G121" s="2" t="n">
        <v>0</v>
      </c>
      <c r="H121" s="30">
        <f>IF(AND(B121&gt;=5,C121&lt;&gt;"",C121&lt;0.8),1,0)</f>
        <v/>
      </c>
      <c r="I121" s="30">
        <f>IF(AND(B121&gt;=8,D121&lt;&gt;"",D121&gt;=0.25,D121&lt;=0.75),1,0)</f>
        <v/>
      </c>
      <c r="J121" s="2" t="n"/>
    </row>
    <row r="122">
      <c r="A122" s="2" t="inlineStr">
        <is>
          <t>IMP00115</t>
        </is>
      </c>
      <c r="B122" s="2" t="n">
        <v>23</v>
      </c>
      <c r="C122" s="19" t="n">
        <v>1.001</v>
      </c>
      <c r="D122" s="29" t="n">
        <v>0</v>
      </c>
      <c r="E122" s="2" t="n">
        <v>1</v>
      </c>
      <c r="F122" s="2" t="n">
        <v>0</v>
      </c>
      <c r="G122" s="2" t="n">
        <v>0</v>
      </c>
      <c r="H122" s="30">
        <f>IF(AND(B122&gt;=5,C122&lt;&gt;"",C122&lt;0.8),1,0)</f>
        <v/>
      </c>
      <c r="I122" s="30">
        <f>IF(AND(B122&gt;=8,D122&lt;&gt;"",D122&gt;=0.25,D122&lt;=0.75),1,0)</f>
        <v/>
      </c>
      <c r="J122" s="2" t="n"/>
    </row>
    <row r="123">
      <c r="A123" s="2" t="inlineStr">
        <is>
          <t>IMP00116</t>
        </is>
      </c>
      <c r="B123" s="2" t="n">
        <v>5</v>
      </c>
      <c r="C123" s="19" t="n">
        <v>1.258</v>
      </c>
      <c r="D123" s="29" t="n">
        <v>0</v>
      </c>
      <c r="E123" s="2" t="n">
        <v>1</v>
      </c>
      <c r="F123" s="2" t="n">
        <v>0</v>
      </c>
      <c r="G123" s="2" t="n">
        <v>0</v>
      </c>
      <c r="H123" s="30">
        <f>IF(AND(B123&gt;=5,C123&lt;&gt;"",C123&lt;0.8),1,0)</f>
        <v/>
      </c>
      <c r="I123" s="30">
        <f>IF(AND(B123&gt;=8,D123&lt;&gt;"",D123&gt;=0.25,D123&lt;=0.75),1,0)</f>
        <v/>
      </c>
      <c r="J123" s="2" t="n"/>
    </row>
    <row r="124">
      <c r="A124" s="2" t="inlineStr">
        <is>
          <t>IMP00117</t>
        </is>
      </c>
      <c r="B124" s="2" t="n">
        <v>1</v>
      </c>
      <c r="C124" s="19" t="n">
        <v>0.701</v>
      </c>
      <c r="D124" s="29" t="n">
        <v>1</v>
      </c>
      <c r="E124" s="2" t="n">
        <v>1</v>
      </c>
      <c r="F124" s="2" t="n">
        <v>0</v>
      </c>
      <c r="G124" s="2" t="n">
        <v>0</v>
      </c>
      <c r="H124" s="30">
        <f>IF(AND(B124&gt;=5,C124&lt;&gt;"",C124&lt;0.8),1,0)</f>
        <v/>
      </c>
      <c r="I124" s="30">
        <f>IF(AND(B124&gt;=8,D124&lt;&gt;"",D124&gt;=0.25,D124&lt;=0.75),1,0)</f>
        <v/>
      </c>
      <c r="J124" s="2" t="n"/>
    </row>
    <row r="125">
      <c r="A125" s="2" t="inlineStr">
        <is>
          <t>IMP00118</t>
        </is>
      </c>
      <c r="B125" s="2" t="n">
        <v>248</v>
      </c>
      <c r="C125" s="19" t="n">
        <v>0.946</v>
      </c>
      <c r="D125" s="29" t="n">
        <v>0.0363</v>
      </c>
      <c r="E125" s="2" t="n">
        <v>1</v>
      </c>
      <c r="F125" s="2" t="n">
        <v>0</v>
      </c>
      <c r="G125" s="2" t="n">
        <v>0</v>
      </c>
      <c r="H125" s="30">
        <f>IF(AND(B125&gt;=5,C125&lt;&gt;"",C125&lt;0.8),1,0)</f>
        <v/>
      </c>
      <c r="I125" s="30">
        <f>IF(AND(B125&gt;=8,D125&lt;&gt;"",D125&gt;=0.25,D125&lt;=0.75),1,0)</f>
        <v/>
      </c>
      <c r="J125" s="2" t="n"/>
    </row>
    <row r="126">
      <c r="A126" s="2" t="inlineStr">
        <is>
          <t>IMP00119</t>
        </is>
      </c>
      <c r="B126" s="2" t="n">
        <v>2</v>
      </c>
      <c r="C126" s="19" t="n">
        <v>0.75</v>
      </c>
      <c r="D126" s="29" t="n">
        <v>0.5</v>
      </c>
      <c r="E126" s="2" t="n">
        <v>1</v>
      </c>
      <c r="F126" s="2" t="n">
        <v>0</v>
      </c>
      <c r="G126" s="2" t="n">
        <v>0</v>
      </c>
      <c r="H126" s="30">
        <f>IF(AND(B126&gt;=5,C126&lt;&gt;"",C126&lt;0.8),1,0)</f>
        <v/>
      </c>
      <c r="I126" s="30">
        <f>IF(AND(B126&gt;=8,D126&lt;&gt;"",D126&gt;=0.25,D126&lt;=0.75),1,0)</f>
        <v/>
      </c>
      <c r="J126" s="2" t="n"/>
    </row>
    <row r="127">
      <c r="A127" s="2" t="inlineStr">
        <is>
          <t>IMP00120</t>
        </is>
      </c>
      <c r="B127" s="2" t="n">
        <v>1</v>
      </c>
      <c r="C127" s="19" t="n">
        <v>0.594</v>
      </c>
      <c r="D127" s="29" t="n">
        <v>1</v>
      </c>
      <c r="E127" s="2" t="n">
        <v>1</v>
      </c>
      <c r="F127" s="2" t="n">
        <v>0</v>
      </c>
      <c r="G127" s="2" t="n">
        <v>0</v>
      </c>
      <c r="H127" s="30">
        <f>IF(AND(B127&gt;=5,C127&lt;&gt;"",C127&lt;0.8),1,0)</f>
        <v/>
      </c>
      <c r="I127" s="30">
        <f>IF(AND(B127&gt;=8,D127&lt;&gt;"",D127&gt;=0.25,D127&lt;=0.75),1,0)</f>
        <v/>
      </c>
      <c r="J127" s="2" t="n"/>
    </row>
    <row r="128">
      <c r="A128" s="2" t="inlineStr">
        <is>
          <t>IMP00121</t>
        </is>
      </c>
      <c r="B128" s="2" t="n">
        <v>5</v>
      </c>
      <c r="C128" s="19" t="n">
        <v>1.029</v>
      </c>
      <c r="D128" s="29" t="n">
        <v>0</v>
      </c>
      <c r="E128" s="2" t="n">
        <v>1</v>
      </c>
      <c r="F128" s="2" t="n">
        <v>0</v>
      </c>
      <c r="G128" s="2" t="n">
        <v>0</v>
      </c>
      <c r="H128" s="30">
        <f>IF(AND(B128&gt;=5,C128&lt;&gt;"",C128&lt;0.8),1,0)</f>
        <v/>
      </c>
      <c r="I128" s="30">
        <f>IF(AND(B128&gt;=8,D128&lt;&gt;"",D128&gt;=0.25,D128&lt;=0.75),1,0)</f>
        <v/>
      </c>
      <c r="J128" s="2" t="n"/>
    </row>
    <row r="129">
      <c r="A129" s="2" t="inlineStr">
        <is>
          <t>IMP00122</t>
        </is>
      </c>
      <c r="B129" s="2" t="n">
        <v>0</v>
      </c>
      <c r="C129" s="19" t="n"/>
      <c r="D129" s="29" t="n"/>
      <c r="E129" s="2" t="n">
        <v>0</v>
      </c>
      <c r="F129" s="2" t="n">
        <v>0</v>
      </c>
      <c r="G129" s="2" t="n">
        <v>0</v>
      </c>
      <c r="H129" s="30">
        <f>IF(AND(B129&gt;=5,C129&lt;&gt;"",C129&lt;0.8),1,0)</f>
        <v/>
      </c>
      <c r="I129" s="30">
        <f>IF(AND(B129&gt;=8,D129&lt;&gt;"",D129&gt;=0.25,D129&lt;=0.75),1,0)</f>
        <v/>
      </c>
      <c r="J129" s="2" t="n"/>
    </row>
    <row r="130">
      <c r="A130" s="2" t="inlineStr">
        <is>
          <t>IMP00123</t>
        </is>
      </c>
      <c r="B130" s="2" t="n">
        <v>264</v>
      </c>
      <c r="C130" s="19" t="n">
        <v>0.9835</v>
      </c>
      <c r="D130" s="29" t="n">
        <v>0.053</v>
      </c>
      <c r="E130" s="2" t="n">
        <v>1</v>
      </c>
      <c r="F130" s="2" t="n">
        <v>0</v>
      </c>
      <c r="G130" s="2" t="n">
        <v>0</v>
      </c>
      <c r="H130" s="30">
        <f>IF(AND(B130&gt;=5,C130&lt;&gt;"",C130&lt;0.8),1,0)</f>
        <v/>
      </c>
      <c r="I130" s="30">
        <f>IF(AND(B130&gt;=8,D130&lt;&gt;"",D130&gt;=0.25,D130&lt;=0.75),1,0)</f>
        <v/>
      </c>
      <c r="J130" s="2" t="n"/>
    </row>
    <row r="131">
      <c r="A131" s="2" t="inlineStr">
        <is>
          <t>IMP00124</t>
        </is>
      </c>
      <c r="B131" s="2" t="n">
        <v>27</v>
      </c>
      <c r="C131" s="19" t="n">
        <v>1.253</v>
      </c>
      <c r="D131" s="29" t="n">
        <v>0.037</v>
      </c>
      <c r="E131" s="2" t="n">
        <v>2</v>
      </c>
      <c r="F131" s="2" t="n">
        <v>0</v>
      </c>
      <c r="G131" s="2" t="n">
        <v>0</v>
      </c>
      <c r="H131" s="30">
        <f>IF(AND(B131&gt;=5,C131&lt;&gt;"",C131&lt;0.8),1,0)</f>
        <v/>
      </c>
      <c r="I131" s="30">
        <f>IF(AND(B131&gt;=8,D131&lt;&gt;"",D131&gt;=0.25,D131&lt;=0.75),1,0)</f>
        <v/>
      </c>
      <c r="J131" s="2" t="n"/>
    </row>
    <row r="132">
      <c r="A132" s="2" t="inlineStr">
        <is>
          <t>IMP00125</t>
        </is>
      </c>
      <c r="B132" s="2" t="n">
        <v>20</v>
      </c>
      <c r="C132" s="19" t="n">
        <v>1.4035</v>
      </c>
      <c r="D132" s="29" t="n">
        <v>0</v>
      </c>
      <c r="E132" s="2" t="n">
        <v>1</v>
      </c>
      <c r="F132" s="2" t="n">
        <v>0</v>
      </c>
      <c r="G132" s="2" t="n">
        <v>0</v>
      </c>
      <c r="H132" s="30">
        <f>IF(AND(B132&gt;=5,C132&lt;&gt;"",C132&lt;0.8),1,0)</f>
        <v/>
      </c>
      <c r="I132" s="30">
        <f>IF(AND(B132&gt;=8,D132&lt;&gt;"",D132&gt;=0.25,D132&lt;=0.75),1,0)</f>
        <v/>
      </c>
      <c r="J132" s="2" t="n"/>
    </row>
    <row r="133">
      <c r="A133" s="2" t="inlineStr">
        <is>
          <t>IMP00126</t>
        </is>
      </c>
      <c r="B133" s="2" t="n">
        <v>90</v>
      </c>
      <c r="C133" s="19" t="n">
        <v>0.9295</v>
      </c>
      <c r="D133" s="29" t="n">
        <v>0.1222</v>
      </c>
      <c r="E133" s="2" t="n">
        <v>1</v>
      </c>
      <c r="F133" s="2" t="n">
        <v>0</v>
      </c>
      <c r="G133" s="2" t="n">
        <v>0</v>
      </c>
      <c r="H133" s="30">
        <f>IF(AND(B133&gt;=5,C133&lt;&gt;"",C133&lt;0.8),1,0)</f>
        <v/>
      </c>
      <c r="I133" s="30">
        <f>IF(AND(B133&gt;=8,D133&lt;&gt;"",D133&gt;=0.25,D133&lt;=0.75),1,0)</f>
        <v/>
      </c>
      <c r="J133" s="2" t="n"/>
    </row>
    <row r="134">
      <c r="A134" s="2" t="inlineStr">
        <is>
          <t>IMP00127</t>
        </is>
      </c>
      <c r="B134" s="2" t="n">
        <v>18</v>
      </c>
      <c r="C134" s="19" t="n">
        <v>0.9845</v>
      </c>
      <c r="D134" s="29" t="n">
        <v>0</v>
      </c>
      <c r="E134" s="2" t="n">
        <v>1</v>
      </c>
      <c r="F134" s="2" t="n">
        <v>0</v>
      </c>
      <c r="G134" s="2" t="n">
        <v>0</v>
      </c>
      <c r="H134" s="30">
        <f>IF(AND(B134&gt;=5,C134&lt;&gt;"",C134&lt;0.8),1,0)</f>
        <v/>
      </c>
      <c r="I134" s="30">
        <f>IF(AND(B134&gt;=8,D134&lt;&gt;"",D134&gt;=0.25,D134&lt;=0.75),1,0)</f>
        <v/>
      </c>
      <c r="J134" s="2" t="n"/>
    </row>
    <row r="135">
      <c r="A135" s="2" t="inlineStr">
        <is>
          <t>IMP00128</t>
        </is>
      </c>
      <c r="B135" s="2" t="n">
        <v>112</v>
      </c>
      <c r="C135" s="19" t="n">
        <v>0.968</v>
      </c>
      <c r="D135" s="29" t="n">
        <v>0.1071</v>
      </c>
      <c r="E135" s="2" t="n">
        <v>1</v>
      </c>
      <c r="F135" s="2" t="n">
        <v>0</v>
      </c>
      <c r="G135" s="2" t="n">
        <v>0</v>
      </c>
      <c r="H135" s="30">
        <f>IF(AND(B135&gt;=5,C135&lt;&gt;"",C135&lt;0.8),1,0)</f>
        <v/>
      </c>
      <c r="I135" s="30">
        <f>IF(AND(B135&gt;=8,D135&lt;&gt;"",D135&gt;=0.25,D135&lt;=0.75),1,0)</f>
        <v/>
      </c>
      <c r="J135" s="2" t="n"/>
    </row>
    <row r="136">
      <c r="A136" s="2" t="inlineStr">
        <is>
          <t>IMP00129</t>
        </is>
      </c>
      <c r="B136" s="2" t="n">
        <v>3</v>
      </c>
      <c r="C136" s="19" t="n">
        <v>1.054</v>
      </c>
      <c r="D136" s="29" t="n">
        <v>0</v>
      </c>
      <c r="E136" s="2" t="n">
        <v>13</v>
      </c>
      <c r="F136" s="2" t="n">
        <v>0</v>
      </c>
      <c r="G136" s="2" t="n">
        <v>0</v>
      </c>
      <c r="H136" s="30">
        <f>IF(AND(B136&gt;=5,C136&lt;&gt;"",C136&lt;0.8),1,0)</f>
        <v/>
      </c>
      <c r="I136" s="30">
        <f>IF(AND(B136&gt;=8,D136&lt;&gt;"",D136&gt;=0.25,D136&lt;=0.75),1,0)</f>
        <v/>
      </c>
      <c r="J136" s="2" t="n"/>
    </row>
    <row r="137">
      <c r="A137" s="2" t="inlineStr">
        <is>
          <t>IMP00130</t>
        </is>
      </c>
      <c r="B137" s="2" t="n">
        <v>36</v>
      </c>
      <c r="C137" s="19" t="n">
        <v>0.8735000000000001</v>
      </c>
      <c r="D137" s="29" t="n">
        <v>0.0833</v>
      </c>
      <c r="E137" s="2" t="n">
        <v>1</v>
      </c>
      <c r="F137" s="2" t="n">
        <v>0</v>
      </c>
      <c r="G137" s="2" t="n">
        <v>0</v>
      </c>
      <c r="H137" s="30">
        <f>IF(AND(B137&gt;=5,C137&lt;&gt;"",C137&lt;0.8),1,0)</f>
        <v/>
      </c>
      <c r="I137" s="30">
        <f>IF(AND(B137&gt;=8,D137&lt;&gt;"",D137&gt;=0.25,D137&lt;=0.75),1,0)</f>
        <v/>
      </c>
      <c r="J137" s="2" t="n"/>
    </row>
    <row r="138">
      <c r="A138" s="2" t="inlineStr">
        <is>
          <t>IMP00131</t>
        </is>
      </c>
      <c r="B138" s="2" t="n">
        <v>0</v>
      </c>
      <c r="C138" s="19" t="n"/>
      <c r="D138" s="29" t="n"/>
      <c r="E138" s="2" t="n">
        <v>0</v>
      </c>
      <c r="F138" s="2" t="n">
        <v>0</v>
      </c>
      <c r="G138" s="2" t="n">
        <v>0</v>
      </c>
      <c r="H138" s="30">
        <f>IF(AND(B138&gt;=5,C138&lt;&gt;"",C138&lt;0.8),1,0)</f>
        <v/>
      </c>
      <c r="I138" s="30">
        <f>IF(AND(B138&gt;=8,D138&lt;&gt;"",D138&gt;=0.25,D138&lt;=0.75),1,0)</f>
        <v/>
      </c>
      <c r="J138" s="2" t="n"/>
    </row>
    <row r="139">
      <c r="A139" s="2" t="inlineStr">
        <is>
          <t>IMP00132</t>
        </is>
      </c>
      <c r="B139" s="2" t="n">
        <v>99</v>
      </c>
      <c r="C139" s="19" t="n">
        <v>0.999</v>
      </c>
      <c r="D139" s="29" t="n">
        <v>0.0303</v>
      </c>
      <c r="E139" s="2" t="n">
        <v>1</v>
      </c>
      <c r="F139" s="2" t="n">
        <v>0</v>
      </c>
      <c r="G139" s="2" t="n">
        <v>0</v>
      </c>
      <c r="H139" s="30">
        <f>IF(AND(B139&gt;=5,C139&lt;&gt;"",C139&lt;0.8),1,0)</f>
        <v/>
      </c>
      <c r="I139" s="30">
        <f>IF(AND(B139&gt;=8,D139&lt;&gt;"",D139&gt;=0.25,D139&lt;=0.75),1,0)</f>
        <v/>
      </c>
      <c r="J139" s="2" t="n"/>
    </row>
    <row r="140">
      <c r="A140" s="2" t="inlineStr">
        <is>
          <t>IMP00133</t>
        </is>
      </c>
      <c r="B140" s="2" t="n">
        <v>15</v>
      </c>
      <c r="C140" s="19" t="n">
        <v>0.902</v>
      </c>
      <c r="D140" s="29" t="n">
        <v>0.3333</v>
      </c>
      <c r="E140" s="2" t="n">
        <v>9</v>
      </c>
      <c r="F140" s="2" t="n">
        <v>0</v>
      </c>
      <c r="G140" s="2" t="n">
        <v>1</v>
      </c>
      <c r="H140" s="30">
        <f>IF(AND(B140&gt;=5,C140&lt;&gt;"",C140&lt;0.8),1,0)</f>
        <v/>
      </c>
      <c r="I140" s="30">
        <f>IF(AND(B140&gt;=8,D140&lt;&gt;"",D140&gt;=0.25,D140&lt;=0.75),1,0)</f>
        <v/>
      </c>
      <c r="J140" s="2" t="n"/>
    </row>
    <row r="141">
      <c r="A141" s="2" t="inlineStr">
        <is>
          <t>IMP00134</t>
        </is>
      </c>
      <c r="B141" s="2" t="n">
        <v>117</v>
      </c>
      <c r="C141" s="19" t="n">
        <v>0.976</v>
      </c>
      <c r="D141" s="29" t="n">
        <v>0.0256</v>
      </c>
      <c r="E141" s="2" t="n">
        <v>1</v>
      </c>
      <c r="F141" s="2" t="n">
        <v>0</v>
      </c>
      <c r="G141" s="2" t="n">
        <v>0</v>
      </c>
      <c r="H141" s="30">
        <f>IF(AND(B141&gt;=5,C141&lt;&gt;"",C141&lt;0.8),1,0)</f>
        <v/>
      </c>
      <c r="I141" s="30">
        <f>IF(AND(B141&gt;=8,D141&lt;&gt;"",D141&gt;=0.25,D141&lt;=0.75),1,0)</f>
        <v/>
      </c>
      <c r="J141" s="2" t="n"/>
    </row>
    <row r="142">
      <c r="A142" s="2" t="inlineStr">
        <is>
          <t>IMP00135</t>
        </is>
      </c>
      <c r="B142" s="2" t="n">
        <v>36</v>
      </c>
      <c r="C142" s="19" t="n">
        <v>0.9655</v>
      </c>
      <c r="D142" s="29" t="n">
        <v>0.0556</v>
      </c>
      <c r="E142" s="2" t="n">
        <v>1</v>
      </c>
      <c r="F142" s="2" t="n">
        <v>0</v>
      </c>
      <c r="G142" s="2" t="n">
        <v>0</v>
      </c>
      <c r="H142" s="30">
        <f>IF(AND(B142&gt;=5,C142&lt;&gt;"",C142&lt;0.8),1,0)</f>
        <v/>
      </c>
      <c r="I142" s="30">
        <f>IF(AND(B142&gt;=8,D142&lt;&gt;"",D142&gt;=0.25,D142&lt;=0.75),1,0)</f>
        <v/>
      </c>
      <c r="J142" s="2" t="n"/>
    </row>
    <row r="143">
      <c r="A143" s="2" t="inlineStr">
        <is>
          <t>IMP00136</t>
        </is>
      </c>
      <c r="B143" s="2" t="n">
        <v>93</v>
      </c>
      <c r="C143" s="19" t="n">
        <v>0.801</v>
      </c>
      <c r="D143" s="29" t="n">
        <v>0.3871</v>
      </c>
      <c r="E143" s="2" t="n">
        <v>1</v>
      </c>
      <c r="F143" s="2" t="n">
        <v>0</v>
      </c>
      <c r="G143" s="2" t="n">
        <v>1</v>
      </c>
      <c r="H143" s="30">
        <f>IF(AND(B143&gt;=5,C143&lt;&gt;"",C143&lt;0.8),1,0)</f>
        <v/>
      </c>
      <c r="I143" s="30">
        <f>IF(AND(B143&gt;=8,D143&lt;&gt;"",D143&gt;=0.25,D143&lt;=0.75),1,0)</f>
        <v/>
      </c>
      <c r="J143" s="2" t="n"/>
    </row>
    <row r="144">
      <c r="A144" s="2" t="inlineStr">
        <is>
          <t>IMP00137</t>
        </is>
      </c>
      <c r="B144" s="2" t="n">
        <v>327</v>
      </c>
      <c r="C144" s="19" t="n">
        <v>0.989</v>
      </c>
      <c r="D144" s="29" t="n">
        <v>0.0092</v>
      </c>
      <c r="E144" s="2" t="n">
        <v>1</v>
      </c>
      <c r="F144" s="2" t="n">
        <v>0</v>
      </c>
      <c r="G144" s="2" t="n">
        <v>0</v>
      </c>
      <c r="H144" s="30">
        <f>IF(AND(B144&gt;=5,C144&lt;&gt;"",C144&lt;0.8),1,0)</f>
        <v/>
      </c>
      <c r="I144" s="30">
        <f>IF(AND(B144&gt;=8,D144&lt;&gt;"",D144&gt;=0.25,D144&lt;=0.75),1,0)</f>
        <v/>
      </c>
      <c r="J144" s="2" t="n"/>
    </row>
    <row r="145">
      <c r="A145" s="2" t="inlineStr">
        <is>
          <t>IMP00138</t>
        </is>
      </c>
      <c r="B145" s="2" t="n">
        <v>181</v>
      </c>
      <c r="C145" s="19" t="n">
        <v>0.994</v>
      </c>
      <c r="D145" s="29" t="n">
        <v>0.0497</v>
      </c>
      <c r="E145" s="2" t="n">
        <v>1</v>
      </c>
      <c r="F145" s="2" t="n">
        <v>0</v>
      </c>
      <c r="G145" s="2" t="n">
        <v>0</v>
      </c>
      <c r="H145" s="30">
        <f>IF(AND(B145&gt;=5,C145&lt;&gt;"",C145&lt;0.8),1,0)</f>
        <v/>
      </c>
      <c r="I145" s="30">
        <f>IF(AND(B145&gt;=8,D145&lt;&gt;"",D145&gt;=0.25,D145&lt;=0.75),1,0)</f>
        <v/>
      </c>
      <c r="J145" s="2" t="n"/>
    </row>
    <row r="146">
      <c r="A146" s="2" t="inlineStr">
        <is>
          <t>IMP00139</t>
        </is>
      </c>
      <c r="B146" s="2" t="n">
        <v>14</v>
      </c>
      <c r="C146" s="19" t="n">
        <v>1.082</v>
      </c>
      <c r="D146" s="29" t="n">
        <v>0.07140000000000001</v>
      </c>
      <c r="E146" s="2" t="n">
        <v>2</v>
      </c>
      <c r="F146" s="2" t="n">
        <v>0</v>
      </c>
      <c r="G146" s="2" t="n">
        <v>0</v>
      </c>
      <c r="H146" s="30">
        <f>IF(AND(B146&gt;=5,C146&lt;&gt;"",C146&lt;0.8),1,0)</f>
        <v/>
      </c>
      <c r="I146" s="30">
        <f>IF(AND(B146&gt;=8,D146&lt;&gt;"",D146&gt;=0.25,D146&lt;=0.75),1,0)</f>
        <v/>
      </c>
      <c r="J146" s="2" t="n"/>
    </row>
    <row r="147">
      <c r="A147" s="2" t="inlineStr">
        <is>
          <t>IMP00140</t>
        </is>
      </c>
      <c r="B147" s="2" t="n">
        <v>179</v>
      </c>
      <c r="C147" s="19" t="n">
        <v>0.957</v>
      </c>
      <c r="D147" s="29" t="n">
        <v>0.0223</v>
      </c>
      <c r="E147" s="2" t="n">
        <v>1</v>
      </c>
      <c r="F147" s="2" t="n">
        <v>0</v>
      </c>
      <c r="G147" s="2" t="n">
        <v>0</v>
      </c>
      <c r="H147" s="30">
        <f>IF(AND(B147&gt;=5,C147&lt;&gt;"",C147&lt;0.8),1,0)</f>
        <v/>
      </c>
      <c r="I147" s="30">
        <f>IF(AND(B147&gt;=8,D147&lt;&gt;"",D147&gt;=0.25,D147&lt;=0.75),1,0)</f>
        <v/>
      </c>
      <c r="J147" s="2" t="n"/>
    </row>
    <row r="148">
      <c r="A148" s="2" t="inlineStr">
        <is>
          <t>IMP00141</t>
        </is>
      </c>
      <c r="B148" s="2" t="n">
        <v>303</v>
      </c>
      <c r="C148" s="19" t="n">
        <v>0.989</v>
      </c>
      <c r="D148" s="29" t="n">
        <v>0.0297</v>
      </c>
      <c r="E148" s="2" t="n">
        <v>1</v>
      </c>
      <c r="F148" s="2" t="n">
        <v>0</v>
      </c>
      <c r="G148" s="2" t="n">
        <v>0</v>
      </c>
      <c r="H148" s="30">
        <f>IF(AND(B148&gt;=5,C148&lt;&gt;"",C148&lt;0.8),1,0)</f>
        <v/>
      </c>
      <c r="I148" s="30">
        <f>IF(AND(B148&gt;=8,D148&lt;&gt;"",D148&gt;=0.25,D148&lt;=0.75),1,0)</f>
        <v/>
      </c>
      <c r="J148" s="2" t="n"/>
    </row>
    <row r="149">
      <c r="A149" s="2" t="inlineStr">
        <is>
          <t>IMP00142</t>
        </is>
      </c>
      <c r="B149" s="2" t="n">
        <v>109</v>
      </c>
      <c r="C149" s="19" t="n">
        <v>1.102</v>
      </c>
      <c r="D149" s="29" t="n">
        <v>0</v>
      </c>
      <c r="E149" s="2" t="n">
        <v>1</v>
      </c>
      <c r="F149" s="2" t="n">
        <v>0</v>
      </c>
      <c r="G149" s="2" t="n">
        <v>0</v>
      </c>
      <c r="H149" s="30">
        <f>IF(AND(B149&gt;=5,C149&lt;&gt;"",C149&lt;0.8),1,0)</f>
        <v/>
      </c>
      <c r="I149" s="30">
        <f>IF(AND(B149&gt;=8,D149&lt;&gt;"",D149&gt;=0.25,D149&lt;=0.75),1,0)</f>
        <v/>
      </c>
      <c r="J149" s="2" t="n"/>
    </row>
    <row r="150">
      <c r="A150" s="2" t="inlineStr">
        <is>
          <t>IMP00143</t>
        </is>
      </c>
      <c r="B150" s="2" t="n">
        <v>135</v>
      </c>
      <c r="C150" s="19" t="n">
        <v>0.9399999999999999</v>
      </c>
      <c r="D150" s="29" t="n">
        <v>0.2815</v>
      </c>
      <c r="E150" s="2" t="n">
        <v>2</v>
      </c>
      <c r="F150" s="2" t="n">
        <v>0</v>
      </c>
      <c r="G150" s="2" t="n">
        <v>1</v>
      </c>
      <c r="H150" s="30">
        <f>IF(AND(B150&gt;=5,C150&lt;&gt;"",C150&lt;0.8),1,0)</f>
        <v/>
      </c>
      <c r="I150" s="30">
        <f>IF(AND(B150&gt;=8,D150&lt;&gt;"",D150&gt;=0.25,D150&lt;=0.75),1,0)</f>
        <v/>
      </c>
      <c r="J150" s="2" t="n"/>
    </row>
    <row r="151">
      <c r="A151" s="2" t="inlineStr">
        <is>
          <t>IMP00144</t>
        </is>
      </c>
      <c r="B151" s="2" t="n">
        <v>11</v>
      </c>
      <c r="C151" s="19" t="n">
        <v>0.843</v>
      </c>
      <c r="D151" s="29" t="n">
        <v>0.2727</v>
      </c>
      <c r="E151" s="2" t="n">
        <v>1</v>
      </c>
      <c r="F151" s="2" t="n">
        <v>0</v>
      </c>
      <c r="G151" s="2" t="n">
        <v>1</v>
      </c>
      <c r="H151" s="30">
        <f>IF(AND(B151&gt;=5,C151&lt;&gt;"",C151&lt;0.8),1,0)</f>
        <v/>
      </c>
      <c r="I151" s="30">
        <f>IF(AND(B151&gt;=8,D151&lt;&gt;"",D151&gt;=0.25,D151&lt;=0.75),1,0)</f>
        <v/>
      </c>
      <c r="J151" s="2" t="n"/>
    </row>
    <row r="152">
      <c r="A152" s="2" t="inlineStr">
        <is>
          <t>IMP00145</t>
        </is>
      </c>
      <c r="B152" s="2" t="n">
        <v>0</v>
      </c>
      <c r="C152" s="19" t="n"/>
      <c r="D152" s="29" t="n"/>
      <c r="E152" s="2" t="n">
        <v>0</v>
      </c>
      <c r="F152" s="2" t="n">
        <v>0</v>
      </c>
      <c r="G152" s="2" t="n">
        <v>0</v>
      </c>
      <c r="H152" s="30">
        <f>IF(AND(B152&gt;=5,C152&lt;&gt;"",C152&lt;0.8),1,0)</f>
        <v/>
      </c>
      <c r="I152" s="30">
        <f>IF(AND(B152&gt;=8,D152&lt;&gt;"",D152&gt;=0.25,D152&lt;=0.75),1,0)</f>
        <v/>
      </c>
      <c r="J152" s="2" t="n"/>
    </row>
    <row r="153">
      <c r="A153" s="2" t="inlineStr">
        <is>
          <t>IMP00146</t>
        </is>
      </c>
      <c r="B153" s="2" t="n">
        <v>1</v>
      </c>
      <c r="C153" s="19" t="n">
        <v>1.103</v>
      </c>
      <c r="D153" s="29" t="n">
        <v>0</v>
      </c>
      <c r="E153" s="2" t="n">
        <v>1</v>
      </c>
      <c r="F153" s="2" t="n">
        <v>0</v>
      </c>
      <c r="G153" s="2" t="n">
        <v>0</v>
      </c>
      <c r="H153" s="30">
        <f>IF(AND(B153&gt;=5,C153&lt;&gt;"",C153&lt;0.8),1,0)</f>
        <v/>
      </c>
      <c r="I153" s="30">
        <f>IF(AND(B153&gt;=8,D153&lt;&gt;"",D153&gt;=0.25,D153&lt;=0.75),1,0)</f>
        <v/>
      </c>
      <c r="J153" s="2" t="n"/>
    </row>
    <row r="154">
      <c r="A154" s="2" t="inlineStr">
        <is>
          <t>IMP00147</t>
        </is>
      </c>
      <c r="B154" s="2" t="n">
        <v>50</v>
      </c>
      <c r="C154" s="19" t="n">
        <v>0.9615</v>
      </c>
      <c r="D154" s="29" t="n">
        <v>0.16</v>
      </c>
      <c r="E154" s="2" t="n">
        <v>1</v>
      </c>
      <c r="F154" s="2" t="n">
        <v>0</v>
      </c>
      <c r="G154" s="2" t="n">
        <v>0</v>
      </c>
      <c r="H154" s="30">
        <f>IF(AND(B154&gt;=5,C154&lt;&gt;"",C154&lt;0.8),1,0)</f>
        <v/>
      </c>
      <c r="I154" s="30">
        <f>IF(AND(B154&gt;=8,D154&lt;&gt;"",D154&gt;=0.25,D154&lt;=0.75),1,0)</f>
        <v/>
      </c>
      <c r="J154" s="2" t="n"/>
    </row>
    <row r="155">
      <c r="A155" s="2" t="inlineStr">
        <is>
          <t>IMP00148</t>
        </is>
      </c>
      <c r="B155" s="2" t="n">
        <v>0</v>
      </c>
      <c r="C155" s="19" t="n"/>
      <c r="D155" s="29" t="n"/>
      <c r="E155" s="2" t="n">
        <v>0</v>
      </c>
      <c r="F155" s="2" t="n">
        <v>0</v>
      </c>
      <c r="G155" s="2" t="n">
        <v>0</v>
      </c>
      <c r="H155" s="30">
        <f>IF(AND(B155&gt;=5,C155&lt;&gt;"",C155&lt;0.8),1,0)</f>
        <v/>
      </c>
      <c r="I155" s="30">
        <f>IF(AND(B155&gt;=8,D155&lt;&gt;"",D155&gt;=0.25,D155&lt;=0.75),1,0)</f>
        <v/>
      </c>
      <c r="J155" s="2" t="n"/>
    </row>
    <row r="156">
      <c r="A156" s="2" t="inlineStr">
        <is>
          <t>IMP00149</t>
        </is>
      </c>
      <c r="B156" s="2" t="n">
        <v>12</v>
      </c>
      <c r="C156" s="19" t="n">
        <v>1.4155</v>
      </c>
      <c r="D156" s="29" t="n">
        <v>0</v>
      </c>
      <c r="E156" s="2" t="n">
        <v>4</v>
      </c>
      <c r="F156" s="2" t="n">
        <v>0</v>
      </c>
      <c r="G156" s="2" t="n">
        <v>0</v>
      </c>
      <c r="H156" s="30">
        <f>IF(AND(B156&gt;=5,C156&lt;&gt;"",C156&lt;0.8),1,0)</f>
        <v/>
      </c>
      <c r="I156" s="30">
        <f>IF(AND(B156&gt;=8,D156&lt;&gt;"",D156&gt;=0.25,D156&lt;=0.75),1,0)</f>
        <v/>
      </c>
      <c r="J156" s="2" t="n"/>
    </row>
    <row r="157">
      <c r="A157" s="2" t="inlineStr">
        <is>
          <t>IMP00150</t>
        </is>
      </c>
      <c r="B157" s="2" t="n">
        <v>1</v>
      </c>
      <c r="C157" s="19" t="n">
        <v>0.879</v>
      </c>
      <c r="D157" s="29" t="n">
        <v>0</v>
      </c>
      <c r="E157" s="2" t="n">
        <v>1</v>
      </c>
      <c r="F157" s="2" t="n">
        <v>0</v>
      </c>
      <c r="G157" s="2" t="n">
        <v>0</v>
      </c>
      <c r="H157" s="30">
        <f>IF(AND(B157&gt;=5,C157&lt;&gt;"",C157&lt;0.8),1,0)</f>
        <v/>
      </c>
      <c r="I157" s="30">
        <f>IF(AND(B157&gt;=8,D157&lt;&gt;"",D157&gt;=0.25,D157&lt;=0.75),1,0)</f>
        <v/>
      </c>
      <c r="J157" s="2" t="n"/>
    </row>
    <row r="158">
      <c r="A158" s="2" t="inlineStr">
        <is>
          <t>IMP00151</t>
        </is>
      </c>
      <c r="B158" s="2" t="n">
        <v>0</v>
      </c>
      <c r="C158" s="19" t="n"/>
      <c r="D158" s="29" t="n"/>
      <c r="E158" s="2" t="n">
        <v>0</v>
      </c>
      <c r="F158" s="2" t="n">
        <v>0</v>
      </c>
      <c r="G158" s="2" t="n">
        <v>0</v>
      </c>
      <c r="H158" s="30">
        <f>IF(AND(B158&gt;=5,C158&lt;&gt;"",C158&lt;0.8),1,0)</f>
        <v/>
      </c>
      <c r="I158" s="30">
        <f>IF(AND(B158&gt;=8,D158&lt;&gt;"",D158&gt;=0.25,D158&lt;=0.75),1,0)</f>
        <v/>
      </c>
      <c r="J158" s="2" t="n"/>
    </row>
    <row r="159">
      <c r="A159" s="2" t="inlineStr">
        <is>
          <t>IMP00152</t>
        </is>
      </c>
      <c r="B159" s="2" t="n">
        <v>208</v>
      </c>
      <c r="C159" s="19" t="n">
        <v>1.035</v>
      </c>
      <c r="D159" s="29" t="n">
        <v>0.0529</v>
      </c>
      <c r="E159" s="2" t="n">
        <v>1</v>
      </c>
      <c r="F159" s="2" t="n">
        <v>0</v>
      </c>
      <c r="G159" s="2" t="n">
        <v>0</v>
      </c>
      <c r="H159" s="30">
        <f>IF(AND(B159&gt;=5,C159&lt;&gt;"",C159&lt;0.8),1,0)</f>
        <v/>
      </c>
      <c r="I159" s="30">
        <f>IF(AND(B159&gt;=8,D159&lt;&gt;"",D159&gt;=0.25,D159&lt;=0.75),1,0)</f>
        <v/>
      </c>
      <c r="J159" s="2" t="n"/>
    </row>
    <row r="160">
      <c r="A160" s="2" t="inlineStr">
        <is>
          <t>IMP00153</t>
        </is>
      </c>
      <c r="B160" s="2" t="n">
        <v>31</v>
      </c>
      <c r="C160" s="19" t="n">
        <v>0.978</v>
      </c>
      <c r="D160" s="29" t="n">
        <v>0.1613</v>
      </c>
      <c r="E160" s="2" t="n">
        <v>2</v>
      </c>
      <c r="F160" s="2" t="n">
        <v>0</v>
      </c>
      <c r="G160" s="2" t="n">
        <v>0</v>
      </c>
      <c r="H160" s="30">
        <f>IF(AND(B160&gt;=5,C160&lt;&gt;"",C160&lt;0.8),1,0)</f>
        <v/>
      </c>
      <c r="I160" s="30">
        <f>IF(AND(B160&gt;=8,D160&lt;&gt;"",D160&gt;=0.25,D160&lt;=0.75),1,0)</f>
        <v/>
      </c>
      <c r="J160" s="2" t="n"/>
    </row>
    <row r="161">
      <c r="A161" s="2" t="inlineStr">
        <is>
          <t>IMP00154</t>
        </is>
      </c>
      <c r="B161" s="2" t="n">
        <v>198</v>
      </c>
      <c r="C161" s="19" t="n">
        <v>1.22</v>
      </c>
      <c r="D161" s="29" t="n">
        <v>0.0101</v>
      </c>
      <c r="E161" s="2" t="n">
        <v>2</v>
      </c>
      <c r="F161" s="2" t="n">
        <v>0</v>
      </c>
      <c r="G161" s="2" t="n">
        <v>0</v>
      </c>
      <c r="H161" s="30">
        <f>IF(AND(B161&gt;=5,C161&lt;&gt;"",C161&lt;0.8),1,0)</f>
        <v/>
      </c>
      <c r="I161" s="30">
        <f>IF(AND(B161&gt;=8,D161&lt;&gt;"",D161&gt;=0.25,D161&lt;=0.75),1,0)</f>
        <v/>
      </c>
      <c r="J161" s="2" t="n"/>
    </row>
    <row r="162">
      <c r="A162" s="2" t="inlineStr">
        <is>
          <t>IMP00155</t>
        </is>
      </c>
      <c r="B162" s="2" t="n">
        <v>16</v>
      </c>
      <c r="C162" s="19" t="n">
        <v>0.9419999999999999</v>
      </c>
      <c r="D162" s="29" t="n">
        <v>0.0625</v>
      </c>
      <c r="E162" s="2" t="n">
        <v>1</v>
      </c>
      <c r="F162" s="2" t="n">
        <v>0</v>
      </c>
      <c r="G162" s="2" t="n">
        <v>0</v>
      </c>
      <c r="H162" s="30">
        <f>IF(AND(B162&gt;=5,C162&lt;&gt;"",C162&lt;0.8),1,0)</f>
        <v/>
      </c>
      <c r="I162" s="30">
        <f>IF(AND(B162&gt;=8,D162&lt;&gt;"",D162&gt;=0.25,D162&lt;=0.75),1,0)</f>
        <v/>
      </c>
      <c r="J162" s="2" t="n"/>
    </row>
    <row r="163">
      <c r="A163" s="2" t="inlineStr">
        <is>
          <t>IMP00156</t>
        </is>
      </c>
      <c r="B163" s="2" t="n">
        <v>385</v>
      </c>
      <c r="C163" s="19" t="n">
        <v>1.007</v>
      </c>
      <c r="D163" s="29" t="n">
        <v>0.09089999999999999</v>
      </c>
      <c r="E163" s="2" t="n">
        <v>2</v>
      </c>
      <c r="F163" s="2" t="n">
        <v>0</v>
      </c>
      <c r="G163" s="2" t="n">
        <v>0</v>
      </c>
      <c r="H163" s="30">
        <f>IF(AND(B163&gt;=5,C163&lt;&gt;"",C163&lt;0.8),1,0)</f>
        <v/>
      </c>
      <c r="I163" s="30">
        <f>IF(AND(B163&gt;=8,D163&lt;&gt;"",D163&gt;=0.25,D163&lt;=0.75),1,0)</f>
        <v/>
      </c>
      <c r="J163" s="2" t="n"/>
    </row>
    <row r="164">
      <c r="A164" s="2" t="inlineStr">
        <is>
          <t>IMP00157</t>
        </is>
      </c>
      <c r="B164" s="2" t="n">
        <v>9</v>
      </c>
      <c r="C164" s="19" t="n">
        <v>0.907</v>
      </c>
      <c r="D164" s="29" t="n">
        <v>0.2222</v>
      </c>
      <c r="E164" s="2" t="n">
        <v>1</v>
      </c>
      <c r="F164" s="2" t="n">
        <v>0</v>
      </c>
      <c r="G164" s="2" t="n">
        <v>0</v>
      </c>
      <c r="H164" s="30">
        <f>IF(AND(B164&gt;=5,C164&lt;&gt;"",C164&lt;0.8),1,0)</f>
        <v/>
      </c>
      <c r="I164" s="30">
        <f>IF(AND(B164&gt;=8,D164&lt;&gt;"",D164&gt;=0.25,D164&lt;=0.75),1,0)</f>
        <v/>
      </c>
      <c r="J164" s="2" t="n"/>
    </row>
    <row r="165">
      <c r="A165" s="2" t="inlineStr">
        <is>
          <t>IMP00158</t>
        </is>
      </c>
      <c r="B165" s="2" t="n">
        <v>67</v>
      </c>
      <c r="C165" s="19" t="n">
        <v>1.06</v>
      </c>
      <c r="D165" s="29" t="n">
        <v>0.0597</v>
      </c>
      <c r="E165" s="2" t="n">
        <v>3</v>
      </c>
      <c r="F165" s="2" t="n">
        <v>0</v>
      </c>
      <c r="G165" s="2" t="n">
        <v>0</v>
      </c>
      <c r="H165" s="30">
        <f>IF(AND(B165&gt;=5,C165&lt;&gt;"",C165&lt;0.8),1,0)</f>
        <v/>
      </c>
      <c r="I165" s="30">
        <f>IF(AND(B165&gt;=8,D165&lt;&gt;"",D165&gt;=0.25,D165&lt;=0.75),1,0)</f>
        <v/>
      </c>
      <c r="J165" s="2" t="n"/>
    </row>
    <row r="166">
      <c r="A166" s="2" t="inlineStr">
        <is>
          <t>IMP00159</t>
        </is>
      </c>
      <c r="B166" s="2" t="n">
        <v>24</v>
      </c>
      <c r="C166" s="19" t="n">
        <v>0.968</v>
      </c>
      <c r="D166" s="29" t="n">
        <v>0</v>
      </c>
      <c r="E166" s="2" t="n">
        <v>1</v>
      </c>
      <c r="F166" s="2" t="n">
        <v>0</v>
      </c>
      <c r="G166" s="2" t="n">
        <v>0</v>
      </c>
      <c r="H166" s="30">
        <f>IF(AND(B166&gt;=5,C166&lt;&gt;"",C166&lt;0.8),1,0)</f>
        <v/>
      </c>
      <c r="I166" s="30">
        <f>IF(AND(B166&gt;=8,D166&lt;&gt;"",D166&gt;=0.25,D166&lt;=0.75),1,0)</f>
        <v/>
      </c>
      <c r="J166" s="2" t="n"/>
    </row>
    <row r="167">
      <c r="A167" s="2" t="inlineStr">
        <is>
          <t>IMP00160</t>
        </is>
      </c>
      <c r="B167" s="2" t="n">
        <v>23</v>
      </c>
      <c r="C167" s="19" t="n">
        <v>1.036</v>
      </c>
      <c r="D167" s="29" t="n">
        <v>0.1304</v>
      </c>
      <c r="E167" s="2" t="n">
        <v>3</v>
      </c>
      <c r="F167" s="2" t="n">
        <v>0</v>
      </c>
      <c r="G167" s="2" t="n">
        <v>0</v>
      </c>
      <c r="H167" s="30">
        <f>IF(AND(B167&gt;=5,C167&lt;&gt;"",C167&lt;0.8),1,0)</f>
        <v/>
      </c>
      <c r="I167" s="30">
        <f>IF(AND(B167&gt;=8,D167&lt;&gt;"",D167&gt;=0.25,D167&lt;=0.75),1,0)</f>
        <v/>
      </c>
      <c r="J167" s="2" t="n"/>
    </row>
    <row r="168">
      <c r="A168" s="2" t="inlineStr">
        <is>
          <t>IMP00161</t>
        </is>
      </c>
      <c r="B168" s="2" t="n">
        <v>0</v>
      </c>
      <c r="C168" s="19" t="n"/>
      <c r="D168" s="29" t="n"/>
      <c r="E168" s="2" t="n">
        <v>0</v>
      </c>
      <c r="F168" s="2" t="n">
        <v>0</v>
      </c>
      <c r="G168" s="2" t="n">
        <v>0</v>
      </c>
      <c r="H168" s="30">
        <f>IF(AND(B168&gt;=5,C168&lt;&gt;"",C168&lt;0.8),1,0)</f>
        <v/>
      </c>
      <c r="I168" s="30">
        <f>IF(AND(B168&gt;=8,D168&lt;&gt;"",D168&gt;=0.25,D168&lt;=0.75),1,0)</f>
        <v/>
      </c>
      <c r="J168" s="2" t="n"/>
    </row>
    <row r="169">
      <c r="A169" s="2" t="inlineStr">
        <is>
          <t>IMP00162</t>
        </is>
      </c>
      <c r="B169" s="2" t="n">
        <v>1</v>
      </c>
      <c r="C169" s="19" t="n">
        <v>1.043</v>
      </c>
      <c r="D169" s="29" t="n">
        <v>0</v>
      </c>
      <c r="E169" s="2" t="n">
        <v>1</v>
      </c>
      <c r="F169" s="2" t="n">
        <v>0</v>
      </c>
      <c r="G169" s="2" t="n">
        <v>0</v>
      </c>
      <c r="H169" s="30">
        <f>IF(AND(B169&gt;=5,C169&lt;&gt;"",C169&lt;0.8),1,0)</f>
        <v/>
      </c>
      <c r="I169" s="30">
        <f>IF(AND(B169&gt;=8,D169&lt;&gt;"",D169&gt;=0.25,D169&lt;=0.75),1,0)</f>
        <v/>
      </c>
      <c r="J169" s="2" t="n"/>
    </row>
    <row r="170">
      <c r="A170" s="2" t="inlineStr">
        <is>
          <t>IMP00163</t>
        </is>
      </c>
      <c r="B170" s="2" t="n">
        <v>117</v>
      </c>
      <c r="C170" s="19" t="n">
        <v>1.012</v>
      </c>
      <c r="D170" s="29" t="n">
        <v>0.0256</v>
      </c>
      <c r="E170" s="2" t="n">
        <v>1</v>
      </c>
      <c r="F170" s="2" t="n">
        <v>0</v>
      </c>
      <c r="G170" s="2" t="n">
        <v>0</v>
      </c>
      <c r="H170" s="30">
        <f>IF(AND(B170&gt;=5,C170&lt;&gt;"",C170&lt;0.8),1,0)</f>
        <v/>
      </c>
      <c r="I170" s="30">
        <f>IF(AND(B170&gt;=8,D170&lt;&gt;"",D170&gt;=0.25,D170&lt;=0.75),1,0)</f>
        <v/>
      </c>
      <c r="J170" s="2" t="n"/>
    </row>
    <row r="171">
      <c r="A171" s="2" t="inlineStr">
        <is>
          <t>IMP00164</t>
        </is>
      </c>
      <c r="B171" s="2" t="n">
        <v>27</v>
      </c>
      <c r="C171" s="19" t="n">
        <v>1.196</v>
      </c>
      <c r="D171" s="29" t="n">
        <v>0</v>
      </c>
      <c r="E171" s="2" t="n">
        <v>1</v>
      </c>
      <c r="F171" s="2" t="n">
        <v>0</v>
      </c>
      <c r="G171" s="2" t="n">
        <v>0</v>
      </c>
      <c r="H171" s="30">
        <f>IF(AND(B171&gt;=5,C171&lt;&gt;"",C171&lt;0.8),1,0)</f>
        <v/>
      </c>
      <c r="I171" s="30">
        <f>IF(AND(B171&gt;=8,D171&lt;&gt;"",D171&gt;=0.25,D171&lt;=0.75),1,0)</f>
        <v/>
      </c>
      <c r="J171" s="2" t="n"/>
    </row>
    <row r="172">
      <c r="A172" s="2" t="inlineStr">
        <is>
          <t>IMP00165</t>
        </is>
      </c>
      <c r="B172" s="2" t="n">
        <v>0</v>
      </c>
      <c r="C172" s="19" t="n"/>
      <c r="D172" s="29" t="n"/>
      <c r="E172" s="2" t="n">
        <v>0</v>
      </c>
      <c r="F172" s="2" t="n">
        <v>0</v>
      </c>
      <c r="G172" s="2" t="n">
        <v>0</v>
      </c>
      <c r="H172" s="30">
        <f>IF(AND(B172&gt;=5,C172&lt;&gt;"",C172&lt;0.8),1,0)</f>
        <v/>
      </c>
      <c r="I172" s="30">
        <f>IF(AND(B172&gt;=8,D172&lt;&gt;"",D172&gt;=0.25,D172&lt;=0.75),1,0)</f>
        <v/>
      </c>
      <c r="J172" s="2" t="n"/>
    </row>
    <row r="173">
      <c r="A173" s="2" t="inlineStr">
        <is>
          <t>IMP00166</t>
        </is>
      </c>
      <c r="B173" s="2" t="n">
        <v>19</v>
      </c>
      <c r="C173" s="19" t="n">
        <v>1.145</v>
      </c>
      <c r="D173" s="29" t="n">
        <v>0</v>
      </c>
      <c r="E173" s="2" t="n">
        <v>2</v>
      </c>
      <c r="F173" s="2" t="n">
        <v>0</v>
      </c>
      <c r="G173" s="2" t="n">
        <v>0</v>
      </c>
      <c r="H173" s="30">
        <f>IF(AND(B173&gt;=5,C173&lt;&gt;"",C173&lt;0.8),1,0)</f>
        <v/>
      </c>
      <c r="I173" s="30">
        <f>IF(AND(B173&gt;=8,D173&lt;&gt;"",D173&gt;=0.25,D173&lt;=0.75),1,0)</f>
        <v/>
      </c>
      <c r="J173" s="2" t="n"/>
    </row>
    <row r="174">
      <c r="A174" s="2" t="inlineStr">
        <is>
          <t>IMP00167</t>
        </is>
      </c>
      <c r="B174" s="2" t="n">
        <v>1</v>
      </c>
      <c r="C174" s="19" t="n">
        <v>1.069</v>
      </c>
      <c r="D174" s="29" t="n">
        <v>0</v>
      </c>
      <c r="E174" s="2" t="n">
        <v>1</v>
      </c>
      <c r="F174" s="2" t="n">
        <v>0</v>
      </c>
      <c r="G174" s="2" t="n">
        <v>0</v>
      </c>
      <c r="H174" s="30">
        <f>IF(AND(B174&gt;=5,C174&lt;&gt;"",C174&lt;0.8),1,0)</f>
        <v/>
      </c>
      <c r="I174" s="30">
        <f>IF(AND(B174&gt;=8,D174&lt;&gt;"",D174&gt;=0.25,D174&lt;=0.75),1,0)</f>
        <v/>
      </c>
      <c r="J174" s="2" t="n"/>
    </row>
    <row r="175">
      <c r="A175" s="2" t="inlineStr">
        <is>
          <t>IMP00168</t>
        </is>
      </c>
      <c r="B175" s="2" t="n">
        <v>144</v>
      </c>
      <c r="C175" s="19" t="n">
        <v>0.9055</v>
      </c>
      <c r="D175" s="29" t="n">
        <v>0.2986</v>
      </c>
      <c r="E175" s="2" t="n">
        <v>1</v>
      </c>
      <c r="F175" s="2" t="n">
        <v>0</v>
      </c>
      <c r="G175" s="2" t="n">
        <v>1</v>
      </c>
      <c r="H175" s="30">
        <f>IF(AND(B175&gt;=5,C175&lt;&gt;"",C175&lt;0.8),1,0)</f>
        <v/>
      </c>
      <c r="I175" s="30">
        <f>IF(AND(B175&gt;=8,D175&lt;&gt;"",D175&gt;=0.25,D175&lt;=0.75),1,0)</f>
        <v/>
      </c>
      <c r="J175" s="2" t="n"/>
    </row>
    <row r="176">
      <c r="A176" s="2" t="inlineStr">
        <is>
          <t>IMP00169</t>
        </is>
      </c>
      <c r="B176" s="2" t="n">
        <v>7</v>
      </c>
      <c r="C176" s="19" t="n">
        <v>1.058</v>
      </c>
      <c r="D176" s="29" t="n">
        <v>0</v>
      </c>
      <c r="E176" s="2" t="n">
        <v>1</v>
      </c>
      <c r="F176" s="2" t="n">
        <v>0</v>
      </c>
      <c r="G176" s="2" t="n">
        <v>0</v>
      </c>
      <c r="H176" s="30">
        <f>IF(AND(B176&gt;=5,C176&lt;&gt;"",C176&lt;0.8),1,0)</f>
        <v/>
      </c>
      <c r="I176" s="30">
        <f>IF(AND(B176&gt;=8,D176&lt;&gt;"",D176&gt;=0.25,D176&lt;=0.75),1,0)</f>
        <v/>
      </c>
      <c r="J176" s="2" t="n"/>
    </row>
    <row r="177">
      <c r="A177" s="2" t="inlineStr">
        <is>
          <t>IMP00170</t>
        </is>
      </c>
      <c r="B177" s="2" t="n">
        <v>0</v>
      </c>
      <c r="C177" s="19" t="n"/>
      <c r="D177" s="29" t="n"/>
      <c r="E177" s="2" t="n">
        <v>0</v>
      </c>
      <c r="F177" s="2" t="n">
        <v>0</v>
      </c>
      <c r="G177" s="2" t="n">
        <v>0</v>
      </c>
      <c r="H177" s="30">
        <f>IF(AND(B177&gt;=5,C177&lt;&gt;"",C177&lt;0.8),1,0)</f>
        <v/>
      </c>
      <c r="I177" s="30">
        <f>IF(AND(B177&gt;=8,D177&lt;&gt;"",D177&gt;=0.25,D177&lt;=0.75),1,0)</f>
        <v/>
      </c>
      <c r="J177" s="2" t="n"/>
    </row>
    <row r="178">
      <c r="A178" s="2" t="inlineStr">
        <is>
          <t>IMP00171</t>
        </is>
      </c>
      <c r="B178" s="2" t="n">
        <v>26</v>
      </c>
      <c r="C178" s="19" t="n">
        <v>0.901</v>
      </c>
      <c r="D178" s="29" t="n">
        <v>0.1154</v>
      </c>
      <c r="E178" s="2" t="n">
        <v>2</v>
      </c>
      <c r="F178" s="2" t="n">
        <v>0</v>
      </c>
      <c r="G178" s="2" t="n">
        <v>0</v>
      </c>
      <c r="H178" s="30">
        <f>IF(AND(B178&gt;=5,C178&lt;&gt;"",C178&lt;0.8),1,0)</f>
        <v/>
      </c>
      <c r="I178" s="30">
        <f>IF(AND(B178&gt;=8,D178&lt;&gt;"",D178&gt;=0.25,D178&lt;=0.75),1,0)</f>
        <v/>
      </c>
      <c r="J178" s="2" t="n"/>
    </row>
    <row r="179">
      <c r="A179" s="2" t="inlineStr">
        <is>
          <t>IMP00172</t>
        </is>
      </c>
      <c r="B179" s="2" t="n">
        <v>28</v>
      </c>
      <c r="C179" s="19" t="n">
        <v>0.9340000000000001</v>
      </c>
      <c r="D179" s="29" t="n">
        <v>0.07140000000000001</v>
      </c>
      <c r="E179" s="2" t="n">
        <v>1</v>
      </c>
      <c r="F179" s="2" t="n">
        <v>0</v>
      </c>
      <c r="G179" s="2" t="n">
        <v>0</v>
      </c>
      <c r="H179" s="30">
        <f>IF(AND(B179&gt;=5,C179&lt;&gt;"",C179&lt;0.8),1,0)</f>
        <v/>
      </c>
      <c r="I179" s="30">
        <f>IF(AND(B179&gt;=8,D179&lt;&gt;"",D179&gt;=0.25,D179&lt;=0.75),1,0)</f>
        <v/>
      </c>
      <c r="J179" s="2" t="n"/>
    </row>
    <row r="180">
      <c r="A180" s="2" t="inlineStr">
        <is>
          <t>IMP00173</t>
        </is>
      </c>
      <c r="B180" s="2" t="n">
        <v>89</v>
      </c>
      <c r="C180" s="19" t="n">
        <v>1.081</v>
      </c>
      <c r="D180" s="29" t="n">
        <v>0.0449</v>
      </c>
      <c r="E180" s="2" t="n">
        <v>1</v>
      </c>
      <c r="F180" s="2" t="n">
        <v>0</v>
      </c>
      <c r="G180" s="2" t="n">
        <v>0</v>
      </c>
      <c r="H180" s="30">
        <f>IF(AND(B180&gt;=5,C180&lt;&gt;"",C180&lt;0.8),1,0)</f>
        <v/>
      </c>
      <c r="I180" s="30">
        <f>IF(AND(B180&gt;=8,D180&lt;&gt;"",D180&gt;=0.25,D180&lt;=0.75),1,0)</f>
        <v/>
      </c>
      <c r="J180" s="2" t="n"/>
    </row>
    <row r="181">
      <c r="A181" s="2" t="inlineStr">
        <is>
          <t>IMP00174</t>
        </is>
      </c>
      <c r="B181" s="2" t="n">
        <v>0</v>
      </c>
      <c r="C181" s="19" t="n"/>
      <c r="D181" s="29" t="n"/>
      <c r="E181" s="2" t="n">
        <v>0</v>
      </c>
      <c r="F181" s="2" t="n">
        <v>0</v>
      </c>
      <c r="G181" s="2" t="n">
        <v>0</v>
      </c>
      <c r="H181" s="30">
        <f>IF(AND(B181&gt;=5,C181&lt;&gt;"",C181&lt;0.8),1,0)</f>
        <v/>
      </c>
      <c r="I181" s="30">
        <f>IF(AND(B181&gt;=8,D181&lt;&gt;"",D181&gt;=0.25,D181&lt;=0.75),1,0)</f>
        <v/>
      </c>
      <c r="J181" s="2" t="n"/>
    </row>
    <row r="182">
      <c r="A182" s="2" t="inlineStr">
        <is>
          <t>IMP00175</t>
        </is>
      </c>
      <c r="B182" s="2" t="n">
        <v>5</v>
      </c>
      <c r="C182" s="19" t="n">
        <v>1.28</v>
      </c>
      <c r="D182" s="29" t="n">
        <v>0.2</v>
      </c>
      <c r="E182" s="2" t="n">
        <v>3</v>
      </c>
      <c r="F182" s="2" t="n">
        <v>0</v>
      </c>
      <c r="G182" s="2" t="n">
        <v>0</v>
      </c>
      <c r="H182" s="30">
        <f>IF(AND(B182&gt;=5,C182&lt;&gt;"",C182&lt;0.8),1,0)</f>
        <v/>
      </c>
      <c r="I182" s="30">
        <f>IF(AND(B182&gt;=8,D182&lt;&gt;"",D182&gt;=0.25,D182&lt;=0.75),1,0)</f>
        <v/>
      </c>
      <c r="J182" s="2" t="n"/>
    </row>
    <row r="183">
      <c r="A183" s="2" t="inlineStr">
        <is>
          <t>IMP00176</t>
        </is>
      </c>
      <c r="B183" s="2" t="n">
        <v>61</v>
      </c>
      <c r="C183" s="19" t="n">
        <v>0.984</v>
      </c>
      <c r="D183" s="29" t="n">
        <v>0.1967</v>
      </c>
      <c r="E183" s="2" t="n">
        <v>3</v>
      </c>
      <c r="F183" s="2" t="n">
        <v>0</v>
      </c>
      <c r="G183" s="2" t="n">
        <v>0</v>
      </c>
      <c r="H183" s="30">
        <f>IF(AND(B183&gt;=5,C183&lt;&gt;"",C183&lt;0.8),1,0)</f>
        <v/>
      </c>
      <c r="I183" s="30">
        <f>IF(AND(B183&gt;=8,D183&lt;&gt;"",D183&gt;=0.25,D183&lt;=0.75),1,0)</f>
        <v/>
      </c>
      <c r="J183" s="2" t="n"/>
    </row>
    <row r="184">
      <c r="A184" s="2" t="inlineStr">
        <is>
          <t>IMP00177</t>
        </is>
      </c>
      <c r="B184" s="2" t="n">
        <v>0</v>
      </c>
      <c r="C184" s="19" t="n"/>
      <c r="D184" s="29" t="n"/>
      <c r="E184" s="2" t="n">
        <v>0</v>
      </c>
      <c r="F184" s="2" t="n">
        <v>0</v>
      </c>
      <c r="G184" s="2" t="n">
        <v>0</v>
      </c>
      <c r="H184" s="30">
        <f>IF(AND(B184&gt;=5,C184&lt;&gt;"",C184&lt;0.8),1,0)</f>
        <v/>
      </c>
      <c r="I184" s="30">
        <f>IF(AND(B184&gt;=8,D184&lt;&gt;"",D184&gt;=0.25,D184&lt;=0.75),1,0)</f>
        <v/>
      </c>
      <c r="J184" s="2" t="n"/>
    </row>
    <row r="185">
      <c r="A185" s="2" t="inlineStr">
        <is>
          <t>IMP00178</t>
        </is>
      </c>
      <c r="B185" s="2" t="n">
        <v>21</v>
      </c>
      <c r="C185" s="19" t="n">
        <v>0.8080000000000001</v>
      </c>
      <c r="D185" s="29" t="n">
        <v>0.381</v>
      </c>
      <c r="E185" s="2" t="n">
        <v>1</v>
      </c>
      <c r="F185" s="2" t="n">
        <v>0</v>
      </c>
      <c r="G185" s="2" t="n">
        <v>1</v>
      </c>
      <c r="H185" s="30">
        <f>IF(AND(B185&gt;=5,C185&lt;&gt;"",C185&lt;0.8),1,0)</f>
        <v/>
      </c>
      <c r="I185" s="30">
        <f>IF(AND(B185&gt;=8,D185&lt;&gt;"",D185&gt;=0.25,D185&lt;=0.75),1,0)</f>
        <v/>
      </c>
      <c r="J185" s="2" t="n"/>
    </row>
    <row r="186">
      <c r="A186" s="2" t="inlineStr">
        <is>
          <t>IMP00179</t>
        </is>
      </c>
      <c r="B186" s="2" t="n">
        <v>14</v>
      </c>
      <c r="C186" s="19" t="n">
        <v>0.9795</v>
      </c>
      <c r="D186" s="29" t="n">
        <v>0</v>
      </c>
      <c r="E186" s="2" t="n">
        <v>2</v>
      </c>
      <c r="F186" s="2" t="n">
        <v>0</v>
      </c>
      <c r="G186" s="2" t="n">
        <v>0</v>
      </c>
      <c r="H186" s="30">
        <f>IF(AND(B186&gt;=5,C186&lt;&gt;"",C186&lt;0.8),1,0)</f>
        <v/>
      </c>
      <c r="I186" s="30">
        <f>IF(AND(B186&gt;=8,D186&lt;&gt;"",D186&gt;=0.25,D186&lt;=0.75),1,0)</f>
        <v/>
      </c>
      <c r="J186" s="2" t="n"/>
    </row>
    <row r="187">
      <c r="A187" s="2" t="inlineStr">
        <is>
          <t>IMP00180</t>
        </is>
      </c>
      <c r="B187" s="2" t="n">
        <v>1</v>
      </c>
      <c r="C187" s="19" t="n">
        <v>1</v>
      </c>
      <c r="D187" s="29" t="n">
        <v>0</v>
      </c>
      <c r="E187" s="2" t="n">
        <v>1</v>
      </c>
      <c r="F187" s="2" t="n">
        <v>0</v>
      </c>
      <c r="G187" s="2" t="n">
        <v>0</v>
      </c>
      <c r="H187" s="30">
        <f>IF(AND(B187&gt;=5,C187&lt;&gt;"",C187&lt;0.8),1,0)</f>
        <v/>
      </c>
      <c r="I187" s="30">
        <f>IF(AND(B187&gt;=8,D187&lt;&gt;"",D187&gt;=0.25,D187&lt;=0.75),1,0)</f>
        <v/>
      </c>
      <c r="J187" s="2" t="n"/>
    </row>
    <row r="188">
      <c r="A188" s="2" t="inlineStr">
        <is>
          <t>IMP00181</t>
        </is>
      </c>
      <c r="B188" s="2" t="n">
        <v>0</v>
      </c>
      <c r="C188" s="19" t="n"/>
      <c r="D188" s="29" t="n"/>
      <c r="E188" s="2" t="n">
        <v>0</v>
      </c>
      <c r="F188" s="2" t="n">
        <v>0</v>
      </c>
      <c r="G188" s="2" t="n">
        <v>0</v>
      </c>
      <c r="H188" s="30">
        <f>IF(AND(B188&gt;=5,C188&lt;&gt;"",C188&lt;0.8),1,0)</f>
        <v/>
      </c>
      <c r="I188" s="30">
        <f>IF(AND(B188&gt;=8,D188&lt;&gt;"",D188&gt;=0.25,D188&lt;=0.75),1,0)</f>
        <v/>
      </c>
      <c r="J188" s="2" t="n"/>
    </row>
    <row r="189">
      <c r="A189" s="2" t="inlineStr">
        <is>
          <t>IMP00182</t>
        </is>
      </c>
      <c r="B189" s="2" t="n">
        <v>24</v>
      </c>
      <c r="C189" s="19" t="n">
        <v>0.898</v>
      </c>
      <c r="D189" s="29" t="n">
        <v>0.0833</v>
      </c>
      <c r="E189" s="2" t="n">
        <v>1</v>
      </c>
      <c r="F189" s="2" t="n">
        <v>0</v>
      </c>
      <c r="G189" s="2" t="n">
        <v>0</v>
      </c>
      <c r="H189" s="30">
        <f>IF(AND(B189&gt;=5,C189&lt;&gt;"",C189&lt;0.8),1,0)</f>
        <v/>
      </c>
      <c r="I189" s="30">
        <f>IF(AND(B189&gt;=8,D189&lt;&gt;"",D189&gt;=0.25,D189&lt;=0.75),1,0)</f>
        <v/>
      </c>
      <c r="J189" s="2" t="n"/>
    </row>
    <row r="190">
      <c r="A190" s="2" t="inlineStr">
        <is>
          <t>IMP00183</t>
        </is>
      </c>
      <c r="B190" s="2" t="n">
        <v>25</v>
      </c>
      <c r="C190" s="19" t="n">
        <v>0.914</v>
      </c>
      <c r="D190" s="29" t="n">
        <v>0.16</v>
      </c>
      <c r="E190" s="2" t="n">
        <v>1</v>
      </c>
      <c r="F190" s="2" t="n">
        <v>0</v>
      </c>
      <c r="G190" s="2" t="n">
        <v>0</v>
      </c>
      <c r="H190" s="30">
        <f>IF(AND(B190&gt;=5,C190&lt;&gt;"",C190&lt;0.8),1,0)</f>
        <v/>
      </c>
      <c r="I190" s="30">
        <f>IF(AND(B190&gt;=8,D190&lt;&gt;"",D190&gt;=0.25,D190&lt;=0.75),1,0)</f>
        <v/>
      </c>
      <c r="J190" s="2" t="n"/>
    </row>
    <row r="191">
      <c r="A191" s="2" t="inlineStr">
        <is>
          <t>IMP00184</t>
        </is>
      </c>
      <c r="B191" s="2" t="n">
        <v>70</v>
      </c>
      <c r="C191" s="19" t="n">
        <v>1.17</v>
      </c>
      <c r="D191" s="29" t="n">
        <v>0</v>
      </c>
      <c r="E191" s="2" t="n">
        <v>1</v>
      </c>
      <c r="F191" s="2" t="n">
        <v>0</v>
      </c>
      <c r="G191" s="2" t="n">
        <v>0</v>
      </c>
      <c r="H191" s="30">
        <f>IF(AND(B191&gt;=5,C191&lt;&gt;"",C191&lt;0.8),1,0)</f>
        <v/>
      </c>
      <c r="I191" s="30">
        <f>IF(AND(B191&gt;=8,D191&lt;&gt;"",D191&gt;=0.25,D191&lt;=0.75),1,0)</f>
        <v/>
      </c>
      <c r="J191" s="2" t="n"/>
    </row>
    <row r="192">
      <c r="A192" s="2" t="inlineStr">
        <is>
          <t>IMP00185</t>
        </is>
      </c>
      <c r="B192" s="2" t="n">
        <v>6</v>
      </c>
      <c r="C192" s="19" t="n">
        <v>0.9965000000000001</v>
      </c>
      <c r="D192" s="29" t="n">
        <v>0.1667</v>
      </c>
      <c r="E192" s="2" t="n">
        <v>2</v>
      </c>
      <c r="F192" s="2" t="n">
        <v>0</v>
      </c>
      <c r="G192" s="2" t="n">
        <v>0</v>
      </c>
      <c r="H192" s="30">
        <f>IF(AND(B192&gt;=5,C192&lt;&gt;"",C192&lt;0.8),1,0)</f>
        <v/>
      </c>
      <c r="I192" s="30">
        <f>IF(AND(B192&gt;=8,D192&lt;&gt;"",D192&gt;=0.25,D192&lt;=0.75),1,0)</f>
        <v/>
      </c>
      <c r="J192" s="2" t="n"/>
    </row>
    <row r="193">
      <c r="A193" s="2" t="inlineStr">
        <is>
          <t>IMP00186</t>
        </is>
      </c>
      <c r="B193" s="2" t="n">
        <v>21</v>
      </c>
      <c r="C193" s="19" t="n">
        <v>1.05</v>
      </c>
      <c r="D193" s="29" t="n">
        <v>0.1905</v>
      </c>
      <c r="E193" s="2" t="n">
        <v>1</v>
      </c>
      <c r="F193" s="2" t="n">
        <v>0</v>
      </c>
      <c r="G193" s="2" t="n">
        <v>0</v>
      </c>
      <c r="H193" s="30">
        <f>IF(AND(B193&gt;=5,C193&lt;&gt;"",C193&lt;0.8),1,0)</f>
        <v/>
      </c>
      <c r="I193" s="30">
        <f>IF(AND(B193&gt;=8,D193&lt;&gt;"",D193&gt;=0.25,D193&lt;=0.75),1,0)</f>
        <v/>
      </c>
      <c r="J193" s="2" t="n"/>
    </row>
    <row r="194">
      <c r="A194" s="2" t="inlineStr">
        <is>
          <t>IMP00187</t>
        </is>
      </c>
      <c r="B194" s="2" t="n">
        <v>61</v>
      </c>
      <c r="C194" s="19" t="n">
        <v>1.075</v>
      </c>
      <c r="D194" s="29" t="n">
        <v>0</v>
      </c>
      <c r="E194" s="2" t="n">
        <v>1</v>
      </c>
      <c r="F194" s="2" t="n">
        <v>0</v>
      </c>
      <c r="G194" s="2" t="n">
        <v>0</v>
      </c>
      <c r="H194" s="30">
        <f>IF(AND(B194&gt;=5,C194&lt;&gt;"",C194&lt;0.8),1,0)</f>
        <v/>
      </c>
      <c r="I194" s="30">
        <f>IF(AND(B194&gt;=8,D194&lt;&gt;"",D194&gt;=0.25,D194&lt;=0.75),1,0)</f>
        <v/>
      </c>
      <c r="J194" s="2" t="n"/>
    </row>
    <row r="195">
      <c r="A195" s="2" t="inlineStr">
        <is>
          <t>IMP00188</t>
        </is>
      </c>
      <c r="B195" s="2" t="n">
        <v>9</v>
      </c>
      <c r="C195" s="19" t="n">
        <v>0.761</v>
      </c>
      <c r="D195" s="29" t="n">
        <v>0.3333</v>
      </c>
      <c r="E195" s="2" t="n">
        <v>1</v>
      </c>
      <c r="F195" s="2" t="n">
        <v>1</v>
      </c>
      <c r="G195" s="2" t="n">
        <v>1</v>
      </c>
      <c r="H195" s="30">
        <f>IF(AND(B195&gt;=5,C195&lt;&gt;"",C195&lt;0.8),1,0)</f>
        <v/>
      </c>
      <c r="I195" s="30">
        <f>IF(AND(B195&gt;=8,D195&lt;&gt;"",D195&gt;=0.25,D195&lt;=0.75),1,0)</f>
        <v/>
      </c>
      <c r="J195" s="2" t="n"/>
    </row>
    <row r="196">
      <c r="A196" s="2" t="inlineStr">
        <is>
          <t>IMP00189</t>
        </is>
      </c>
      <c r="B196" s="2" t="n">
        <v>18</v>
      </c>
      <c r="C196" s="19" t="n">
        <v>0.9085</v>
      </c>
      <c r="D196" s="29" t="n">
        <v>0.1667</v>
      </c>
      <c r="E196" s="2" t="n">
        <v>1</v>
      </c>
      <c r="F196" s="2" t="n">
        <v>0</v>
      </c>
      <c r="G196" s="2" t="n">
        <v>0</v>
      </c>
      <c r="H196" s="30">
        <f>IF(AND(B196&gt;=5,C196&lt;&gt;"",C196&lt;0.8),1,0)</f>
        <v/>
      </c>
      <c r="I196" s="30">
        <f>IF(AND(B196&gt;=8,D196&lt;&gt;"",D196&gt;=0.25,D196&lt;=0.75),1,0)</f>
        <v/>
      </c>
      <c r="J196" s="2" t="n"/>
    </row>
    <row r="197">
      <c r="A197" s="2" t="inlineStr">
        <is>
          <t>IMP00190</t>
        </is>
      </c>
      <c r="B197" s="2" t="n">
        <v>19</v>
      </c>
      <c r="C197" s="19" t="n">
        <v>1.203</v>
      </c>
      <c r="D197" s="29" t="n">
        <v>0</v>
      </c>
      <c r="E197" s="2" t="n">
        <v>1</v>
      </c>
      <c r="F197" s="2" t="n">
        <v>0</v>
      </c>
      <c r="G197" s="2" t="n">
        <v>0</v>
      </c>
      <c r="H197" s="30">
        <f>IF(AND(B197&gt;=5,C197&lt;&gt;"",C197&lt;0.8),1,0)</f>
        <v/>
      </c>
      <c r="I197" s="30">
        <f>IF(AND(B197&gt;=8,D197&lt;&gt;"",D197&gt;=0.25,D197&lt;=0.75),1,0)</f>
        <v/>
      </c>
      <c r="J197" s="2" t="n"/>
    </row>
    <row r="198">
      <c r="A198" s="2" t="inlineStr">
        <is>
          <t>IMP00191</t>
        </is>
      </c>
      <c r="B198" s="2" t="n">
        <v>24</v>
      </c>
      <c r="C198" s="19" t="n">
        <v>0.904</v>
      </c>
      <c r="D198" s="29" t="n">
        <v>0.0417</v>
      </c>
      <c r="E198" s="2" t="n">
        <v>1</v>
      </c>
      <c r="F198" s="2" t="n">
        <v>0</v>
      </c>
      <c r="G198" s="2" t="n">
        <v>0</v>
      </c>
      <c r="H198" s="30">
        <f>IF(AND(B198&gt;=5,C198&lt;&gt;"",C198&lt;0.8),1,0)</f>
        <v/>
      </c>
      <c r="I198" s="30">
        <f>IF(AND(B198&gt;=8,D198&lt;&gt;"",D198&gt;=0.25,D198&lt;=0.75),1,0)</f>
        <v/>
      </c>
      <c r="J198" s="2" t="n"/>
    </row>
    <row r="199">
      <c r="A199" s="2" t="inlineStr">
        <is>
          <t>IMP00192</t>
        </is>
      </c>
      <c r="B199" s="2" t="n">
        <v>1</v>
      </c>
      <c r="C199" s="19" t="n">
        <v>0.754</v>
      </c>
      <c r="D199" s="29" t="n">
        <v>0</v>
      </c>
      <c r="E199" s="2" t="n">
        <v>2</v>
      </c>
      <c r="F199" s="2" t="n">
        <v>0</v>
      </c>
      <c r="G199" s="2" t="n">
        <v>0</v>
      </c>
      <c r="H199" s="30">
        <f>IF(AND(B199&gt;=5,C199&lt;&gt;"",C199&lt;0.8),1,0)</f>
        <v/>
      </c>
      <c r="I199" s="30">
        <f>IF(AND(B199&gt;=8,D199&lt;&gt;"",D199&gt;=0.25,D199&lt;=0.75),1,0)</f>
        <v/>
      </c>
      <c r="J199" s="2" t="n"/>
    </row>
    <row r="200">
      <c r="A200" s="2" t="inlineStr">
        <is>
          <t>IMP00193</t>
        </is>
      </c>
      <c r="B200" s="2" t="n">
        <v>70</v>
      </c>
      <c r="C200" s="19" t="n">
        <v>1.252</v>
      </c>
      <c r="D200" s="29" t="n">
        <v>0</v>
      </c>
      <c r="E200" s="2" t="n">
        <v>1</v>
      </c>
      <c r="F200" s="2" t="n">
        <v>0</v>
      </c>
      <c r="G200" s="2" t="n">
        <v>0</v>
      </c>
      <c r="H200" s="30">
        <f>IF(AND(B200&gt;=5,C200&lt;&gt;"",C200&lt;0.8),1,0)</f>
        <v/>
      </c>
      <c r="I200" s="30">
        <f>IF(AND(B200&gt;=8,D200&lt;&gt;"",D200&gt;=0.25,D200&lt;=0.75),1,0)</f>
        <v/>
      </c>
      <c r="J200" s="2" t="n"/>
    </row>
    <row r="201">
      <c r="A201" s="2" t="inlineStr">
        <is>
          <t>IMP00194</t>
        </is>
      </c>
      <c r="B201" s="2" t="n">
        <v>50</v>
      </c>
      <c r="C201" s="19" t="n">
        <v>1.1425</v>
      </c>
      <c r="D201" s="29" t="n">
        <v>0.02</v>
      </c>
      <c r="E201" s="2" t="n">
        <v>1</v>
      </c>
      <c r="F201" s="2" t="n">
        <v>0</v>
      </c>
      <c r="G201" s="2" t="n">
        <v>0</v>
      </c>
      <c r="H201" s="30">
        <f>IF(AND(B201&gt;=5,C201&lt;&gt;"",C201&lt;0.8),1,0)</f>
        <v/>
      </c>
      <c r="I201" s="30">
        <f>IF(AND(B201&gt;=8,D201&lt;&gt;"",D201&gt;=0.25,D201&lt;=0.75),1,0)</f>
        <v/>
      </c>
      <c r="J201" s="2" t="n"/>
    </row>
    <row r="202">
      <c r="A202" s="2" t="inlineStr">
        <is>
          <t>IMP00195</t>
        </is>
      </c>
      <c r="B202" s="2" t="n">
        <v>171</v>
      </c>
      <c r="C202" s="19" t="n">
        <v>1.081</v>
      </c>
      <c r="D202" s="29" t="n">
        <v>0</v>
      </c>
      <c r="E202" s="2" t="n">
        <v>2</v>
      </c>
      <c r="F202" s="2" t="n">
        <v>0</v>
      </c>
      <c r="G202" s="2" t="n">
        <v>0</v>
      </c>
      <c r="H202" s="30">
        <f>IF(AND(B202&gt;=5,C202&lt;&gt;"",C202&lt;0.8),1,0)</f>
        <v/>
      </c>
      <c r="I202" s="30">
        <f>IF(AND(B202&gt;=8,D202&lt;&gt;"",D202&gt;=0.25,D202&lt;=0.75),1,0)</f>
        <v/>
      </c>
      <c r="J202" s="2" t="n"/>
    </row>
    <row r="203">
      <c r="A203" s="2" t="inlineStr">
        <is>
          <t>IMP00196</t>
        </is>
      </c>
      <c r="B203" s="2" t="n">
        <v>19</v>
      </c>
      <c r="C203" s="19" t="n">
        <v>0.954</v>
      </c>
      <c r="D203" s="29" t="n">
        <v>0.1053</v>
      </c>
      <c r="E203" s="2" t="n">
        <v>1</v>
      </c>
      <c r="F203" s="2" t="n">
        <v>0</v>
      </c>
      <c r="G203" s="2" t="n">
        <v>0</v>
      </c>
      <c r="H203" s="30">
        <f>IF(AND(B203&gt;=5,C203&lt;&gt;"",C203&lt;0.8),1,0)</f>
        <v/>
      </c>
      <c r="I203" s="30">
        <f>IF(AND(B203&gt;=8,D203&lt;&gt;"",D203&gt;=0.25,D203&lt;=0.75),1,0)</f>
        <v/>
      </c>
      <c r="J203" s="2" t="n"/>
    </row>
    <row r="204">
      <c r="A204" s="2" t="inlineStr">
        <is>
          <t>IMP00197</t>
        </is>
      </c>
      <c r="B204" s="2" t="n">
        <v>9</v>
      </c>
      <c r="C204" s="19" t="n">
        <v>0.9350000000000001</v>
      </c>
      <c r="D204" s="29" t="n">
        <v>0</v>
      </c>
      <c r="E204" s="2" t="n">
        <v>13</v>
      </c>
      <c r="F204" s="2" t="n">
        <v>0</v>
      </c>
      <c r="G204" s="2" t="n">
        <v>0</v>
      </c>
      <c r="H204" s="30">
        <f>IF(AND(B204&gt;=5,C204&lt;&gt;"",C204&lt;0.8),1,0)</f>
        <v/>
      </c>
      <c r="I204" s="30">
        <f>IF(AND(B204&gt;=8,D204&lt;&gt;"",D204&gt;=0.25,D204&lt;=0.75),1,0)</f>
        <v/>
      </c>
      <c r="J204" s="2" t="n"/>
    </row>
    <row r="205">
      <c r="A205" s="2" t="inlineStr">
        <is>
          <t>IMP00198</t>
        </is>
      </c>
      <c r="B205" s="2" t="n">
        <v>67</v>
      </c>
      <c r="C205" s="19" t="n">
        <v>1.0585</v>
      </c>
      <c r="D205" s="29" t="n">
        <v>0.0149</v>
      </c>
      <c r="E205" s="2" t="n">
        <v>1</v>
      </c>
      <c r="F205" s="2" t="n">
        <v>0</v>
      </c>
      <c r="G205" s="2" t="n">
        <v>0</v>
      </c>
      <c r="H205" s="30">
        <f>IF(AND(B205&gt;=5,C205&lt;&gt;"",C205&lt;0.8),1,0)</f>
        <v/>
      </c>
      <c r="I205" s="30">
        <f>IF(AND(B205&gt;=8,D205&lt;&gt;"",D205&gt;=0.25,D205&lt;=0.75),1,0)</f>
        <v/>
      </c>
      <c r="J205" s="2" t="n"/>
    </row>
    <row r="206">
      <c r="A206" s="2" t="inlineStr">
        <is>
          <t>IMP00199</t>
        </is>
      </c>
      <c r="B206" s="2" t="n">
        <v>25</v>
      </c>
      <c r="C206" s="19" t="n">
        <v>0.826</v>
      </c>
      <c r="D206" s="29" t="n">
        <v>0.2</v>
      </c>
      <c r="E206" s="2" t="n">
        <v>1</v>
      </c>
      <c r="F206" s="2" t="n">
        <v>0</v>
      </c>
      <c r="G206" s="2" t="n">
        <v>0</v>
      </c>
      <c r="H206" s="30">
        <f>IF(AND(B206&gt;=5,C206&lt;&gt;"",C206&lt;0.8),1,0)</f>
        <v/>
      </c>
      <c r="I206" s="30">
        <f>IF(AND(B206&gt;=8,D206&lt;&gt;"",D206&gt;=0.25,D206&lt;=0.75),1,0)</f>
        <v/>
      </c>
      <c r="J206" s="2" t="n"/>
    </row>
    <row r="207">
      <c r="A207" s="2" t="inlineStr">
        <is>
          <t>IMP00200</t>
        </is>
      </c>
      <c r="B207" s="2" t="n">
        <v>100</v>
      </c>
      <c r="C207" s="19" t="n">
        <v>1.1165</v>
      </c>
      <c r="D207" s="29" t="n">
        <v>0.03</v>
      </c>
      <c r="E207" s="2" t="n">
        <v>1</v>
      </c>
      <c r="F207" s="2" t="n">
        <v>0</v>
      </c>
      <c r="G207" s="2" t="n">
        <v>0</v>
      </c>
      <c r="H207" s="30">
        <f>IF(AND(B207&gt;=5,C207&lt;&gt;"",C207&lt;0.8),1,0)</f>
        <v/>
      </c>
      <c r="I207" s="30">
        <f>IF(AND(B207&gt;=8,D207&lt;&gt;"",D207&gt;=0.25,D207&lt;=0.75),1,0)</f>
        <v/>
      </c>
      <c r="J207" s="2" t="n"/>
    </row>
    <row r="208">
      <c r="A208" s="2" t="inlineStr">
        <is>
          <t>IMP00201</t>
        </is>
      </c>
      <c r="B208" s="2" t="n">
        <v>6</v>
      </c>
      <c r="C208" s="19" t="n">
        <v>1.0065</v>
      </c>
      <c r="D208" s="29" t="n">
        <v>0</v>
      </c>
      <c r="E208" s="2" t="n">
        <v>1</v>
      </c>
      <c r="F208" s="2" t="n">
        <v>0</v>
      </c>
      <c r="G208" s="2" t="n">
        <v>0</v>
      </c>
      <c r="H208" s="30">
        <f>IF(AND(B208&gt;=5,C208&lt;&gt;"",C208&lt;0.8),1,0)</f>
        <v/>
      </c>
      <c r="I208" s="30">
        <f>IF(AND(B208&gt;=8,D208&lt;&gt;"",D208&gt;=0.25,D208&lt;=0.75),1,0)</f>
        <v/>
      </c>
      <c r="J208" s="2" t="n"/>
    </row>
    <row r="209">
      <c r="A209" s="2" t="inlineStr">
        <is>
          <t>IMP00202</t>
        </is>
      </c>
      <c r="B209" s="2" t="n">
        <v>75</v>
      </c>
      <c r="C209" s="19" t="n">
        <v>1.084</v>
      </c>
      <c r="D209" s="29" t="n">
        <v>0.1867</v>
      </c>
      <c r="E209" s="2" t="n">
        <v>1</v>
      </c>
      <c r="F209" s="2" t="n">
        <v>0</v>
      </c>
      <c r="G209" s="2" t="n">
        <v>0</v>
      </c>
      <c r="H209" s="30">
        <f>IF(AND(B209&gt;=5,C209&lt;&gt;"",C209&lt;0.8),1,0)</f>
        <v/>
      </c>
      <c r="I209" s="30">
        <f>IF(AND(B209&gt;=8,D209&lt;&gt;"",D209&gt;=0.25,D209&lt;=0.75),1,0)</f>
        <v/>
      </c>
      <c r="J209" s="2" t="n"/>
    </row>
    <row r="210">
      <c r="A210" s="2" t="inlineStr">
        <is>
          <t>IMP00203</t>
        </is>
      </c>
      <c r="B210" s="2" t="n">
        <v>91</v>
      </c>
      <c r="C210" s="19" t="n">
        <v>1.253</v>
      </c>
      <c r="D210" s="29" t="n">
        <v>0.033</v>
      </c>
      <c r="E210" s="2" t="n">
        <v>1</v>
      </c>
      <c r="F210" s="2" t="n">
        <v>0</v>
      </c>
      <c r="G210" s="2" t="n">
        <v>0</v>
      </c>
      <c r="H210" s="30">
        <f>IF(AND(B210&gt;=5,C210&lt;&gt;"",C210&lt;0.8),1,0)</f>
        <v/>
      </c>
      <c r="I210" s="30">
        <f>IF(AND(B210&gt;=8,D210&lt;&gt;"",D210&gt;=0.25,D210&lt;=0.75),1,0)</f>
        <v/>
      </c>
      <c r="J210" s="2" t="n"/>
    </row>
    <row r="211">
      <c r="A211" s="2" t="inlineStr">
        <is>
          <t>IMP00204</t>
        </is>
      </c>
      <c r="B211" s="2" t="n">
        <v>7</v>
      </c>
      <c r="C211" s="19" t="n">
        <v>0.97</v>
      </c>
      <c r="D211" s="29" t="n">
        <v>0</v>
      </c>
      <c r="E211" s="2" t="n">
        <v>1</v>
      </c>
      <c r="F211" s="2" t="n">
        <v>0</v>
      </c>
      <c r="G211" s="2" t="n">
        <v>0</v>
      </c>
      <c r="H211" s="30">
        <f>IF(AND(B211&gt;=5,C211&lt;&gt;"",C211&lt;0.8),1,0)</f>
        <v/>
      </c>
      <c r="I211" s="30">
        <f>IF(AND(B211&gt;=8,D211&lt;&gt;"",D211&gt;=0.25,D211&lt;=0.75),1,0)</f>
        <v/>
      </c>
      <c r="J211" s="2" t="n"/>
    </row>
    <row r="212">
      <c r="A212" s="2" t="inlineStr">
        <is>
          <t>IMP00205</t>
        </is>
      </c>
      <c r="B212" s="2" t="n">
        <v>227</v>
      </c>
      <c r="C212" s="19" t="n">
        <v>0.948</v>
      </c>
      <c r="D212" s="29" t="n">
        <v>0.3304</v>
      </c>
      <c r="E212" s="2" t="n">
        <v>2</v>
      </c>
      <c r="F212" s="2" t="n">
        <v>0</v>
      </c>
      <c r="G212" s="2" t="n">
        <v>1</v>
      </c>
      <c r="H212" s="30">
        <f>IF(AND(B212&gt;=5,C212&lt;&gt;"",C212&lt;0.8),1,0)</f>
        <v/>
      </c>
      <c r="I212" s="30">
        <f>IF(AND(B212&gt;=8,D212&lt;&gt;"",D212&gt;=0.25,D212&lt;=0.75),1,0)</f>
        <v/>
      </c>
      <c r="J212" s="2" t="n"/>
    </row>
    <row r="213">
      <c r="A213" s="2" t="inlineStr">
        <is>
          <t>IMP00206</t>
        </is>
      </c>
      <c r="B213" s="2" t="n">
        <v>1</v>
      </c>
      <c r="C213" s="19" t="n">
        <v>1.233</v>
      </c>
      <c r="D213" s="29" t="n">
        <v>0</v>
      </c>
      <c r="E213" s="2" t="n">
        <v>1</v>
      </c>
      <c r="F213" s="2" t="n">
        <v>0</v>
      </c>
      <c r="G213" s="2" t="n">
        <v>0</v>
      </c>
      <c r="H213" s="30">
        <f>IF(AND(B213&gt;=5,C213&lt;&gt;"",C213&lt;0.8),1,0)</f>
        <v/>
      </c>
      <c r="I213" s="30">
        <f>IF(AND(B213&gt;=8,D213&lt;&gt;"",D213&gt;=0.25,D213&lt;=0.75),1,0)</f>
        <v/>
      </c>
      <c r="J213" s="2" t="n"/>
    </row>
    <row r="214">
      <c r="A214" s="2" t="inlineStr">
        <is>
          <t>IMP00207</t>
        </is>
      </c>
      <c r="B214" s="2" t="n">
        <v>7</v>
      </c>
      <c r="C214" s="19" t="n">
        <v>1.017</v>
      </c>
      <c r="D214" s="29" t="n">
        <v>0</v>
      </c>
      <c r="E214" s="2" t="n">
        <v>4</v>
      </c>
      <c r="F214" s="2" t="n">
        <v>0</v>
      </c>
      <c r="G214" s="2" t="n">
        <v>0</v>
      </c>
      <c r="H214" s="30">
        <f>IF(AND(B214&gt;=5,C214&lt;&gt;"",C214&lt;0.8),1,0)</f>
        <v/>
      </c>
      <c r="I214" s="30">
        <f>IF(AND(B214&gt;=8,D214&lt;&gt;"",D214&gt;=0.25,D214&lt;=0.75),1,0)</f>
        <v/>
      </c>
      <c r="J214" s="2" t="n"/>
    </row>
    <row r="215">
      <c r="A215" s="2" t="inlineStr">
        <is>
          <t>IMP00208</t>
        </is>
      </c>
      <c r="B215" s="2" t="n">
        <v>45</v>
      </c>
      <c r="C215" s="19" t="n">
        <v>0.784</v>
      </c>
      <c r="D215" s="29" t="n">
        <v>0.3111</v>
      </c>
      <c r="E215" s="2" t="n">
        <v>1</v>
      </c>
      <c r="F215" s="2" t="n">
        <v>1</v>
      </c>
      <c r="G215" s="2" t="n">
        <v>1</v>
      </c>
      <c r="H215" s="30">
        <f>IF(AND(B215&gt;=5,C215&lt;&gt;"",C215&lt;0.8),1,0)</f>
        <v/>
      </c>
      <c r="I215" s="30">
        <f>IF(AND(B215&gt;=8,D215&lt;&gt;"",D215&gt;=0.25,D215&lt;=0.75),1,0)</f>
        <v/>
      </c>
      <c r="J215" s="2" t="n"/>
    </row>
    <row r="216">
      <c r="A216" s="2" t="inlineStr">
        <is>
          <t>IMP00209</t>
        </is>
      </c>
      <c r="B216" s="2" t="n">
        <v>14</v>
      </c>
      <c r="C216" s="19" t="n">
        <v>0.9425</v>
      </c>
      <c r="D216" s="29" t="n">
        <v>0</v>
      </c>
      <c r="E216" s="2" t="n">
        <v>1</v>
      </c>
      <c r="F216" s="2" t="n">
        <v>0</v>
      </c>
      <c r="G216" s="2" t="n">
        <v>0</v>
      </c>
      <c r="H216" s="30">
        <f>IF(AND(B216&gt;=5,C216&lt;&gt;"",C216&lt;0.8),1,0)</f>
        <v/>
      </c>
      <c r="I216" s="30">
        <f>IF(AND(B216&gt;=8,D216&lt;&gt;"",D216&gt;=0.25,D216&lt;=0.75),1,0)</f>
        <v/>
      </c>
      <c r="J216" s="2" t="n"/>
    </row>
    <row r="217">
      <c r="A217" s="2" t="inlineStr">
        <is>
          <t>IMP00210</t>
        </is>
      </c>
      <c r="B217" s="2" t="n">
        <v>7</v>
      </c>
      <c r="C217" s="19" t="n">
        <v>1.22</v>
      </c>
      <c r="D217" s="29" t="n">
        <v>0</v>
      </c>
      <c r="E217" s="2" t="n">
        <v>1</v>
      </c>
      <c r="F217" s="2" t="n">
        <v>0</v>
      </c>
      <c r="G217" s="2" t="n">
        <v>0</v>
      </c>
      <c r="H217" s="30">
        <f>IF(AND(B217&gt;=5,C217&lt;&gt;"",C217&lt;0.8),1,0)</f>
        <v/>
      </c>
      <c r="I217" s="30">
        <f>IF(AND(B217&gt;=8,D217&lt;&gt;"",D217&gt;=0.25,D217&lt;=0.75),1,0)</f>
        <v/>
      </c>
      <c r="J217" s="2" t="n"/>
    </row>
    <row r="218">
      <c r="A218" s="2" t="inlineStr">
        <is>
          <t>IMP00211</t>
        </is>
      </c>
      <c r="B218" s="2" t="n">
        <v>4</v>
      </c>
      <c r="C218" s="19" t="n">
        <v>1.0135</v>
      </c>
      <c r="D218" s="29" t="n">
        <v>0</v>
      </c>
      <c r="E218" s="2" t="n">
        <v>1</v>
      </c>
      <c r="F218" s="2" t="n">
        <v>0</v>
      </c>
      <c r="G218" s="2" t="n">
        <v>0</v>
      </c>
      <c r="H218" s="30">
        <f>IF(AND(B218&gt;=5,C218&lt;&gt;"",C218&lt;0.8),1,0)</f>
        <v/>
      </c>
      <c r="I218" s="30">
        <f>IF(AND(B218&gt;=8,D218&lt;&gt;"",D218&gt;=0.25,D218&lt;=0.75),1,0)</f>
        <v/>
      </c>
      <c r="J218" s="2" t="n"/>
    </row>
    <row r="219">
      <c r="A219" s="2" t="inlineStr">
        <is>
          <t>IMP00212</t>
        </is>
      </c>
      <c r="B219" s="2" t="n">
        <v>69</v>
      </c>
      <c r="C219" s="19" t="n">
        <v>0.958</v>
      </c>
      <c r="D219" s="29" t="n">
        <v>0</v>
      </c>
      <c r="E219" s="2" t="n">
        <v>2</v>
      </c>
      <c r="F219" s="2" t="n">
        <v>0</v>
      </c>
      <c r="G219" s="2" t="n">
        <v>0</v>
      </c>
      <c r="H219" s="30">
        <f>IF(AND(B219&gt;=5,C219&lt;&gt;"",C219&lt;0.8),1,0)</f>
        <v/>
      </c>
      <c r="I219" s="30">
        <f>IF(AND(B219&gt;=8,D219&lt;&gt;"",D219&gt;=0.25,D219&lt;=0.75),1,0)</f>
        <v/>
      </c>
      <c r="J219" s="2" t="n"/>
    </row>
    <row r="220">
      <c r="A220" s="2" t="inlineStr">
        <is>
          <t>IMP00213</t>
        </is>
      </c>
      <c r="B220" s="2" t="n">
        <v>68</v>
      </c>
      <c r="C220" s="19" t="n">
        <v>0.863</v>
      </c>
      <c r="D220" s="29" t="n">
        <v>0.1471</v>
      </c>
      <c r="E220" s="2" t="n">
        <v>1</v>
      </c>
      <c r="F220" s="2" t="n">
        <v>0</v>
      </c>
      <c r="G220" s="2" t="n">
        <v>0</v>
      </c>
      <c r="H220" s="30">
        <f>IF(AND(B220&gt;=5,C220&lt;&gt;"",C220&lt;0.8),1,0)</f>
        <v/>
      </c>
      <c r="I220" s="30">
        <f>IF(AND(B220&gt;=8,D220&lt;&gt;"",D220&gt;=0.25,D220&lt;=0.75),1,0)</f>
        <v/>
      </c>
      <c r="J220" s="2" t="n"/>
    </row>
    <row r="221">
      <c r="A221" s="2" t="inlineStr">
        <is>
          <t>IMP00214</t>
        </is>
      </c>
      <c r="B221" s="2" t="n">
        <v>1</v>
      </c>
      <c r="C221" s="19" t="n">
        <v>0.836</v>
      </c>
      <c r="D221" s="29" t="n">
        <v>0</v>
      </c>
      <c r="E221" s="2" t="n">
        <v>1</v>
      </c>
      <c r="F221" s="2" t="n">
        <v>0</v>
      </c>
      <c r="G221" s="2" t="n">
        <v>0</v>
      </c>
      <c r="H221" s="30">
        <f>IF(AND(B221&gt;=5,C221&lt;&gt;"",C221&lt;0.8),1,0)</f>
        <v/>
      </c>
      <c r="I221" s="30">
        <f>IF(AND(B221&gt;=8,D221&lt;&gt;"",D221&gt;=0.25,D221&lt;=0.75),1,0)</f>
        <v/>
      </c>
      <c r="J221" s="2" t="n"/>
    </row>
    <row r="222">
      <c r="A222" s="2" t="inlineStr">
        <is>
          <t>IMP00215</t>
        </is>
      </c>
      <c r="B222" s="2" t="n">
        <v>48</v>
      </c>
      <c r="C222" s="19" t="n">
        <v>0.779</v>
      </c>
      <c r="D222" s="29" t="n">
        <v>0.3958</v>
      </c>
      <c r="E222" s="2" t="n">
        <v>1</v>
      </c>
      <c r="F222" s="2" t="n">
        <v>1</v>
      </c>
      <c r="G222" s="2" t="n">
        <v>1</v>
      </c>
      <c r="H222" s="30">
        <f>IF(AND(B222&gt;=5,C222&lt;&gt;"",C222&lt;0.8),1,0)</f>
        <v/>
      </c>
      <c r="I222" s="30">
        <f>IF(AND(B222&gt;=8,D222&lt;&gt;"",D222&gt;=0.25,D222&lt;=0.75),1,0)</f>
        <v/>
      </c>
      <c r="J222" s="2" t="n"/>
    </row>
    <row r="223">
      <c r="A223" s="2" t="inlineStr">
        <is>
          <t>IMP00216</t>
        </is>
      </c>
      <c r="B223" s="2" t="n">
        <v>27</v>
      </c>
      <c r="C223" s="19" t="n">
        <v>1.32</v>
      </c>
      <c r="D223" s="29" t="n">
        <v>0</v>
      </c>
      <c r="E223" s="2" t="n">
        <v>1</v>
      </c>
      <c r="F223" s="2" t="n">
        <v>0</v>
      </c>
      <c r="G223" s="2" t="n">
        <v>0</v>
      </c>
      <c r="H223" s="30">
        <f>IF(AND(B223&gt;=5,C223&lt;&gt;"",C223&lt;0.8),1,0)</f>
        <v/>
      </c>
      <c r="I223" s="30">
        <f>IF(AND(B223&gt;=8,D223&lt;&gt;"",D223&gt;=0.25,D223&lt;=0.75),1,0)</f>
        <v/>
      </c>
      <c r="J223" s="2" t="n"/>
    </row>
    <row r="224">
      <c r="A224" s="2" t="inlineStr">
        <is>
          <t>IMP00217</t>
        </is>
      </c>
      <c r="B224" s="2" t="n">
        <v>3</v>
      </c>
      <c r="C224" s="19" t="n">
        <v>1.053</v>
      </c>
      <c r="D224" s="29" t="n">
        <v>0</v>
      </c>
      <c r="E224" s="2" t="n">
        <v>1</v>
      </c>
      <c r="F224" s="2" t="n">
        <v>0</v>
      </c>
      <c r="G224" s="2" t="n">
        <v>0</v>
      </c>
      <c r="H224" s="30">
        <f>IF(AND(B224&gt;=5,C224&lt;&gt;"",C224&lt;0.8),1,0)</f>
        <v/>
      </c>
      <c r="I224" s="30">
        <f>IF(AND(B224&gt;=8,D224&lt;&gt;"",D224&gt;=0.25,D224&lt;=0.75),1,0)</f>
        <v/>
      </c>
      <c r="J224" s="2" t="n"/>
    </row>
    <row r="225">
      <c r="A225" s="2" t="inlineStr">
        <is>
          <t>IMP00218</t>
        </is>
      </c>
      <c r="B225" s="2" t="n">
        <v>2</v>
      </c>
      <c r="C225" s="19" t="n">
        <v>1.1455</v>
      </c>
      <c r="D225" s="29" t="n">
        <v>0</v>
      </c>
      <c r="E225" s="2" t="n">
        <v>2</v>
      </c>
      <c r="F225" s="2" t="n">
        <v>0</v>
      </c>
      <c r="G225" s="2" t="n">
        <v>0</v>
      </c>
      <c r="H225" s="30">
        <f>IF(AND(B225&gt;=5,C225&lt;&gt;"",C225&lt;0.8),1,0)</f>
        <v/>
      </c>
      <c r="I225" s="30">
        <f>IF(AND(B225&gt;=8,D225&lt;&gt;"",D225&gt;=0.25,D225&lt;=0.75),1,0)</f>
        <v/>
      </c>
      <c r="J225" s="2" t="n"/>
    </row>
    <row r="226">
      <c r="A226" s="2" t="inlineStr">
        <is>
          <t>IMP00219</t>
        </is>
      </c>
      <c r="B226" s="2" t="n">
        <v>1</v>
      </c>
      <c r="C226" s="19" t="n">
        <v>1.176</v>
      </c>
      <c r="D226" s="29" t="n">
        <v>0</v>
      </c>
      <c r="E226" s="2" t="n">
        <v>2</v>
      </c>
      <c r="F226" s="2" t="n">
        <v>0</v>
      </c>
      <c r="G226" s="2" t="n">
        <v>0</v>
      </c>
      <c r="H226" s="30">
        <f>IF(AND(B226&gt;=5,C226&lt;&gt;"",C226&lt;0.8),1,0)</f>
        <v/>
      </c>
      <c r="I226" s="30">
        <f>IF(AND(B226&gt;=8,D226&lt;&gt;"",D226&gt;=0.25,D226&lt;=0.75),1,0)</f>
        <v/>
      </c>
      <c r="J226" s="2" t="n"/>
    </row>
    <row r="227">
      <c r="A227" s="2" t="inlineStr">
        <is>
          <t>IMP00220</t>
        </is>
      </c>
      <c r="B227" s="2" t="n">
        <v>82</v>
      </c>
      <c r="C227" s="19" t="n">
        <v>0.849</v>
      </c>
      <c r="D227" s="29" t="n">
        <v>0.2927</v>
      </c>
      <c r="E227" s="2" t="n">
        <v>1</v>
      </c>
      <c r="F227" s="2" t="n">
        <v>0</v>
      </c>
      <c r="G227" s="2" t="n">
        <v>1</v>
      </c>
      <c r="H227" s="30">
        <f>IF(AND(B227&gt;=5,C227&lt;&gt;"",C227&lt;0.8),1,0)</f>
        <v/>
      </c>
      <c r="I227" s="30">
        <f>IF(AND(B227&gt;=8,D227&lt;&gt;"",D227&gt;=0.25,D227&lt;=0.75),1,0)</f>
        <v/>
      </c>
      <c r="J227" s="2" t="n"/>
    </row>
    <row r="228">
      <c r="A228" s="2" t="inlineStr">
        <is>
          <t>IMP00221</t>
        </is>
      </c>
      <c r="B228" s="2" t="n">
        <v>1</v>
      </c>
      <c r="C228" s="19" t="n">
        <v>2.323</v>
      </c>
      <c r="D228" s="29" t="n">
        <v>0</v>
      </c>
      <c r="E228" s="2" t="n">
        <v>1</v>
      </c>
      <c r="F228" s="2" t="n">
        <v>0</v>
      </c>
      <c r="G228" s="2" t="n">
        <v>0</v>
      </c>
      <c r="H228" s="30">
        <f>IF(AND(B228&gt;=5,C228&lt;&gt;"",C228&lt;0.8),1,0)</f>
        <v/>
      </c>
      <c r="I228" s="30">
        <f>IF(AND(B228&gt;=8,D228&lt;&gt;"",D228&gt;=0.25,D228&lt;=0.75),1,0)</f>
        <v/>
      </c>
      <c r="J228" s="2" t="n"/>
    </row>
    <row r="229">
      <c r="A229" s="2" t="inlineStr">
        <is>
          <t>IMP00222</t>
        </is>
      </c>
      <c r="B229" s="2" t="n">
        <v>138</v>
      </c>
      <c r="C229" s="19" t="n">
        <v>0.979</v>
      </c>
      <c r="D229" s="29" t="n">
        <v>0.0072</v>
      </c>
      <c r="E229" s="2" t="n">
        <v>2</v>
      </c>
      <c r="F229" s="2" t="n">
        <v>0</v>
      </c>
      <c r="G229" s="2" t="n">
        <v>0</v>
      </c>
      <c r="H229" s="30">
        <f>IF(AND(B229&gt;=5,C229&lt;&gt;"",C229&lt;0.8),1,0)</f>
        <v/>
      </c>
      <c r="I229" s="30">
        <f>IF(AND(B229&gt;=8,D229&lt;&gt;"",D229&gt;=0.25,D229&lt;=0.75),1,0)</f>
        <v/>
      </c>
      <c r="J229" s="2" t="n"/>
    </row>
    <row r="230">
      <c r="A230" s="2" t="inlineStr">
        <is>
          <t>IMP00223</t>
        </is>
      </c>
      <c r="B230" s="2" t="n">
        <v>0</v>
      </c>
      <c r="C230" s="19" t="n"/>
      <c r="D230" s="29" t="n"/>
      <c r="E230" s="2" t="n">
        <v>0</v>
      </c>
      <c r="F230" s="2" t="n">
        <v>0</v>
      </c>
      <c r="G230" s="2" t="n">
        <v>0</v>
      </c>
      <c r="H230" s="30">
        <f>IF(AND(B230&gt;=5,C230&lt;&gt;"",C230&lt;0.8),1,0)</f>
        <v/>
      </c>
      <c r="I230" s="30">
        <f>IF(AND(B230&gt;=8,D230&lt;&gt;"",D230&gt;=0.25,D230&lt;=0.75),1,0)</f>
        <v/>
      </c>
      <c r="J230" s="2" t="n"/>
    </row>
    <row r="231">
      <c r="A231" s="2" t="inlineStr">
        <is>
          <t>IMP00224</t>
        </is>
      </c>
      <c r="B231" s="2" t="n">
        <v>4</v>
      </c>
      <c r="C231" s="19" t="n">
        <v>1.0295</v>
      </c>
      <c r="D231" s="29" t="n">
        <v>0</v>
      </c>
      <c r="E231" s="2" t="n">
        <v>2</v>
      </c>
      <c r="F231" s="2" t="n">
        <v>0</v>
      </c>
      <c r="G231" s="2" t="n">
        <v>0</v>
      </c>
      <c r="H231" s="30">
        <f>IF(AND(B231&gt;=5,C231&lt;&gt;"",C231&lt;0.8),1,0)</f>
        <v/>
      </c>
      <c r="I231" s="30">
        <f>IF(AND(B231&gt;=8,D231&lt;&gt;"",D231&gt;=0.25,D231&lt;=0.75),1,0)</f>
        <v/>
      </c>
      <c r="J231" s="2" t="n"/>
    </row>
    <row r="232">
      <c r="A232" s="2" t="inlineStr">
        <is>
          <t>IMP00225</t>
        </is>
      </c>
      <c r="B232" s="2" t="n">
        <v>201</v>
      </c>
      <c r="C232" s="19" t="n">
        <v>1.004</v>
      </c>
      <c r="D232" s="29" t="n">
        <v>0.0149</v>
      </c>
      <c r="E232" s="2" t="n">
        <v>1</v>
      </c>
      <c r="F232" s="2" t="n">
        <v>0</v>
      </c>
      <c r="G232" s="2" t="n">
        <v>0</v>
      </c>
      <c r="H232" s="30">
        <f>IF(AND(B232&gt;=5,C232&lt;&gt;"",C232&lt;0.8),1,0)</f>
        <v/>
      </c>
      <c r="I232" s="30">
        <f>IF(AND(B232&gt;=8,D232&lt;&gt;"",D232&gt;=0.25,D232&lt;=0.75),1,0)</f>
        <v/>
      </c>
      <c r="J232" s="2" t="n"/>
    </row>
    <row r="233">
      <c r="A233" s="2" t="inlineStr">
        <is>
          <t>IMP00226</t>
        </is>
      </c>
      <c r="B233" s="2" t="n">
        <v>0</v>
      </c>
      <c r="C233" s="19" t="n"/>
      <c r="D233" s="29" t="n"/>
      <c r="E233" s="2" t="n">
        <v>0</v>
      </c>
      <c r="F233" s="2" t="n">
        <v>0</v>
      </c>
      <c r="G233" s="2" t="n">
        <v>0</v>
      </c>
      <c r="H233" s="30">
        <f>IF(AND(B233&gt;=5,C233&lt;&gt;"",C233&lt;0.8),1,0)</f>
        <v/>
      </c>
      <c r="I233" s="30">
        <f>IF(AND(B233&gt;=8,D233&lt;&gt;"",D233&gt;=0.25,D233&lt;=0.75),1,0)</f>
        <v/>
      </c>
      <c r="J233" s="2" t="n"/>
    </row>
    <row r="234">
      <c r="A234" s="2" t="inlineStr">
        <is>
          <t>IMP00227</t>
        </is>
      </c>
      <c r="B234" s="2" t="n">
        <v>0</v>
      </c>
      <c r="C234" s="19" t="n"/>
      <c r="D234" s="29" t="n"/>
      <c r="E234" s="2" t="n">
        <v>0</v>
      </c>
      <c r="F234" s="2" t="n">
        <v>0</v>
      </c>
      <c r="G234" s="2" t="n">
        <v>0</v>
      </c>
      <c r="H234" s="30">
        <f>IF(AND(B234&gt;=5,C234&lt;&gt;"",C234&lt;0.8),1,0)</f>
        <v/>
      </c>
      <c r="I234" s="30">
        <f>IF(AND(B234&gt;=8,D234&lt;&gt;"",D234&gt;=0.25,D234&lt;=0.75),1,0)</f>
        <v/>
      </c>
      <c r="J234" s="2" t="n"/>
    </row>
    <row r="235">
      <c r="A235" s="2" t="inlineStr">
        <is>
          <t>IMP00228</t>
        </is>
      </c>
      <c r="B235" s="2" t="n">
        <v>0</v>
      </c>
      <c r="C235" s="19" t="n"/>
      <c r="D235" s="29" t="n"/>
      <c r="E235" s="2" t="n">
        <v>0</v>
      </c>
      <c r="F235" s="2" t="n">
        <v>0</v>
      </c>
      <c r="G235" s="2" t="n">
        <v>0</v>
      </c>
      <c r="H235" s="30">
        <f>IF(AND(B235&gt;=5,C235&lt;&gt;"",C235&lt;0.8),1,0)</f>
        <v/>
      </c>
      <c r="I235" s="30">
        <f>IF(AND(B235&gt;=8,D235&lt;&gt;"",D235&gt;=0.25,D235&lt;=0.75),1,0)</f>
        <v/>
      </c>
      <c r="J235" s="2" t="n"/>
    </row>
    <row r="236">
      <c r="A236" s="2" t="inlineStr">
        <is>
          <t>IMP00229</t>
        </is>
      </c>
      <c r="B236" s="2" t="n">
        <v>5</v>
      </c>
      <c r="C236" s="19" t="n">
        <v>0.953</v>
      </c>
      <c r="D236" s="29" t="n">
        <v>0</v>
      </c>
      <c r="E236" s="2" t="n">
        <v>1</v>
      </c>
      <c r="F236" s="2" t="n">
        <v>0</v>
      </c>
      <c r="G236" s="2" t="n">
        <v>0</v>
      </c>
      <c r="H236" s="30">
        <f>IF(AND(B236&gt;=5,C236&lt;&gt;"",C236&lt;0.8),1,0)</f>
        <v/>
      </c>
      <c r="I236" s="30">
        <f>IF(AND(B236&gt;=8,D236&lt;&gt;"",D236&gt;=0.25,D236&lt;=0.75),1,0)</f>
        <v/>
      </c>
      <c r="J236" s="2" t="n"/>
    </row>
    <row r="237">
      <c r="A237" s="2" t="inlineStr">
        <is>
          <t>IMP00230</t>
        </is>
      </c>
      <c r="B237" s="2" t="n">
        <v>11</v>
      </c>
      <c r="C237" s="19" t="n">
        <v>0.749</v>
      </c>
      <c r="D237" s="29" t="n">
        <v>0.5455</v>
      </c>
      <c r="E237" s="2" t="n">
        <v>2</v>
      </c>
      <c r="F237" s="2" t="n">
        <v>1</v>
      </c>
      <c r="G237" s="2" t="n">
        <v>1</v>
      </c>
      <c r="H237" s="30">
        <f>IF(AND(B237&gt;=5,C237&lt;&gt;"",C237&lt;0.8),1,0)</f>
        <v/>
      </c>
      <c r="I237" s="30">
        <f>IF(AND(B237&gt;=8,D237&lt;&gt;"",D237&gt;=0.25,D237&lt;=0.75),1,0)</f>
        <v/>
      </c>
      <c r="J237" s="2" t="n"/>
    </row>
    <row r="238">
      <c r="A238" s="2" t="inlineStr">
        <is>
          <t>IMP00231</t>
        </is>
      </c>
      <c r="B238" s="2" t="n">
        <v>19</v>
      </c>
      <c r="C238" s="19" t="n">
        <v>1.286</v>
      </c>
      <c r="D238" s="29" t="n">
        <v>0</v>
      </c>
      <c r="E238" s="2" t="n">
        <v>1</v>
      </c>
      <c r="F238" s="2" t="n">
        <v>0</v>
      </c>
      <c r="G238" s="2" t="n">
        <v>0</v>
      </c>
      <c r="H238" s="30">
        <f>IF(AND(B238&gt;=5,C238&lt;&gt;"",C238&lt;0.8),1,0)</f>
        <v/>
      </c>
      <c r="I238" s="30">
        <f>IF(AND(B238&gt;=8,D238&lt;&gt;"",D238&gt;=0.25,D238&lt;=0.75),1,0)</f>
        <v/>
      </c>
      <c r="J238" s="2" t="n"/>
    </row>
    <row r="239">
      <c r="A239" s="2" t="inlineStr">
        <is>
          <t>IMP00232</t>
        </is>
      </c>
      <c r="B239" s="2" t="n">
        <v>191</v>
      </c>
      <c r="C239" s="19" t="n">
        <v>1.051</v>
      </c>
      <c r="D239" s="29" t="n">
        <v>0.0576</v>
      </c>
      <c r="E239" s="2" t="n">
        <v>1</v>
      </c>
      <c r="F239" s="2" t="n">
        <v>0</v>
      </c>
      <c r="G239" s="2" t="n">
        <v>0</v>
      </c>
      <c r="H239" s="30">
        <f>IF(AND(B239&gt;=5,C239&lt;&gt;"",C239&lt;0.8),1,0)</f>
        <v/>
      </c>
      <c r="I239" s="30">
        <f>IF(AND(B239&gt;=8,D239&lt;&gt;"",D239&gt;=0.25,D239&lt;=0.75),1,0)</f>
        <v/>
      </c>
      <c r="J239" s="2" t="n"/>
    </row>
    <row r="240">
      <c r="A240" s="2" t="inlineStr">
        <is>
          <t>IMP00233</t>
        </is>
      </c>
      <c r="B240" s="2" t="n">
        <v>29</v>
      </c>
      <c r="C240" s="19" t="n">
        <v>0.755</v>
      </c>
      <c r="D240" s="29" t="n">
        <v>0.4138</v>
      </c>
      <c r="E240" s="2" t="n">
        <v>2</v>
      </c>
      <c r="F240" s="2" t="n">
        <v>1</v>
      </c>
      <c r="G240" s="2" t="n">
        <v>1</v>
      </c>
      <c r="H240" s="30">
        <f>IF(AND(B240&gt;=5,C240&lt;&gt;"",C240&lt;0.8),1,0)</f>
        <v/>
      </c>
      <c r="I240" s="30">
        <f>IF(AND(B240&gt;=8,D240&lt;&gt;"",D240&gt;=0.25,D240&lt;=0.75),1,0)</f>
        <v/>
      </c>
      <c r="J240" s="2" t="n"/>
    </row>
    <row r="241">
      <c r="A241" s="2" t="inlineStr">
        <is>
          <t>IMP00234</t>
        </is>
      </c>
      <c r="B241" s="2" t="n">
        <v>39</v>
      </c>
      <c r="C241" s="19" t="n">
        <v>1.147</v>
      </c>
      <c r="D241" s="29" t="n">
        <v>0</v>
      </c>
      <c r="E241" s="2" t="n">
        <v>1</v>
      </c>
      <c r="F241" s="2" t="n">
        <v>0</v>
      </c>
      <c r="G241" s="2" t="n">
        <v>0</v>
      </c>
      <c r="H241" s="30">
        <f>IF(AND(B241&gt;=5,C241&lt;&gt;"",C241&lt;0.8),1,0)</f>
        <v/>
      </c>
      <c r="I241" s="30">
        <f>IF(AND(B241&gt;=8,D241&lt;&gt;"",D241&gt;=0.25,D241&lt;=0.75),1,0)</f>
        <v/>
      </c>
      <c r="J241" s="2" t="n"/>
    </row>
    <row r="242">
      <c r="A242" s="2" t="inlineStr">
        <is>
          <t>IMP00235</t>
        </is>
      </c>
      <c r="B242" s="2" t="n">
        <v>149</v>
      </c>
      <c r="C242" s="19" t="n">
        <v>1.013</v>
      </c>
      <c r="D242" s="29" t="n">
        <v>0.0872</v>
      </c>
      <c r="E242" s="2" t="n">
        <v>2</v>
      </c>
      <c r="F242" s="2" t="n">
        <v>0</v>
      </c>
      <c r="G242" s="2" t="n">
        <v>0</v>
      </c>
      <c r="H242" s="30">
        <f>IF(AND(B242&gt;=5,C242&lt;&gt;"",C242&lt;0.8),1,0)</f>
        <v/>
      </c>
      <c r="I242" s="30">
        <f>IF(AND(B242&gt;=8,D242&lt;&gt;"",D242&gt;=0.25,D242&lt;=0.75),1,0)</f>
        <v/>
      </c>
      <c r="J242" s="2" t="n"/>
    </row>
    <row r="243">
      <c r="A243" s="2" t="inlineStr">
        <is>
          <t>IMP00236</t>
        </is>
      </c>
      <c r="B243" s="2" t="n">
        <v>1</v>
      </c>
      <c r="C243" s="19" t="n">
        <v>1.168</v>
      </c>
      <c r="D243" s="29" t="n">
        <v>0</v>
      </c>
      <c r="E243" s="2" t="n">
        <v>2</v>
      </c>
      <c r="F243" s="2" t="n">
        <v>0</v>
      </c>
      <c r="G243" s="2" t="n">
        <v>0</v>
      </c>
      <c r="H243" s="30">
        <f>IF(AND(B243&gt;=5,C243&lt;&gt;"",C243&lt;0.8),1,0)</f>
        <v/>
      </c>
      <c r="I243" s="30">
        <f>IF(AND(B243&gt;=8,D243&lt;&gt;"",D243&gt;=0.25,D243&lt;=0.75),1,0)</f>
        <v/>
      </c>
      <c r="J243" s="2" t="n"/>
    </row>
    <row r="244">
      <c r="A244" s="2" t="inlineStr">
        <is>
          <t>IMP00237</t>
        </is>
      </c>
      <c r="B244" s="2" t="n">
        <v>191</v>
      </c>
      <c r="C244" s="19" t="n">
        <v>0.977</v>
      </c>
      <c r="D244" s="29" t="n">
        <v>0.0471</v>
      </c>
      <c r="E244" s="2" t="n">
        <v>1</v>
      </c>
      <c r="F244" s="2" t="n">
        <v>0</v>
      </c>
      <c r="G244" s="2" t="n">
        <v>0</v>
      </c>
      <c r="H244" s="30">
        <f>IF(AND(B244&gt;=5,C244&lt;&gt;"",C244&lt;0.8),1,0)</f>
        <v/>
      </c>
      <c r="I244" s="30">
        <f>IF(AND(B244&gt;=8,D244&lt;&gt;"",D244&gt;=0.25,D244&lt;=0.75),1,0)</f>
        <v/>
      </c>
      <c r="J244" s="2" t="n"/>
    </row>
    <row r="245">
      <c r="A245" s="2" t="inlineStr">
        <is>
          <t>IMP00238</t>
        </is>
      </c>
      <c r="B245" s="2" t="n">
        <v>80</v>
      </c>
      <c r="C245" s="19" t="n">
        <v>1.008</v>
      </c>
      <c r="D245" s="29" t="n">
        <v>0.0125</v>
      </c>
      <c r="E245" s="2" t="n">
        <v>2</v>
      </c>
      <c r="F245" s="2" t="n">
        <v>0</v>
      </c>
      <c r="G245" s="2" t="n">
        <v>0</v>
      </c>
      <c r="H245" s="30">
        <f>IF(AND(B245&gt;=5,C245&lt;&gt;"",C245&lt;0.8),1,0)</f>
        <v/>
      </c>
      <c r="I245" s="30">
        <f>IF(AND(B245&gt;=8,D245&lt;&gt;"",D245&gt;=0.25,D245&lt;=0.75),1,0)</f>
        <v/>
      </c>
      <c r="J245" s="2" t="n"/>
    </row>
    <row r="246">
      <c r="A246" s="2" t="inlineStr">
        <is>
          <t>IMP00239</t>
        </is>
      </c>
      <c r="B246" s="2" t="n">
        <v>0</v>
      </c>
      <c r="C246" s="19" t="n"/>
      <c r="D246" s="29" t="n"/>
      <c r="E246" s="2" t="n">
        <v>0</v>
      </c>
      <c r="F246" s="2" t="n">
        <v>0</v>
      </c>
      <c r="G246" s="2" t="n">
        <v>0</v>
      </c>
      <c r="H246" s="30">
        <f>IF(AND(B246&gt;=5,C246&lt;&gt;"",C246&lt;0.8),1,0)</f>
        <v/>
      </c>
      <c r="I246" s="30">
        <f>IF(AND(B246&gt;=8,D246&lt;&gt;"",D246&gt;=0.25,D246&lt;=0.75),1,0)</f>
        <v/>
      </c>
      <c r="J246" s="2" t="n"/>
    </row>
    <row r="247">
      <c r="A247" s="2" t="inlineStr">
        <is>
          <t>IMP00240</t>
        </is>
      </c>
      <c r="B247" s="2" t="n">
        <v>2</v>
      </c>
      <c r="C247" s="19" t="n">
        <v>0.719</v>
      </c>
      <c r="D247" s="29" t="n">
        <v>0.5</v>
      </c>
      <c r="E247" s="2" t="n">
        <v>2</v>
      </c>
      <c r="F247" s="2" t="n">
        <v>0</v>
      </c>
      <c r="G247" s="2" t="n">
        <v>0</v>
      </c>
      <c r="H247" s="30">
        <f>IF(AND(B247&gt;=5,C247&lt;&gt;"",C247&lt;0.8),1,0)</f>
        <v/>
      </c>
      <c r="I247" s="30">
        <f>IF(AND(B247&gt;=8,D247&lt;&gt;"",D247&gt;=0.25,D247&lt;=0.75),1,0)</f>
        <v/>
      </c>
      <c r="J247" s="2" t="n"/>
    </row>
    <row r="248">
      <c r="A248" s="2" t="inlineStr">
        <is>
          <t>IMP00241</t>
        </is>
      </c>
      <c r="B248" s="2" t="n">
        <v>30</v>
      </c>
      <c r="C248" s="19" t="n">
        <v>1.2435</v>
      </c>
      <c r="D248" s="29" t="n">
        <v>0</v>
      </c>
      <c r="E248" s="2" t="n">
        <v>2</v>
      </c>
      <c r="F248" s="2" t="n">
        <v>0</v>
      </c>
      <c r="G248" s="2" t="n">
        <v>0</v>
      </c>
      <c r="H248" s="30">
        <f>IF(AND(B248&gt;=5,C248&lt;&gt;"",C248&lt;0.8),1,0)</f>
        <v/>
      </c>
      <c r="I248" s="30">
        <f>IF(AND(B248&gt;=8,D248&lt;&gt;"",D248&gt;=0.25,D248&lt;=0.75),1,0)</f>
        <v/>
      </c>
      <c r="J248" s="2" t="n"/>
    </row>
    <row r="249">
      <c r="A249" s="2" t="inlineStr">
        <is>
          <t>IMP00242</t>
        </is>
      </c>
      <c r="B249" s="2" t="n">
        <v>4</v>
      </c>
      <c r="C249" s="19" t="n">
        <v>1.094</v>
      </c>
      <c r="D249" s="29" t="n">
        <v>0</v>
      </c>
      <c r="E249" s="2" t="n">
        <v>2</v>
      </c>
      <c r="F249" s="2" t="n">
        <v>0</v>
      </c>
      <c r="G249" s="2" t="n">
        <v>0</v>
      </c>
      <c r="H249" s="30">
        <f>IF(AND(B249&gt;=5,C249&lt;&gt;"",C249&lt;0.8),1,0)</f>
        <v/>
      </c>
      <c r="I249" s="30">
        <f>IF(AND(B249&gt;=8,D249&lt;&gt;"",D249&gt;=0.25,D249&lt;=0.75),1,0)</f>
        <v/>
      </c>
      <c r="J249" s="2" t="n"/>
    </row>
    <row r="250">
      <c r="A250" s="2" t="inlineStr">
        <is>
          <t>IMP00243</t>
        </is>
      </c>
      <c r="B250" s="2" t="n">
        <v>93</v>
      </c>
      <c r="C250" s="19" t="n">
        <v>1.011</v>
      </c>
      <c r="D250" s="29" t="n">
        <v>0.07530000000000001</v>
      </c>
      <c r="E250" s="2" t="n">
        <v>2</v>
      </c>
      <c r="F250" s="2" t="n">
        <v>0</v>
      </c>
      <c r="G250" s="2" t="n">
        <v>0</v>
      </c>
      <c r="H250" s="30">
        <f>IF(AND(B250&gt;=5,C250&lt;&gt;"",C250&lt;0.8),1,0)</f>
        <v/>
      </c>
      <c r="I250" s="30">
        <f>IF(AND(B250&gt;=8,D250&lt;&gt;"",D250&gt;=0.25,D250&lt;=0.75),1,0)</f>
        <v/>
      </c>
      <c r="J250" s="2" t="n"/>
    </row>
    <row r="251">
      <c r="A251" s="2" t="inlineStr">
        <is>
          <t>IMP00244</t>
        </is>
      </c>
      <c r="B251" s="2" t="n">
        <v>369</v>
      </c>
      <c r="C251" s="19" t="n">
        <v>1.027</v>
      </c>
      <c r="D251" s="29" t="n">
        <v>0.0027</v>
      </c>
      <c r="E251" s="2" t="n">
        <v>2</v>
      </c>
      <c r="F251" s="2" t="n">
        <v>0</v>
      </c>
      <c r="G251" s="2" t="n">
        <v>0</v>
      </c>
      <c r="H251" s="30">
        <f>IF(AND(B251&gt;=5,C251&lt;&gt;"",C251&lt;0.8),1,0)</f>
        <v/>
      </c>
      <c r="I251" s="30">
        <f>IF(AND(B251&gt;=8,D251&lt;&gt;"",D251&gt;=0.25,D251&lt;=0.75),1,0)</f>
        <v/>
      </c>
      <c r="J251" s="2" t="n"/>
    </row>
    <row r="252">
      <c r="A252" s="2" t="inlineStr">
        <is>
          <t>IMP00245</t>
        </is>
      </c>
      <c r="B252" s="2" t="n">
        <v>12</v>
      </c>
      <c r="C252" s="19" t="n">
        <v>0.751</v>
      </c>
      <c r="D252" s="29" t="n">
        <v>0.5</v>
      </c>
      <c r="E252" s="2" t="n">
        <v>1</v>
      </c>
      <c r="F252" s="2" t="n">
        <v>1</v>
      </c>
      <c r="G252" s="2" t="n">
        <v>1</v>
      </c>
      <c r="H252" s="30">
        <f>IF(AND(B252&gt;=5,C252&lt;&gt;"",C252&lt;0.8),1,0)</f>
        <v/>
      </c>
      <c r="I252" s="30">
        <f>IF(AND(B252&gt;=8,D252&lt;&gt;"",D252&gt;=0.25,D252&lt;=0.75),1,0)</f>
        <v/>
      </c>
      <c r="J252" s="2" t="n"/>
    </row>
    <row r="253">
      <c r="A253" s="2" t="inlineStr">
        <is>
          <t>IMP00246</t>
        </is>
      </c>
      <c r="B253" s="2" t="n">
        <v>1</v>
      </c>
      <c r="C253" s="19" t="n">
        <v>0.853</v>
      </c>
      <c r="D253" s="29" t="n">
        <v>0</v>
      </c>
      <c r="E253" s="2" t="n">
        <v>1</v>
      </c>
      <c r="F253" s="2" t="n">
        <v>0</v>
      </c>
      <c r="G253" s="2" t="n">
        <v>0</v>
      </c>
      <c r="H253" s="30">
        <f>IF(AND(B253&gt;=5,C253&lt;&gt;"",C253&lt;0.8),1,0)</f>
        <v/>
      </c>
      <c r="I253" s="30">
        <f>IF(AND(B253&gt;=8,D253&lt;&gt;"",D253&gt;=0.25,D253&lt;=0.75),1,0)</f>
        <v/>
      </c>
      <c r="J253" s="2" t="n"/>
    </row>
    <row r="254">
      <c r="A254" s="2" t="inlineStr">
        <is>
          <t>IMP00247</t>
        </is>
      </c>
      <c r="B254" s="2" t="n">
        <v>20</v>
      </c>
      <c r="C254" s="19" t="n">
        <v>1.0805</v>
      </c>
      <c r="D254" s="29" t="n">
        <v>0.15</v>
      </c>
      <c r="E254" s="2" t="n">
        <v>1</v>
      </c>
      <c r="F254" s="2" t="n">
        <v>0</v>
      </c>
      <c r="G254" s="2" t="n">
        <v>0</v>
      </c>
      <c r="H254" s="30">
        <f>IF(AND(B254&gt;=5,C254&lt;&gt;"",C254&lt;0.8),1,0)</f>
        <v/>
      </c>
      <c r="I254" s="30">
        <f>IF(AND(B254&gt;=8,D254&lt;&gt;"",D254&gt;=0.25,D254&lt;=0.75),1,0)</f>
        <v/>
      </c>
      <c r="J254" s="2" t="n"/>
    </row>
    <row r="255">
      <c r="A255" s="2" t="inlineStr">
        <is>
          <t>IMP00248</t>
        </is>
      </c>
      <c r="B255" s="2" t="n">
        <v>0</v>
      </c>
      <c r="C255" s="19" t="n"/>
      <c r="D255" s="29" t="n"/>
      <c r="E255" s="2" t="n">
        <v>0</v>
      </c>
      <c r="F255" s="2" t="n">
        <v>0</v>
      </c>
      <c r="G255" s="2" t="n">
        <v>0</v>
      </c>
      <c r="H255" s="30">
        <f>IF(AND(B255&gt;=5,C255&lt;&gt;"",C255&lt;0.8),1,0)</f>
        <v/>
      </c>
      <c r="I255" s="30">
        <f>IF(AND(B255&gt;=8,D255&lt;&gt;"",D255&gt;=0.25,D255&lt;=0.75),1,0)</f>
        <v/>
      </c>
      <c r="J255" s="2" t="n"/>
    </row>
    <row r="256">
      <c r="A256" s="2" t="inlineStr">
        <is>
          <t>IMP00249</t>
        </is>
      </c>
      <c r="B256" s="2" t="n">
        <v>144</v>
      </c>
      <c r="C256" s="19" t="n">
        <v>1.0445</v>
      </c>
      <c r="D256" s="29" t="n">
        <v>0.0069</v>
      </c>
      <c r="E256" s="2" t="n">
        <v>2</v>
      </c>
      <c r="F256" s="2" t="n">
        <v>0</v>
      </c>
      <c r="G256" s="2" t="n">
        <v>0</v>
      </c>
      <c r="H256" s="30">
        <f>IF(AND(B256&gt;=5,C256&lt;&gt;"",C256&lt;0.8),1,0)</f>
        <v/>
      </c>
      <c r="I256" s="30">
        <f>IF(AND(B256&gt;=8,D256&lt;&gt;"",D256&gt;=0.25,D256&lt;=0.75),1,0)</f>
        <v/>
      </c>
      <c r="J256" s="2" t="n"/>
    </row>
    <row r="257">
      <c r="A257" s="2" t="inlineStr">
        <is>
          <t>IMP00250</t>
        </is>
      </c>
      <c r="B257" s="2" t="n">
        <v>3</v>
      </c>
      <c r="C257" s="19" t="n">
        <v>0.755</v>
      </c>
      <c r="D257" s="29" t="n">
        <v>0.3333</v>
      </c>
      <c r="E257" s="2" t="n">
        <v>2</v>
      </c>
      <c r="F257" s="2" t="n">
        <v>0</v>
      </c>
      <c r="G257" s="2" t="n">
        <v>0</v>
      </c>
      <c r="H257" s="30">
        <f>IF(AND(B257&gt;=5,C257&lt;&gt;"",C257&lt;0.8),1,0)</f>
        <v/>
      </c>
      <c r="I257" s="30">
        <f>IF(AND(B257&gt;=8,D257&lt;&gt;"",D257&gt;=0.25,D257&lt;=0.75),1,0)</f>
        <v/>
      </c>
      <c r="J257" s="2" t="n"/>
    </row>
    <row r="258">
      <c r="A258" s="2" t="inlineStr">
        <is>
          <t>IMP00251</t>
        </is>
      </c>
      <c r="B258" s="2" t="n">
        <v>1</v>
      </c>
      <c r="C258" s="19" t="n">
        <v>0.956</v>
      </c>
      <c r="D258" s="29" t="n">
        <v>0</v>
      </c>
      <c r="E258" s="2" t="n">
        <v>1</v>
      </c>
      <c r="F258" s="2" t="n">
        <v>0</v>
      </c>
      <c r="G258" s="2" t="n">
        <v>0</v>
      </c>
      <c r="H258" s="30">
        <f>IF(AND(B258&gt;=5,C258&lt;&gt;"",C258&lt;0.8),1,0)</f>
        <v/>
      </c>
      <c r="I258" s="30">
        <f>IF(AND(B258&gt;=8,D258&lt;&gt;"",D258&gt;=0.25,D258&lt;=0.75),1,0)</f>
        <v/>
      </c>
      <c r="J258" s="2" t="n"/>
    </row>
    <row r="259">
      <c r="A259" s="2" t="inlineStr">
        <is>
          <t>IMP00252</t>
        </is>
      </c>
      <c r="B259" s="2" t="n">
        <v>6</v>
      </c>
      <c r="C259" s="19" t="n">
        <v>1.2985</v>
      </c>
      <c r="D259" s="29" t="n">
        <v>0</v>
      </c>
      <c r="E259" s="2" t="n">
        <v>1</v>
      </c>
      <c r="F259" s="2" t="n">
        <v>0</v>
      </c>
      <c r="G259" s="2" t="n">
        <v>0</v>
      </c>
      <c r="H259" s="30">
        <f>IF(AND(B259&gt;=5,C259&lt;&gt;"",C259&lt;0.8),1,0)</f>
        <v/>
      </c>
      <c r="I259" s="30">
        <f>IF(AND(B259&gt;=8,D259&lt;&gt;"",D259&gt;=0.25,D259&lt;=0.75),1,0)</f>
        <v/>
      </c>
      <c r="J259" s="2" t="n"/>
    </row>
    <row r="260">
      <c r="A260" s="2" t="inlineStr">
        <is>
          <t>IMP00253</t>
        </is>
      </c>
      <c r="B260" s="2" t="n">
        <v>9</v>
      </c>
      <c r="C260" s="19" t="n">
        <v>0.879</v>
      </c>
      <c r="D260" s="29" t="n">
        <v>0.3333</v>
      </c>
      <c r="E260" s="2" t="n">
        <v>1</v>
      </c>
      <c r="F260" s="2" t="n">
        <v>0</v>
      </c>
      <c r="G260" s="2" t="n">
        <v>1</v>
      </c>
      <c r="H260" s="30">
        <f>IF(AND(B260&gt;=5,C260&lt;&gt;"",C260&lt;0.8),1,0)</f>
        <v/>
      </c>
      <c r="I260" s="30">
        <f>IF(AND(B260&gt;=8,D260&lt;&gt;"",D260&gt;=0.25,D260&lt;=0.75),1,0)</f>
        <v/>
      </c>
      <c r="J260" s="2" t="n"/>
    </row>
    <row r="261">
      <c r="A261" s="2" t="inlineStr">
        <is>
          <t>IMP00254</t>
        </is>
      </c>
      <c r="B261" s="2" t="n">
        <v>14</v>
      </c>
      <c r="C261" s="19" t="n">
        <v>1.086</v>
      </c>
      <c r="D261" s="29" t="n">
        <v>0</v>
      </c>
      <c r="E261" s="2" t="n">
        <v>2</v>
      </c>
      <c r="F261" s="2" t="n">
        <v>0</v>
      </c>
      <c r="G261" s="2" t="n">
        <v>0</v>
      </c>
      <c r="H261" s="30">
        <f>IF(AND(B261&gt;=5,C261&lt;&gt;"",C261&lt;0.8),1,0)</f>
        <v/>
      </c>
      <c r="I261" s="30">
        <f>IF(AND(B261&gt;=8,D261&lt;&gt;"",D261&gt;=0.25,D261&lt;=0.75),1,0)</f>
        <v/>
      </c>
      <c r="J261" s="2" t="n"/>
    </row>
    <row r="262">
      <c r="A262" s="2" t="inlineStr">
        <is>
          <t>IMP00255</t>
        </is>
      </c>
      <c r="B262" s="2" t="n">
        <v>5</v>
      </c>
      <c r="C262" s="19" t="n">
        <v>1.131</v>
      </c>
      <c r="D262" s="29" t="n">
        <v>0</v>
      </c>
      <c r="E262" s="2" t="n">
        <v>1</v>
      </c>
      <c r="F262" s="2" t="n">
        <v>0</v>
      </c>
      <c r="G262" s="2" t="n">
        <v>0</v>
      </c>
      <c r="H262" s="30">
        <f>IF(AND(B262&gt;=5,C262&lt;&gt;"",C262&lt;0.8),1,0)</f>
        <v/>
      </c>
      <c r="I262" s="30">
        <f>IF(AND(B262&gt;=8,D262&lt;&gt;"",D262&gt;=0.25,D262&lt;=0.75),1,0)</f>
        <v/>
      </c>
      <c r="J262" s="2" t="n"/>
    </row>
    <row r="263">
      <c r="A263" s="2" t="inlineStr">
        <is>
          <t>IMP00256</t>
        </is>
      </c>
      <c r="B263" s="2" t="n">
        <v>44</v>
      </c>
      <c r="C263" s="19" t="n">
        <v>0.976</v>
      </c>
      <c r="D263" s="29" t="n">
        <v>0.0682</v>
      </c>
      <c r="E263" s="2" t="n">
        <v>1</v>
      </c>
      <c r="F263" s="2" t="n">
        <v>0</v>
      </c>
      <c r="G263" s="2" t="n">
        <v>0</v>
      </c>
      <c r="H263" s="30">
        <f>IF(AND(B263&gt;=5,C263&lt;&gt;"",C263&lt;0.8),1,0)</f>
        <v/>
      </c>
      <c r="I263" s="30">
        <f>IF(AND(B263&gt;=8,D263&lt;&gt;"",D263&gt;=0.25,D263&lt;=0.75),1,0)</f>
        <v/>
      </c>
      <c r="J263" s="2" t="n"/>
    </row>
    <row r="264">
      <c r="A264" s="2" t="inlineStr">
        <is>
          <t>IMP00257</t>
        </is>
      </c>
      <c r="B264" s="2" t="n">
        <v>0</v>
      </c>
      <c r="C264" s="19" t="n"/>
      <c r="D264" s="29" t="n"/>
      <c r="E264" s="2" t="n">
        <v>0</v>
      </c>
      <c r="F264" s="2" t="n">
        <v>0</v>
      </c>
      <c r="G264" s="2" t="n">
        <v>0</v>
      </c>
      <c r="H264" s="30">
        <f>IF(AND(B264&gt;=5,C264&lt;&gt;"",C264&lt;0.8),1,0)</f>
        <v/>
      </c>
      <c r="I264" s="30">
        <f>IF(AND(B264&gt;=8,D264&lt;&gt;"",D264&gt;=0.25,D264&lt;=0.75),1,0)</f>
        <v/>
      </c>
      <c r="J264" s="2" t="n"/>
    </row>
    <row r="265">
      <c r="A265" s="2" t="inlineStr">
        <is>
          <t>IMP00258</t>
        </is>
      </c>
      <c r="B265" s="2" t="n">
        <v>31</v>
      </c>
      <c r="C265" s="19" t="n">
        <v>1.377</v>
      </c>
      <c r="D265" s="29" t="n">
        <v>0</v>
      </c>
      <c r="E265" s="2" t="n">
        <v>1</v>
      </c>
      <c r="F265" s="2" t="n">
        <v>0</v>
      </c>
      <c r="G265" s="2" t="n">
        <v>0</v>
      </c>
      <c r="H265" s="30">
        <f>IF(AND(B265&gt;=5,C265&lt;&gt;"",C265&lt;0.8),1,0)</f>
        <v/>
      </c>
      <c r="I265" s="30">
        <f>IF(AND(B265&gt;=8,D265&lt;&gt;"",D265&gt;=0.25,D265&lt;=0.75),1,0)</f>
        <v/>
      </c>
      <c r="J265" s="2" t="n"/>
    </row>
    <row r="266">
      <c r="A266" s="2" t="inlineStr">
        <is>
          <t>IMP00259</t>
        </is>
      </c>
      <c r="B266" s="2" t="n">
        <v>0</v>
      </c>
      <c r="C266" s="19" t="n"/>
      <c r="D266" s="29" t="n"/>
      <c r="E266" s="2" t="n">
        <v>0</v>
      </c>
      <c r="F266" s="2" t="n">
        <v>0</v>
      </c>
      <c r="G266" s="2" t="n">
        <v>0</v>
      </c>
      <c r="H266" s="30">
        <f>IF(AND(B266&gt;=5,C266&lt;&gt;"",C266&lt;0.8),1,0)</f>
        <v/>
      </c>
      <c r="I266" s="30">
        <f>IF(AND(B266&gt;=8,D266&lt;&gt;"",D266&gt;=0.25,D266&lt;=0.75),1,0)</f>
        <v/>
      </c>
      <c r="J266" s="2" t="n"/>
    </row>
    <row r="267">
      <c r="A267" s="2" t="inlineStr">
        <is>
          <t>IMP00260</t>
        </is>
      </c>
      <c r="B267" s="2" t="n">
        <v>63</v>
      </c>
      <c r="C267" s="19" t="n">
        <v>0.9005</v>
      </c>
      <c r="D267" s="29" t="n">
        <v>0.254</v>
      </c>
      <c r="E267" s="2" t="n">
        <v>1</v>
      </c>
      <c r="F267" s="2" t="n">
        <v>0</v>
      </c>
      <c r="G267" s="2" t="n">
        <v>1</v>
      </c>
      <c r="H267" s="30">
        <f>IF(AND(B267&gt;=5,C267&lt;&gt;"",C267&lt;0.8),1,0)</f>
        <v/>
      </c>
      <c r="I267" s="30">
        <f>IF(AND(B267&gt;=8,D267&lt;&gt;"",D267&gt;=0.25,D267&lt;=0.75),1,0)</f>
        <v/>
      </c>
      <c r="J267" s="2" t="n"/>
    </row>
    <row r="268">
      <c r="A268" s="2" t="inlineStr">
        <is>
          <t>IMP00261</t>
        </is>
      </c>
      <c r="B268" s="2" t="n">
        <v>15</v>
      </c>
      <c r="C268" s="19" t="n">
        <v>0.961</v>
      </c>
      <c r="D268" s="29" t="n">
        <v>0</v>
      </c>
      <c r="E268" s="2" t="n">
        <v>1</v>
      </c>
      <c r="F268" s="2" t="n">
        <v>0</v>
      </c>
      <c r="G268" s="2" t="n">
        <v>0</v>
      </c>
      <c r="H268" s="30">
        <f>IF(AND(B268&gt;=5,C268&lt;&gt;"",C268&lt;0.8),1,0)</f>
        <v/>
      </c>
      <c r="I268" s="30">
        <f>IF(AND(B268&gt;=8,D268&lt;&gt;"",D268&gt;=0.25,D268&lt;=0.75),1,0)</f>
        <v/>
      </c>
      <c r="J268" s="2" t="n"/>
    </row>
    <row r="269">
      <c r="A269" s="2" t="inlineStr">
        <is>
          <t>IMP00262</t>
        </is>
      </c>
      <c r="B269" s="2" t="n">
        <v>0</v>
      </c>
      <c r="C269" s="19" t="n"/>
      <c r="D269" s="29" t="n"/>
      <c r="E269" s="2" t="n">
        <v>0</v>
      </c>
      <c r="F269" s="2" t="n">
        <v>0</v>
      </c>
      <c r="G269" s="2" t="n">
        <v>0</v>
      </c>
      <c r="H269" s="30">
        <f>IF(AND(B269&gt;=5,C269&lt;&gt;"",C269&lt;0.8),1,0)</f>
        <v/>
      </c>
      <c r="I269" s="30">
        <f>IF(AND(B269&gt;=8,D269&lt;&gt;"",D269&gt;=0.25,D269&lt;=0.75),1,0)</f>
        <v/>
      </c>
      <c r="J269" s="2" t="n"/>
    </row>
    <row r="270">
      <c r="A270" s="2" t="inlineStr">
        <is>
          <t>IMP00263</t>
        </is>
      </c>
      <c r="B270" s="2" t="n">
        <v>3</v>
      </c>
      <c r="C270" s="19" t="n">
        <v>1.059</v>
      </c>
      <c r="D270" s="29" t="n">
        <v>0.3333</v>
      </c>
      <c r="E270" s="2" t="n">
        <v>1</v>
      </c>
      <c r="F270" s="2" t="n">
        <v>0</v>
      </c>
      <c r="G270" s="2" t="n">
        <v>0</v>
      </c>
      <c r="H270" s="30">
        <f>IF(AND(B270&gt;=5,C270&lt;&gt;"",C270&lt;0.8),1,0)</f>
        <v/>
      </c>
      <c r="I270" s="30">
        <f>IF(AND(B270&gt;=8,D270&lt;&gt;"",D270&gt;=0.25,D270&lt;=0.75),1,0)</f>
        <v/>
      </c>
      <c r="J270" s="2" t="n"/>
    </row>
    <row r="271">
      <c r="A271" s="2" t="inlineStr">
        <is>
          <t>IMP00264</t>
        </is>
      </c>
      <c r="B271" s="2" t="n">
        <v>8</v>
      </c>
      <c r="C271" s="19" t="n">
        <v>1.021</v>
      </c>
      <c r="D271" s="29" t="n">
        <v>0</v>
      </c>
      <c r="E271" s="2" t="n">
        <v>2</v>
      </c>
      <c r="F271" s="2" t="n">
        <v>0</v>
      </c>
      <c r="G271" s="2" t="n">
        <v>0</v>
      </c>
      <c r="H271" s="30">
        <f>IF(AND(B271&gt;=5,C271&lt;&gt;"",C271&lt;0.8),1,0)</f>
        <v/>
      </c>
      <c r="I271" s="30">
        <f>IF(AND(B271&gt;=8,D271&lt;&gt;"",D271&gt;=0.25,D271&lt;=0.75),1,0)</f>
        <v/>
      </c>
      <c r="J271" s="2" t="n"/>
    </row>
    <row r="272">
      <c r="A272" s="2" t="inlineStr">
        <is>
          <t>IMP00265</t>
        </is>
      </c>
      <c r="B272" s="2" t="n">
        <v>21</v>
      </c>
      <c r="C272" s="19" t="n">
        <v>1.133</v>
      </c>
      <c r="D272" s="29" t="n">
        <v>0</v>
      </c>
      <c r="E272" s="2" t="n">
        <v>1</v>
      </c>
      <c r="F272" s="2" t="n">
        <v>0</v>
      </c>
      <c r="G272" s="2" t="n">
        <v>0</v>
      </c>
      <c r="H272" s="30">
        <f>IF(AND(B272&gt;=5,C272&lt;&gt;"",C272&lt;0.8),1,0)</f>
        <v/>
      </c>
      <c r="I272" s="30">
        <f>IF(AND(B272&gt;=8,D272&lt;&gt;"",D272&gt;=0.25,D272&lt;=0.75),1,0)</f>
        <v/>
      </c>
      <c r="J272" s="2" t="n"/>
    </row>
    <row r="273">
      <c r="A273" s="2" t="inlineStr">
        <is>
          <t>IMP00266</t>
        </is>
      </c>
      <c r="B273" s="2" t="n">
        <v>2</v>
      </c>
      <c r="C273" s="19" t="n">
        <v>1.004</v>
      </c>
      <c r="D273" s="29" t="n">
        <v>0</v>
      </c>
      <c r="E273" s="2" t="n">
        <v>2</v>
      </c>
      <c r="F273" s="2" t="n">
        <v>0</v>
      </c>
      <c r="G273" s="2" t="n">
        <v>0</v>
      </c>
      <c r="H273" s="30">
        <f>IF(AND(B273&gt;=5,C273&lt;&gt;"",C273&lt;0.8),1,0)</f>
        <v/>
      </c>
      <c r="I273" s="30">
        <f>IF(AND(B273&gt;=8,D273&lt;&gt;"",D273&gt;=0.25,D273&lt;=0.75),1,0)</f>
        <v/>
      </c>
      <c r="J273" s="2" t="n"/>
    </row>
    <row r="274">
      <c r="A274" s="2" t="inlineStr">
        <is>
          <t>IMP00267</t>
        </is>
      </c>
      <c r="B274" s="2" t="n">
        <v>32</v>
      </c>
      <c r="C274" s="19" t="n">
        <v>0.8625</v>
      </c>
      <c r="D274" s="29" t="n">
        <v>0.2188</v>
      </c>
      <c r="E274" s="2" t="n">
        <v>1</v>
      </c>
      <c r="F274" s="2" t="n">
        <v>0</v>
      </c>
      <c r="G274" s="2" t="n">
        <v>0</v>
      </c>
      <c r="H274" s="30">
        <f>IF(AND(B274&gt;=5,C274&lt;&gt;"",C274&lt;0.8),1,0)</f>
        <v/>
      </c>
      <c r="I274" s="30">
        <f>IF(AND(B274&gt;=8,D274&lt;&gt;"",D274&gt;=0.25,D274&lt;=0.75),1,0)</f>
        <v/>
      </c>
      <c r="J274" s="2" t="n"/>
    </row>
    <row r="275">
      <c r="A275" s="2" t="inlineStr">
        <is>
          <t>IMP00268</t>
        </is>
      </c>
      <c r="B275" s="2" t="n">
        <v>5</v>
      </c>
      <c r="C275" s="19" t="n">
        <v>1.033</v>
      </c>
      <c r="D275" s="29" t="n">
        <v>0.2</v>
      </c>
      <c r="E275" s="2" t="n">
        <v>1</v>
      </c>
      <c r="F275" s="2" t="n">
        <v>0</v>
      </c>
      <c r="G275" s="2" t="n">
        <v>0</v>
      </c>
      <c r="H275" s="30">
        <f>IF(AND(B275&gt;=5,C275&lt;&gt;"",C275&lt;0.8),1,0)</f>
        <v/>
      </c>
      <c r="I275" s="30">
        <f>IF(AND(B275&gt;=8,D275&lt;&gt;"",D275&gt;=0.25,D275&lt;=0.75),1,0)</f>
        <v/>
      </c>
      <c r="J275" s="2" t="n"/>
    </row>
    <row r="276">
      <c r="A276" s="2" t="inlineStr">
        <is>
          <t>IMP00269</t>
        </is>
      </c>
      <c r="B276" s="2" t="n">
        <v>301</v>
      </c>
      <c r="C276" s="19" t="n">
        <v>0.983</v>
      </c>
      <c r="D276" s="29" t="n">
        <v>0.0133</v>
      </c>
      <c r="E276" s="2" t="n">
        <v>1</v>
      </c>
      <c r="F276" s="2" t="n">
        <v>0</v>
      </c>
      <c r="G276" s="2" t="n">
        <v>0</v>
      </c>
      <c r="H276" s="30">
        <f>IF(AND(B276&gt;=5,C276&lt;&gt;"",C276&lt;0.8),1,0)</f>
        <v/>
      </c>
      <c r="I276" s="30">
        <f>IF(AND(B276&gt;=8,D276&lt;&gt;"",D276&gt;=0.25,D276&lt;=0.75),1,0)</f>
        <v/>
      </c>
      <c r="J276" s="2" t="n"/>
    </row>
    <row r="277">
      <c r="A277" s="2" t="inlineStr">
        <is>
          <t>IMP00270</t>
        </is>
      </c>
      <c r="B277" s="2" t="n">
        <v>11</v>
      </c>
      <c r="C277" s="19" t="n">
        <v>1.286</v>
      </c>
      <c r="D277" s="29" t="n">
        <v>0</v>
      </c>
      <c r="E277" s="2" t="n">
        <v>1</v>
      </c>
      <c r="F277" s="2" t="n">
        <v>0</v>
      </c>
      <c r="G277" s="2" t="n">
        <v>0</v>
      </c>
      <c r="H277" s="30">
        <f>IF(AND(B277&gt;=5,C277&lt;&gt;"",C277&lt;0.8),1,0)</f>
        <v/>
      </c>
      <c r="I277" s="30">
        <f>IF(AND(B277&gt;=8,D277&lt;&gt;"",D277&gt;=0.25,D277&lt;=0.75),1,0)</f>
        <v/>
      </c>
      <c r="J277" s="2" t="n"/>
    </row>
    <row r="278">
      <c r="A278" s="2" t="inlineStr">
        <is>
          <t>IMP00271</t>
        </is>
      </c>
      <c r="B278" s="2" t="n">
        <v>25</v>
      </c>
      <c r="C278" s="19" t="n">
        <v>0.92</v>
      </c>
      <c r="D278" s="29" t="n">
        <v>0.08</v>
      </c>
      <c r="E278" s="2" t="n">
        <v>1</v>
      </c>
      <c r="F278" s="2" t="n">
        <v>0</v>
      </c>
      <c r="G278" s="2" t="n">
        <v>0</v>
      </c>
      <c r="H278" s="30">
        <f>IF(AND(B278&gt;=5,C278&lt;&gt;"",C278&lt;0.8),1,0)</f>
        <v/>
      </c>
      <c r="I278" s="30">
        <f>IF(AND(B278&gt;=8,D278&lt;&gt;"",D278&gt;=0.25,D278&lt;=0.75),1,0)</f>
        <v/>
      </c>
      <c r="J278" s="2" t="n"/>
    </row>
    <row r="279">
      <c r="A279" s="2" t="inlineStr">
        <is>
          <t>IMP00272</t>
        </is>
      </c>
      <c r="B279" s="2" t="n">
        <v>19</v>
      </c>
      <c r="C279" s="19" t="n">
        <v>1.052</v>
      </c>
      <c r="D279" s="29" t="n">
        <v>0</v>
      </c>
      <c r="E279" s="2" t="n">
        <v>1</v>
      </c>
      <c r="F279" s="2" t="n">
        <v>0</v>
      </c>
      <c r="G279" s="2" t="n">
        <v>0</v>
      </c>
      <c r="H279" s="30">
        <f>IF(AND(B279&gt;=5,C279&lt;&gt;"",C279&lt;0.8),1,0)</f>
        <v/>
      </c>
      <c r="I279" s="30">
        <f>IF(AND(B279&gt;=8,D279&lt;&gt;"",D279&gt;=0.25,D279&lt;=0.75),1,0)</f>
        <v/>
      </c>
      <c r="J279" s="2" t="n"/>
    </row>
    <row r="280">
      <c r="A280" s="2" t="inlineStr">
        <is>
          <t>IMP00273</t>
        </is>
      </c>
      <c r="B280" s="2" t="n">
        <v>73</v>
      </c>
      <c r="C280" s="19" t="n">
        <v>0.8825</v>
      </c>
      <c r="D280" s="29" t="n">
        <v>0.4521</v>
      </c>
      <c r="E280" s="2" t="n">
        <v>1</v>
      </c>
      <c r="F280" s="2" t="n">
        <v>0</v>
      </c>
      <c r="G280" s="2" t="n">
        <v>1</v>
      </c>
      <c r="H280" s="30">
        <f>IF(AND(B280&gt;=5,C280&lt;&gt;"",C280&lt;0.8),1,0)</f>
        <v/>
      </c>
      <c r="I280" s="30">
        <f>IF(AND(B280&gt;=8,D280&lt;&gt;"",D280&gt;=0.25,D280&lt;=0.75),1,0)</f>
        <v/>
      </c>
      <c r="J280" s="2" t="n"/>
    </row>
    <row r="281">
      <c r="A281" s="2" t="inlineStr">
        <is>
          <t>IMP00274</t>
        </is>
      </c>
      <c r="B281" s="2" t="n">
        <v>335</v>
      </c>
      <c r="C281" s="19" t="n">
        <v>0.9765</v>
      </c>
      <c r="D281" s="29" t="n">
        <v>0.0537</v>
      </c>
      <c r="E281" s="2" t="n">
        <v>2</v>
      </c>
      <c r="F281" s="2" t="n">
        <v>0</v>
      </c>
      <c r="G281" s="2" t="n">
        <v>0</v>
      </c>
      <c r="H281" s="30">
        <f>IF(AND(B281&gt;=5,C281&lt;&gt;"",C281&lt;0.8),1,0)</f>
        <v/>
      </c>
      <c r="I281" s="30">
        <f>IF(AND(B281&gt;=8,D281&lt;&gt;"",D281&gt;=0.25,D281&lt;=0.75),1,0)</f>
        <v/>
      </c>
      <c r="J281" s="2" t="n"/>
    </row>
    <row r="282">
      <c r="A282" s="2" t="inlineStr">
        <is>
          <t>IMP00275</t>
        </is>
      </c>
      <c r="B282" s="2" t="n">
        <v>92</v>
      </c>
      <c r="C282" s="19" t="n">
        <v>1.168</v>
      </c>
      <c r="D282" s="29" t="n">
        <v>0</v>
      </c>
      <c r="E282" s="2" t="n">
        <v>1</v>
      </c>
      <c r="F282" s="2" t="n">
        <v>0</v>
      </c>
      <c r="G282" s="2" t="n">
        <v>0</v>
      </c>
      <c r="H282" s="30">
        <f>IF(AND(B282&gt;=5,C282&lt;&gt;"",C282&lt;0.8),1,0)</f>
        <v/>
      </c>
      <c r="I282" s="30">
        <f>IF(AND(B282&gt;=8,D282&lt;&gt;"",D282&gt;=0.25,D282&lt;=0.75),1,0)</f>
        <v/>
      </c>
      <c r="J282" s="2" t="n"/>
    </row>
    <row r="283">
      <c r="A283" s="2" t="inlineStr">
        <is>
          <t>IMP00276</t>
        </is>
      </c>
      <c r="B283" s="2" t="n">
        <v>46</v>
      </c>
      <c r="C283" s="19" t="n">
        <v>0.989</v>
      </c>
      <c r="D283" s="29" t="n">
        <v>0.0435</v>
      </c>
      <c r="E283" s="2" t="n">
        <v>2</v>
      </c>
      <c r="F283" s="2" t="n">
        <v>0</v>
      </c>
      <c r="G283" s="2" t="n">
        <v>0</v>
      </c>
      <c r="H283" s="30">
        <f>IF(AND(B283&gt;=5,C283&lt;&gt;"",C283&lt;0.8),1,0)</f>
        <v/>
      </c>
      <c r="I283" s="30">
        <f>IF(AND(B283&gt;=8,D283&lt;&gt;"",D283&gt;=0.25,D283&lt;=0.75),1,0)</f>
        <v/>
      </c>
      <c r="J283" s="2" t="n"/>
    </row>
    <row r="284">
      <c r="A284" s="2" t="inlineStr">
        <is>
          <t>IMP00277</t>
        </is>
      </c>
      <c r="B284" s="2" t="n">
        <v>0</v>
      </c>
      <c r="C284" s="19" t="n"/>
      <c r="D284" s="29" t="n"/>
      <c r="E284" s="2" t="n">
        <v>0</v>
      </c>
      <c r="F284" s="2" t="n">
        <v>0</v>
      </c>
      <c r="G284" s="2" t="n">
        <v>0</v>
      </c>
      <c r="H284" s="30">
        <f>IF(AND(B284&gt;=5,C284&lt;&gt;"",C284&lt;0.8),1,0)</f>
        <v/>
      </c>
      <c r="I284" s="30">
        <f>IF(AND(B284&gt;=8,D284&lt;&gt;"",D284&gt;=0.25,D284&lt;=0.75),1,0)</f>
        <v/>
      </c>
      <c r="J284" s="2" t="n"/>
    </row>
    <row r="285">
      <c r="A285" s="2" t="inlineStr">
        <is>
          <t>IMP00278</t>
        </is>
      </c>
      <c r="B285" s="2" t="n">
        <v>15</v>
      </c>
      <c r="C285" s="19" t="n">
        <v>1</v>
      </c>
      <c r="D285" s="29" t="n">
        <v>0.3333</v>
      </c>
      <c r="E285" s="2" t="n">
        <v>1</v>
      </c>
      <c r="F285" s="2" t="n">
        <v>0</v>
      </c>
      <c r="G285" s="2" t="n">
        <v>1</v>
      </c>
      <c r="H285" s="30">
        <f>IF(AND(B285&gt;=5,C285&lt;&gt;"",C285&lt;0.8),1,0)</f>
        <v/>
      </c>
      <c r="I285" s="30">
        <f>IF(AND(B285&gt;=8,D285&lt;&gt;"",D285&gt;=0.25,D285&lt;=0.75),1,0)</f>
        <v/>
      </c>
      <c r="J285" s="2" t="n"/>
    </row>
    <row r="286">
      <c r="A286" s="2" t="inlineStr">
        <is>
          <t>IMP00279</t>
        </is>
      </c>
      <c r="B286" s="2" t="n">
        <v>157</v>
      </c>
      <c r="C286" s="19" t="n">
        <v>0.969</v>
      </c>
      <c r="D286" s="29" t="n">
        <v>0.1146</v>
      </c>
      <c r="E286" s="2" t="n">
        <v>1</v>
      </c>
      <c r="F286" s="2" t="n">
        <v>0</v>
      </c>
      <c r="G286" s="2" t="n">
        <v>0</v>
      </c>
      <c r="H286" s="30">
        <f>IF(AND(B286&gt;=5,C286&lt;&gt;"",C286&lt;0.8),1,0)</f>
        <v/>
      </c>
      <c r="I286" s="30">
        <f>IF(AND(B286&gt;=8,D286&lt;&gt;"",D286&gt;=0.25,D286&lt;=0.75),1,0)</f>
        <v/>
      </c>
      <c r="J286" s="2" t="n"/>
    </row>
    <row r="287">
      <c r="A287" s="2" t="inlineStr">
        <is>
          <t>IMP00280</t>
        </is>
      </c>
      <c r="B287" s="2" t="n">
        <v>468</v>
      </c>
      <c r="C287" s="19" t="n">
        <v>1</v>
      </c>
      <c r="D287" s="29" t="n">
        <v>0.0192</v>
      </c>
      <c r="E287" s="2" t="n">
        <v>1</v>
      </c>
      <c r="F287" s="2" t="n">
        <v>0</v>
      </c>
      <c r="G287" s="2" t="n">
        <v>0</v>
      </c>
      <c r="H287" s="30">
        <f>IF(AND(B287&gt;=5,C287&lt;&gt;"",C287&lt;0.8),1,0)</f>
        <v/>
      </c>
      <c r="I287" s="30">
        <f>IF(AND(B287&gt;=8,D287&lt;&gt;"",D287&gt;=0.25,D287&lt;=0.75),1,0)</f>
        <v/>
      </c>
      <c r="J287" s="2" t="n"/>
    </row>
    <row r="288">
      <c r="A288" s="2" t="inlineStr">
        <is>
          <t>IMP00281</t>
        </is>
      </c>
      <c r="B288" s="2" t="n">
        <v>8</v>
      </c>
      <c r="C288" s="19" t="n">
        <v>1.197</v>
      </c>
      <c r="D288" s="29" t="n">
        <v>0.25</v>
      </c>
      <c r="E288" s="2" t="n">
        <v>2</v>
      </c>
      <c r="F288" s="2" t="n">
        <v>0</v>
      </c>
      <c r="G288" s="2" t="n">
        <v>1</v>
      </c>
      <c r="H288" s="30">
        <f>IF(AND(B288&gt;=5,C288&lt;&gt;"",C288&lt;0.8),1,0)</f>
        <v/>
      </c>
      <c r="I288" s="30">
        <f>IF(AND(B288&gt;=8,D288&lt;&gt;"",D288&gt;=0.25,D288&lt;=0.75),1,0)</f>
        <v/>
      </c>
      <c r="J288" s="2" t="n"/>
    </row>
    <row r="289">
      <c r="A289" s="2" t="inlineStr">
        <is>
          <t>IMP00282</t>
        </is>
      </c>
      <c r="B289" s="2" t="n">
        <v>36</v>
      </c>
      <c r="C289" s="19" t="n">
        <v>1.073</v>
      </c>
      <c r="D289" s="29" t="n">
        <v>0.0556</v>
      </c>
      <c r="E289" s="2" t="n">
        <v>1</v>
      </c>
      <c r="F289" s="2" t="n">
        <v>0</v>
      </c>
      <c r="G289" s="2" t="n">
        <v>0</v>
      </c>
      <c r="H289" s="30">
        <f>IF(AND(B289&gt;=5,C289&lt;&gt;"",C289&lt;0.8),1,0)</f>
        <v/>
      </c>
      <c r="I289" s="30">
        <f>IF(AND(B289&gt;=8,D289&lt;&gt;"",D289&gt;=0.25,D289&lt;=0.75),1,0)</f>
        <v/>
      </c>
      <c r="J289" s="2" t="n"/>
    </row>
    <row r="290">
      <c r="A290" s="2" t="inlineStr">
        <is>
          <t>IMP00283</t>
        </is>
      </c>
      <c r="B290" s="2" t="n">
        <v>39</v>
      </c>
      <c r="C290" s="19" t="n">
        <v>0.864</v>
      </c>
      <c r="D290" s="29" t="n">
        <v>0.4615</v>
      </c>
      <c r="E290" s="2" t="n">
        <v>1</v>
      </c>
      <c r="F290" s="2" t="n">
        <v>0</v>
      </c>
      <c r="G290" s="2" t="n">
        <v>1</v>
      </c>
      <c r="H290" s="30">
        <f>IF(AND(B290&gt;=5,C290&lt;&gt;"",C290&lt;0.8),1,0)</f>
        <v/>
      </c>
      <c r="I290" s="30">
        <f>IF(AND(B290&gt;=8,D290&lt;&gt;"",D290&gt;=0.25,D290&lt;=0.75),1,0)</f>
        <v/>
      </c>
      <c r="J290" s="2" t="n"/>
    </row>
    <row r="291">
      <c r="A291" s="2" t="inlineStr">
        <is>
          <t>IMP00284</t>
        </is>
      </c>
      <c r="B291" s="2" t="n">
        <v>20</v>
      </c>
      <c r="C291" s="19" t="n">
        <v>0.842</v>
      </c>
      <c r="D291" s="29" t="n">
        <v>0.35</v>
      </c>
      <c r="E291" s="2" t="n">
        <v>2</v>
      </c>
      <c r="F291" s="2" t="n">
        <v>0</v>
      </c>
      <c r="G291" s="2" t="n">
        <v>1</v>
      </c>
      <c r="H291" s="30">
        <f>IF(AND(B291&gt;=5,C291&lt;&gt;"",C291&lt;0.8),1,0)</f>
        <v/>
      </c>
      <c r="I291" s="30">
        <f>IF(AND(B291&gt;=8,D291&lt;&gt;"",D291&gt;=0.25,D291&lt;=0.75),1,0)</f>
        <v/>
      </c>
      <c r="J291" s="2" t="n"/>
    </row>
    <row r="292">
      <c r="A292" s="2" t="inlineStr">
        <is>
          <t>IMP00285</t>
        </is>
      </c>
      <c r="B292" s="2" t="n">
        <v>55</v>
      </c>
      <c r="C292" s="19" t="n">
        <v>0.925</v>
      </c>
      <c r="D292" s="29" t="n">
        <v>0.2</v>
      </c>
      <c r="E292" s="2" t="n">
        <v>1</v>
      </c>
      <c r="F292" s="2" t="n">
        <v>0</v>
      </c>
      <c r="G292" s="2" t="n">
        <v>0</v>
      </c>
      <c r="H292" s="30">
        <f>IF(AND(B292&gt;=5,C292&lt;&gt;"",C292&lt;0.8),1,0)</f>
        <v/>
      </c>
      <c r="I292" s="30">
        <f>IF(AND(B292&gt;=8,D292&lt;&gt;"",D292&gt;=0.25,D292&lt;=0.75),1,0)</f>
        <v/>
      </c>
      <c r="J292" s="2" t="n"/>
    </row>
    <row r="293">
      <c r="A293" s="2" t="inlineStr">
        <is>
          <t>IMP00286</t>
        </is>
      </c>
      <c r="B293" s="2" t="n">
        <v>12</v>
      </c>
      <c r="C293" s="19" t="n">
        <v>1.19</v>
      </c>
      <c r="D293" s="29" t="n">
        <v>0</v>
      </c>
      <c r="E293" s="2" t="n">
        <v>1</v>
      </c>
      <c r="F293" s="2" t="n">
        <v>0</v>
      </c>
      <c r="G293" s="2" t="n">
        <v>0</v>
      </c>
      <c r="H293" s="30">
        <f>IF(AND(B293&gt;=5,C293&lt;&gt;"",C293&lt;0.8),1,0)</f>
        <v/>
      </c>
      <c r="I293" s="30">
        <f>IF(AND(B293&gt;=8,D293&lt;&gt;"",D293&gt;=0.25,D293&lt;=0.75),1,0)</f>
        <v/>
      </c>
      <c r="J293" s="2" t="n"/>
    </row>
    <row r="294">
      <c r="A294" s="2" t="inlineStr">
        <is>
          <t>IMP00287</t>
        </is>
      </c>
      <c r="B294" s="2" t="n">
        <v>1</v>
      </c>
      <c r="C294" s="19" t="n">
        <v>0.977</v>
      </c>
      <c r="D294" s="29" t="n">
        <v>0</v>
      </c>
      <c r="E294" s="2" t="n">
        <v>1</v>
      </c>
      <c r="F294" s="2" t="n">
        <v>0</v>
      </c>
      <c r="G294" s="2" t="n">
        <v>0</v>
      </c>
      <c r="H294" s="30">
        <f>IF(AND(B294&gt;=5,C294&lt;&gt;"",C294&lt;0.8),1,0)</f>
        <v/>
      </c>
      <c r="I294" s="30">
        <f>IF(AND(B294&gt;=8,D294&lt;&gt;"",D294&gt;=0.25,D294&lt;=0.75),1,0)</f>
        <v/>
      </c>
      <c r="J294" s="2" t="n"/>
    </row>
    <row r="295">
      <c r="A295" s="2" t="inlineStr">
        <is>
          <t>IMP00288</t>
        </is>
      </c>
      <c r="B295" s="2" t="n">
        <v>122</v>
      </c>
      <c r="C295" s="19" t="n">
        <v>1.045</v>
      </c>
      <c r="D295" s="29" t="n">
        <v>0.06560000000000001</v>
      </c>
      <c r="E295" s="2" t="n">
        <v>3</v>
      </c>
      <c r="F295" s="2" t="n">
        <v>0</v>
      </c>
      <c r="G295" s="2" t="n">
        <v>0</v>
      </c>
      <c r="H295" s="30">
        <f>IF(AND(B295&gt;=5,C295&lt;&gt;"",C295&lt;0.8),1,0)</f>
        <v/>
      </c>
      <c r="I295" s="30">
        <f>IF(AND(B295&gt;=8,D295&lt;&gt;"",D295&gt;=0.25,D295&lt;=0.75),1,0)</f>
        <v/>
      </c>
      <c r="J295" s="2" t="n"/>
    </row>
    <row r="296">
      <c r="A296" s="2" t="inlineStr">
        <is>
          <t>IMP00289</t>
        </is>
      </c>
      <c r="B296" s="2" t="n">
        <v>122</v>
      </c>
      <c r="C296" s="19" t="n">
        <v>0.9775</v>
      </c>
      <c r="D296" s="29" t="n">
        <v>0.1557</v>
      </c>
      <c r="E296" s="2" t="n">
        <v>1</v>
      </c>
      <c r="F296" s="2" t="n">
        <v>0</v>
      </c>
      <c r="G296" s="2" t="n">
        <v>0</v>
      </c>
      <c r="H296" s="30">
        <f>IF(AND(B296&gt;=5,C296&lt;&gt;"",C296&lt;0.8),1,0)</f>
        <v/>
      </c>
      <c r="I296" s="30">
        <f>IF(AND(B296&gt;=8,D296&lt;&gt;"",D296&gt;=0.25,D296&lt;=0.75),1,0)</f>
        <v/>
      </c>
      <c r="J296" s="2" t="n"/>
    </row>
    <row r="297">
      <c r="A297" s="2" t="inlineStr">
        <is>
          <t>IMP00290</t>
        </is>
      </c>
      <c r="B297" s="2" t="n">
        <v>10</v>
      </c>
      <c r="C297" s="19" t="n">
        <v>0.9415</v>
      </c>
      <c r="D297" s="29" t="n">
        <v>0.4</v>
      </c>
      <c r="E297" s="2" t="n">
        <v>1</v>
      </c>
      <c r="F297" s="2" t="n">
        <v>0</v>
      </c>
      <c r="G297" s="2" t="n">
        <v>1</v>
      </c>
      <c r="H297" s="30">
        <f>IF(AND(B297&gt;=5,C297&lt;&gt;"",C297&lt;0.8),1,0)</f>
        <v/>
      </c>
      <c r="I297" s="30">
        <f>IF(AND(B297&gt;=8,D297&lt;&gt;"",D297&gt;=0.25,D297&lt;=0.75),1,0)</f>
        <v/>
      </c>
      <c r="J297" s="2" t="n"/>
    </row>
    <row r="298">
      <c r="A298" s="2" t="inlineStr">
        <is>
          <t>IMP00291</t>
        </is>
      </c>
      <c r="B298" s="2" t="n">
        <v>32</v>
      </c>
      <c r="C298" s="19" t="n">
        <v>0.888</v>
      </c>
      <c r="D298" s="29" t="n">
        <v>0.1562</v>
      </c>
      <c r="E298" s="2" t="n">
        <v>1</v>
      </c>
      <c r="F298" s="2" t="n">
        <v>0</v>
      </c>
      <c r="G298" s="2" t="n">
        <v>0</v>
      </c>
      <c r="H298" s="30">
        <f>IF(AND(B298&gt;=5,C298&lt;&gt;"",C298&lt;0.8),1,0)</f>
        <v/>
      </c>
      <c r="I298" s="30">
        <f>IF(AND(B298&gt;=8,D298&lt;&gt;"",D298&gt;=0.25,D298&lt;=0.75),1,0)</f>
        <v/>
      </c>
      <c r="J298" s="2" t="n"/>
    </row>
    <row r="299">
      <c r="A299" s="2" t="inlineStr">
        <is>
          <t>IMP00292</t>
        </is>
      </c>
      <c r="B299" s="2" t="n">
        <v>12</v>
      </c>
      <c r="C299" s="19" t="n">
        <v>0.944</v>
      </c>
      <c r="D299" s="29" t="n">
        <v>0.0833</v>
      </c>
      <c r="E299" s="2" t="n">
        <v>1</v>
      </c>
      <c r="F299" s="2" t="n">
        <v>0</v>
      </c>
      <c r="G299" s="2" t="n">
        <v>0</v>
      </c>
      <c r="H299" s="30">
        <f>IF(AND(B299&gt;=5,C299&lt;&gt;"",C299&lt;0.8),1,0)</f>
        <v/>
      </c>
      <c r="I299" s="30">
        <f>IF(AND(B299&gt;=8,D299&lt;&gt;"",D299&gt;=0.25,D299&lt;=0.75),1,0)</f>
        <v/>
      </c>
      <c r="J299" s="2" t="n"/>
    </row>
    <row r="300">
      <c r="A300" s="2" t="inlineStr">
        <is>
          <t>IMP00293</t>
        </is>
      </c>
      <c r="B300" s="2" t="n">
        <v>144</v>
      </c>
      <c r="C300" s="19" t="n">
        <v>1.2795</v>
      </c>
      <c r="D300" s="29" t="n">
        <v>0</v>
      </c>
      <c r="E300" s="2" t="n">
        <v>1</v>
      </c>
      <c r="F300" s="2" t="n">
        <v>0</v>
      </c>
      <c r="G300" s="2" t="n">
        <v>0</v>
      </c>
      <c r="H300" s="30">
        <f>IF(AND(B300&gt;=5,C300&lt;&gt;"",C300&lt;0.8),1,0)</f>
        <v/>
      </c>
      <c r="I300" s="30">
        <f>IF(AND(B300&gt;=8,D300&lt;&gt;"",D300&gt;=0.25,D300&lt;=0.75),1,0)</f>
        <v/>
      </c>
      <c r="J300" s="2" t="n"/>
    </row>
    <row r="301">
      <c r="A301" s="2" t="inlineStr">
        <is>
          <t>IMP00294</t>
        </is>
      </c>
      <c r="B301" s="2" t="n">
        <v>0</v>
      </c>
      <c r="C301" s="19" t="n"/>
      <c r="D301" s="29" t="n"/>
      <c r="E301" s="2" t="n">
        <v>0</v>
      </c>
      <c r="F301" s="2" t="n">
        <v>0</v>
      </c>
      <c r="G301" s="2" t="n">
        <v>0</v>
      </c>
      <c r="H301" s="30">
        <f>IF(AND(B301&gt;=5,C301&lt;&gt;"",C301&lt;0.8),1,0)</f>
        <v/>
      </c>
      <c r="I301" s="30">
        <f>IF(AND(B301&gt;=8,D301&lt;&gt;"",D301&gt;=0.25,D301&lt;=0.75),1,0)</f>
        <v/>
      </c>
      <c r="J301" s="2" t="n"/>
    </row>
    <row r="302">
      <c r="A302" s="2" t="inlineStr">
        <is>
          <t>IMP00295</t>
        </is>
      </c>
      <c r="B302" s="2" t="n">
        <v>0</v>
      </c>
      <c r="C302" s="19" t="n"/>
      <c r="D302" s="29" t="n"/>
      <c r="E302" s="2" t="n">
        <v>0</v>
      </c>
      <c r="F302" s="2" t="n">
        <v>0</v>
      </c>
      <c r="G302" s="2" t="n">
        <v>0</v>
      </c>
      <c r="H302" s="30">
        <f>IF(AND(B302&gt;=5,C302&lt;&gt;"",C302&lt;0.8),1,0)</f>
        <v/>
      </c>
      <c r="I302" s="30">
        <f>IF(AND(B302&gt;=8,D302&lt;&gt;"",D302&gt;=0.25,D302&lt;=0.75),1,0)</f>
        <v/>
      </c>
      <c r="J302" s="2" t="n"/>
    </row>
    <row r="303">
      <c r="A303" s="2" t="inlineStr">
        <is>
          <t>IMP00296</t>
        </is>
      </c>
      <c r="B303" s="2" t="n">
        <v>168</v>
      </c>
      <c r="C303" s="19" t="n">
        <v>1.0175</v>
      </c>
      <c r="D303" s="29" t="n">
        <v>0.0893</v>
      </c>
      <c r="E303" s="2" t="n">
        <v>1</v>
      </c>
      <c r="F303" s="2" t="n">
        <v>0</v>
      </c>
      <c r="G303" s="2" t="n">
        <v>0</v>
      </c>
      <c r="H303" s="30">
        <f>IF(AND(B303&gt;=5,C303&lt;&gt;"",C303&lt;0.8),1,0)</f>
        <v/>
      </c>
      <c r="I303" s="30">
        <f>IF(AND(B303&gt;=8,D303&lt;&gt;"",D303&gt;=0.25,D303&lt;=0.75),1,0)</f>
        <v/>
      </c>
      <c r="J303" s="2" t="n"/>
    </row>
    <row r="304">
      <c r="A304" s="2" t="inlineStr">
        <is>
          <t>IMP00297</t>
        </is>
      </c>
      <c r="B304" s="2" t="n">
        <v>56</v>
      </c>
      <c r="C304" s="19" t="n">
        <v>1.062</v>
      </c>
      <c r="D304" s="29" t="n">
        <v>0.0179</v>
      </c>
      <c r="E304" s="2" t="n">
        <v>1</v>
      </c>
      <c r="F304" s="2" t="n">
        <v>0</v>
      </c>
      <c r="G304" s="2" t="n">
        <v>0</v>
      </c>
      <c r="H304" s="30">
        <f>IF(AND(B304&gt;=5,C304&lt;&gt;"",C304&lt;0.8),1,0)</f>
        <v/>
      </c>
      <c r="I304" s="30">
        <f>IF(AND(B304&gt;=8,D304&lt;&gt;"",D304&gt;=0.25,D304&lt;=0.75),1,0)</f>
        <v/>
      </c>
      <c r="J304" s="2" t="n"/>
    </row>
    <row r="305">
      <c r="A305" s="2" t="inlineStr">
        <is>
          <t>IMP00298</t>
        </is>
      </c>
      <c r="B305" s="2" t="n">
        <v>50</v>
      </c>
      <c r="C305" s="19" t="n">
        <v>0.998</v>
      </c>
      <c r="D305" s="29" t="n">
        <v>0.04</v>
      </c>
      <c r="E305" s="2" t="n">
        <v>1</v>
      </c>
      <c r="F305" s="2" t="n">
        <v>0</v>
      </c>
      <c r="G305" s="2" t="n">
        <v>0</v>
      </c>
      <c r="H305" s="30">
        <f>IF(AND(B305&gt;=5,C305&lt;&gt;"",C305&lt;0.8),1,0)</f>
        <v/>
      </c>
      <c r="I305" s="30">
        <f>IF(AND(B305&gt;=8,D305&lt;&gt;"",D305&gt;=0.25,D305&lt;=0.75),1,0)</f>
        <v/>
      </c>
      <c r="J305" s="2" t="n"/>
    </row>
    <row r="306">
      <c r="A306" s="2" t="inlineStr">
        <is>
          <t>IMP00299</t>
        </is>
      </c>
      <c r="B306" s="2" t="n">
        <v>86</v>
      </c>
      <c r="C306" s="19" t="n">
        <v>0.9655</v>
      </c>
      <c r="D306" s="29" t="n">
        <v>0.1395</v>
      </c>
      <c r="E306" s="2" t="n">
        <v>2</v>
      </c>
      <c r="F306" s="2" t="n">
        <v>0</v>
      </c>
      <c r="G306" s="2" t="n">
        <v>0</v>
      </c>
      <c r="H306" s="30">
        <f>IF(AND(B306&gt;=5,C306&lt;&gt;"",C306&lt;0.8),1,0)</f>
        <v/>
      </c>
      <c r="I306" s="30">
        <f>IF(AND(B306&gt;=8,D306&lt;&gt;"",D306&gt;=0.25,D306&lt;=0.75),1,0)</f>
        <v/>
      </c>
      <c r="J306" s="2" t="n"/>
    </row>
    <row r="307">
      <c r="A307" s="2" t="inlineStr">
        <is>
          <t>IMP00300</t>
        </is>
      </c>
      <c r="B307" s="2" t="n">
        <v>77</v>
      </c>
      <c r="C307" s="19" t="n">
        <v>0.896</v>
      </c>
      <c r="D307" s="29" t="n">
        <v>0.0519</v>
      </c>
      <c r="E307" s="2" t="n">
        <v>1</v>
      </c>
      <c r="F307" s="2" t="n">
        <v>0</v>
      </c>
      <c r="G307" s="2" t="n">
        <v>0</v>
      </c>
      <c r="H307" s="30">
        <f>IF(AND(B307&gt;=5,C307&lt;&gt;"",C307&lt;0.8),1,0)</f>
        <v/>
      </c>
      <c r="I307" s="30">
        <f>IF(AND(B307&gt;=8,D307&lt;&gt;"",D307&gt;=0.25,D307&lt;=0.75),1,0)</f>
        <v/>
      </c>
      <c r="J307" s="2" t="n"/>
    </row>
    <row r="308">
      <c r="A308" s="2" t="inlineStr">
        <is>
          <t>IMP00301</t>
        </is>
      </c>
      <c r="B308" s="2" t="n">
        <v>1</v>
      </c>
      <c r="C308" s="19" t="n">
        <v>0.891</v>
      </c>
      <c r="D308" s="29" t="n">
        <v>0</v>
      </c>
      <c r="E308" s="2" t="n">
        <v>2</v>
      </c>
      <c r="F308" s="2" t="n">
        <v>0</v>
      </c>
      <c r="G308" s="2" t="n">
        <v>0</v>
      </c>
      <c r="H308" s="30">
        <f>IF(AND(B308&gt;=5,C308&lt;&gt;"",C308&lt;0.8),1,0)</f>
        <v/>
      </c>
      <c r="I308" s="30">
        <f>IF(AND(B308&gt;=8,D308&lt;&gt;"",D308&gt;=0.25,D308&lt;=0.75),1,0)</f>
        <v/>
      </c>
      <c r="J308" s="2" t="n"/>
    </row>
    <row r="309">
      <c r="A309" s="2" t="inlineStr">
        <is>
          <t>IMP00302</t>
        </is>
      </c>
      <c r="B309" s="2" t="n">
        <v>121</v>
      </c>
      <c r="C309" s="19" t="n">
        <v>1.059</v>
      </c>
      <c r="D309" s="29" t="n">
        <v>0</v>
      </c>
      <c r="E309" s="2" t="n">
        <v>2</v>
      </c>
      <c r="F309" s="2" t="n">
        <v>0</v>
      </c>
      <c r="G309" s="2" t="n">
        <v>0</v>
      </c>
      <c r="H309" s="30">
        <f>IF(AND(B309&gt;=5,C309&lt;&gt;"",C309&lt;0.8),1,0)</f>
        <v/>
      </c>
      <c r="I309" s="30">
        <f>IF(AND(B309&gt;=8,D309&lt;&gt;"",D309&gt;=0.25,D309&lt;=0.75),1,0)</f>
        <v/>
      </c>
      <c r="J309" s="2" t="n"/>
    </row>
    <row r="310">
      <c r="A310" s="2" t="inlineStr">
        <is>
          <t>IMP00303</t>
        </is>
      </c>
      <c r="B310" s="2" t="n">
        <v>2</v>
      </c>
      <c r="C310" s="19" t="n">
        <v>0.8005</v>
      </c>
      <c r="D310" s="29" t="n">
        <v>0.5</v>
      </c>
      <c r="E310" s="2" t="n">
        <v>1</v>
      </c>
      <c r="F310" s="2" t="n">
        <v>0</v>
      </c>
      <c r="G310" s="2" t="n">
        <v>0</v>
      </c>
      <c r="H310" s="30">
        <f>IF(AND(B310&gt;=5,C310&lt;&gt;"",C310&lt;0.8),1,0)</f>
        <v/>
      </c>
      <c r="I310" s="30">
        <f>IF(AND(B310&gt;=8,D310&lt;&gt;"",D310&gt;=0.25,D310&lt;=0.75),1,0)</f>
        <v/>
      </c>
      <c r="J310" s="2" t="n"/>
    </row>
    <row r="311">
      <c r="A311" s="2" t="inlineStr">
        <is>
          <t>IMP00304</t>
        </is>
      </c>
      <c r="B311" s="2" t="n">
        <v>47</v>
      </c>
      <c r="C311" s="19" t="n">
        <v>0.917</v>
      </c>
      <c r="D311" s="29" t="n">
        <v>0.383</v>
      </c>
      <c r="E311" s="2" t="n">
        <v>2</v>
      </c>
      <c r="F311" s="2" t="n">
        <v>0</v>
      </c>
      <c r="G311" s="2" t="n">
        <v>1</v>
      </c>
      <c r="H311" s="30">
        <f>IF(AND(B311&gt;=5,C311&lt;&gt;"",C311&lt;0.8),1,0)</f>
        <v/>
      </c>
      <c r="I311" s="30">
        <f>IF(AND(B311&gt;=8,D311&lt;&gt;"",D311&gt;=0.25,D311&lt;=0.75),1,0)</f>
        <v/>
      </c>
      <c r="J311" s="2" t="n"/>
    </row>
    <row r="312">
      <c r="A312" s="2" t="inlineStr">
        <is>
          <t>IMP00305</t>
        </is>
      </c>
      <c r="B312" s="2" t="n">
        <v>16</v>
      </c>
      <c r="C312" s="19" t="n">
        <v>1.013</v>
      </c>
      <c r="D312" s="29" t="n">
        <v>0</v>
      </c>
      <c r="E312" s="2" t="n">
        <v>1</v>
      </c>
      <c r="F312" s="2" t="n">
        <v>0</v>
      </c>
      <c r="G312" s="2" t="n">
        <v>0</v>
      </c>
      <c r="H312" s="30">
        <f>IF(AND(B312&gt;=5,C312&lt;&gt;"",C312&lt;0.8),1,0)</f>
        <v/>
      </c>
      <c r="I312" s="30">
        <f>IF(AND(B312&gt;=8,D312&lt;&gt;"",D312&gt;=0.25,D312&lt;=0.75),1,0)</f>
        <v/>
      </c>
      <c r="J312" s="2" t="n"/>
    </row>
    <row r="313">
      <c r="A313" s="2" t="inlineStr">
        <is>
          <t>IMP00306</t>
        </is>
      </c>
      <c r="B313" s="2" t="n">
        <v>2689</v>
      </c>
      <c r="C313" s="19" t="n">
        <v>0.983</v>
      </c>
      <c r="D313" s="29" t="n">
        <v>0.0182</v>
      </c>
      <c r="E313" s="2" t="n">
        <v>1</v>
      </c>
      <c r="F313" s="2" t="n">
        <v>0</v>
      </c>
      <c r="G313" s="2" t="n">
        <v>0</v>
      </c>
      <c r="H313" s="30">
        <f>IF(AND(B313&gt;=5,C313&lt;&gt;"",C313&lt;0.8),1,0)</f>
        <v/>
      </c>
      <c r="I313" s="30">
        <f>IF(AND(B313&gt;=8,D313&lt;&gt;"",D313&gt;=0.25,D313&lt;=0.75),1,0)</f>
        <v/>
      </c>
      <c r="J313" s="2" t="n"/>
    </row>
    <row r="314">
      <c r="A314" s="2" t="inlineStr">
        <is>
          <t>IMP00307</t>
        </is>
      </c>
      <c r="B314" s="2" t="n">
        <v>0</v>
      </c>
      <c r="C314" s="19" t="n"/>
      <c r="D314" s="29" t="n"/>
      <c r="E314" s="2" t="n">
        <v>0</v>
      </c>
      <c r="F314" s="2" t="n">
        <v>0</v>
      </c>
      <c r="G314" s="2" t="n">
        <v>0</v>
      </c>
      <c r="H314" s="30">
        <f>IF(AND(B314&gt;=5,C314&lt;&gt;"",C314&lt;0.8),1,0)</f>
        <v/>
      </c>
      <c r="I314" s="30">
        <f>IF(AND(B314&gt;=8,D314&lt;&gt;"",D314&gt;=0.25,D314&lt;=0.75),1,0)</f>
        <v/>
      </c>
      <c r="J314" s="2" t="n"/>
    </row>
    <row r="315">
      <c r="A315" s="2" t="inlineStr">
        <is>
          <t>IMP00308</t>
        </is>
      </c>
      <c r="B315" s="2" t="n">
        <v>26</v>
      </c>
      <c r="C315" s="19" t="n">
        <v>1.0225</v>
      </c>
      <c r="D315" s="29" t="n">
        <v>0</v>
      </c>
      <c r="E315" s="2" t="n">
        <v>1</v>
      </c>
      <c r="F315" s="2" t="n">
        <v>0</v>
      </c>
      <c r="G315" s="2" t="n">
        <v>0</v>
      </c>
      <c r="H315" s="30">
        <f>IF(AND(B315&gt;=5,C315&lt;&gt;"",C315&lt;0.8),1,0)</f>
        <v/>
      </c>
      <c r="I315" s="30">
        <f>IF(AND(B315&gt;=8,D315&lt;&gt;"",D315&gt;=0.25,D315&lt;=0.75),1,0)</f>
        <v/>
      </c>
      <c r="J315" s="2" t="n"/>
    </row>
    <row r="316">
      <c r="A316" s="2" t="inlineStr">
        <is>
          <t>IMP00309</t>
        </is>
      </c>
      <c r="B316" s="2" t="n">
        <v>30</v>
      </c>
      <c r="C316" s="19" t="n">
        <v>0.991</v>
      </c>
      <c r="D316" s="29" t="n">
        <v>0.0667</v>
      </c>
      <c r="E316" s="2" t="n">
        <v>1</v>
      </c>
      <c r="F316" s="2" t="n">
        <v>0</v>
      </c>
      <c r="G316" s="2" t="n">
        <v>0</v>
      </c>
      <c r="H316" s="30">
        <f>IF(AND(B316&gt;=5,C316&lt;&gt;"",C316&lt;0.8),1,0)</f>
        <v/>
      </c>
      <c r="I316" s="30">
        <f>IF(AND(B316&gt;=8,D316&lt;&gt;"",D316&gt;=0.25,D316&lt;=0.75),1,0)</f>
        <v/>
      </c>
      <c r="J316" s="2" t="n"/>
    </row>
    <row r="317">
      <c r="A317" s="2" t="inlineStr">
        <is>
          <t>IMP00310</t>
        </is>
      </c>
      <c r="B317" s="2" t="n">
        <v>0</v>
      </c>
      <c r="C317" s="19" t="n"/>
      <c r="D317" s="29" t="n"/>
      <c r="E317" s="2" t="n">
        <v>0</v>
      </c>
      <c r="F317" s="2" t="n">
        <v>0</v>
      </c>
      <c r="G317" s="2" t="n">
        <v>0</v>
      </c>
      <c r="H317" s="30">
        <f>IF(AND(B317&gt;=5,C317&lt;&gt;"",C317&lt;0.8),1,0)</f>
        <v/>
      </c>
      <c r="I317" s="30">
        <f>IF(AND(B317&gt;=8,D317&lt;&gt;"",D317&gt;=0.25,D317&lt;=0.75),1,0)</f>
        <v/>
      </c>
      <c r="J317" s="2" t="n"/>
    </row>
    <row r="318">
      <c r="A318" s="2" t="inlineStr">
        <is>
          <t>IMP00311</t>
        </is>
      </c>
      <c r="B318" s="2" t="n">
        <v>159</v>
      </c>
      <c r="C318" s="19" t="n">
        <v>0.928</v>
      </c>
      <c r="D318" s="29" t="n">
        <v>0.0252</v>
      </c>
      <c r="E318" s="2" t="n">
        <v>2</v>
      </c>
      <c r="F318" s="2" t="n">
        <v>0</v>
      </c>
      <c r="G318" s="2" t="n">
        <v>0</v>
      </c>
      <c r="H318" s="30">
        <f>IF(AND(B318&gt;=5,C318&lt;&gt;"",C318&lt;0.8),1,0)</f>
        <v/>
      </c>
      <c r="I318" s="30">
        <f>IF(AND(B318&gt;=8,D318&lt;&gt;"",D318&gt;=0.25,D318&lt;=0.75),1,0)</f>
        <v/>
      </c>
      <c r="J318" s="2" t="n"/>
    </row>
    <row r="319">
      <c r="A319" s="2" t="inlineStr">
        <is>
          <t>IMP00312</t>
        </is>
      </c>
      <c r="B319" s="2" t="n">
        <v>20</v>
      </c>
      <c r="C319" s="19" t="n">
        <v>1.0125</v>
      </c>
      <c r="D319" s="29" t="n">
        <v>0.05</v>
      </c>
      <c r="E319" s="2" t="n">
        <v>2</v>
      </c>
      <c r="F319" s="2" t="n">
        <v>0</v>
      </c>
      <c r="G319" s="2" t="n">
        <v>0</v>
      </c>
      <c r="H319" s="30">
        <f>IF(AND(B319&gt;=5,C319&lt;&gt;"",C319&lt;0.8),1,0)</f>
        <v/>
      </c>
      <c r="I319" s="30">
        <f>IF(AND(B319&gt;=8,D319&lt;&gt;"",D319&gt;=0.25,D319&lt;=0.75),1,0)</f>
        <v/>
      </c>
      <c r="J319" s="2" t="n"/>
    </row>
    <row r="320">
      <c r="A320" s="2" t="inlineStr">
        <is>
          <t>IMP00313</t>
        </is>
      </c>
      <c r="B320" s="2" t="n">
        <v>57</v>
      </c>
      <c r="C320" s="19" t="n">
        <v>1.014</v>
      </c>
      <c r="D320" s="29" t="n">
        <v>0.0351</v>
      </c>
      <c r="E320" s="2" t="n">
        <v>1</v>
      </c>
      <c r="F320" s="2" t="n">
        <v>0</v>
      </c>
      <c r="G320" s="2" t="n">
        <v>0</v>
      </c>
      <c r="H320" s="30">
        <f>IF(AND(B320&gt;=5,C320&lt;&gt;"",C320&lt;0.8),1,0)</f>
        <v/>
      </c>
      <c r="I320" s="30">
        <f>IF(AND(B320&gt;=8,D320&lt;&gt;"",D320&gt;=0.25,D320&lt;=0.75),1,0)</f>
        <v/>
      </c>
      <c r="J320" s="2" t="n"/>
    </row>
    <row r="321">
      <c r="A321" s="2" t="inlineStr">
        <is>
          <t>IMP00314</t>
        </is>
      </c>
      <c r="B321" s="2" t="n">
        <v>0</v>
      </c>
      <c r="C321" s="19" t="n"/>
      <c r="D321" s="29" t="n"/>
      <c r="E321" s="2" t="n">
        <v>0</v>
      </c>
      <c r="F321" s="2" t="n">
        <v>0</v>
      </c>
      <c r="G321" s="2" t="n">
        <v>0</v>
      </c>
      <c r="H321" s="30">
        <f>IF(AND(B321&gt;=5,C321&lt;&gt;"",C321&lt;0.8),1,0)</f>
        <v/>
      </c>
      <c r="I321" s="30">
        <f>IF(AND(B321&gt;=8,D321&lt;&gt;"",D321&gt;=0.25,D321&lt;=0.75),1,0)</f>
        <v/>
      </c>
      <c r="J321" s="2" t="n"/>
    </row>
    <row r="322">
      <c r="A322" s="2" t="inlineStr">
        <is>
          <t>IMP00315</t>
        </is>
      </c>
      <c r="B322" s="2" t="n">
        <v>2</v>
      </c>
      <c r="C322" s="19" t="n">
        <v>1.0845</v>
      </c>
      <c r="D322" s="29" t="n">
        <v>0</v>
      </c>
      <c r="E322" s="2" t="n">
        <v>1</v>
      </c>
      <c r="F322" s="2" t="n">
        <v>0</v>
      </c>
      <c r="G322" s="2" t="n">
        <v>0</v>
      </c>
      <c r="H322" s="30">
        <f>IF(AND(B322&gt;=5,C322&lt;&gt;"",C322&lt;0.8),1,0)</f>
        <v/>
      </c>
      <c r="I322" s="30">
        <f>IF(AND(B322&gt;=8,D322&lt;&gt;"",D322&gt;=0.25,D322&lt;=0.75),1,0)</f>
        <v/>
      </c>
      <c r="J322" s="2" t="n"/>
    </row>
    <row r="323">
      <c r="A323" s="2" t="inlineStr">
        <is>
          <t>IMP00316</t>
        </is>
      </c>
      <c r="B323" s="2" t="n">
        <v>6</v>
      </c>
      <c r="C323" s="19" t="n">
        <v>0.9585</v>
      </c>
      <c r="D323" s="29" t="n">
        <v>0.1667</v>
      </c>
      <c r="E323" s="2" t="n">
        <v>1</v>
      </c>
      <c r="F323" s="2" t="n">
        <v>0</v>
      </c>
      <c r="G323" s="2" t="n">
        <v>0</v>
      </c>
      <c r="H323" s="30">
        <f>IF(AND(B323&gt;=5,C323&lt;&gt;"",C323&lt;0.8),1,0)</f>
        <v/>
      </c>
      <c r="I323" s="30">
        <f>IF(AND(B323&gt;=8,D323&lt;&gt;"",D323&gt;=0.25,D323&lt;=0.75),1,0)</f>
        <v/>
      </c>
      <c r="J323" s="2" t="n"/>
    </row>
    <row r="324">
      <c r="A324" s="2" t="inlineStr">
        <is>
          <t>IMP00317</t>
        </is>
      </c>
      <c r="B324" s="2" t="n">
        <v>64</v>
      </c>
      <c r="C324" s="19" t="n">
        <v>0.986</v>
      </c>
      <c r="D324" s="29" t="n">
        <v>0.0312</v>
      </c>
      <c r="E324" s="2" t="n">
        <v>2</v>
      </c>
      <c r="F324" s="2" t="n">
        <v>0</v>
      </c>
      <c r="G324" s="2" t="n">
        <v>0</v>
      </c>
      <c r="H324" s="30">
        <f>IF(AND(B324&gt;=5,C324&lt;&gt;"",C324&lt;0.8),1,0)</f>
        <v/>
      </c>
      <c r="I324" s="30">
        <f>IF(AND(B324&gt;=8,D324&lt;&gt;"",D324&gt;=0.25,D324&lt;=0.75),1,0)</f>
        <v/>
      </c>
      <c r="J324" s="2" t="n"/>
    </row>
    <row r="325">
      <c r="A325" s="2" t="inlineStr">
        <is>
          <t>IMP00318</t>
        </is>
      </c>
      <c r="B325" s="2" t="n">
        <v>52</v>
      </c>
      <c r="C325" s="19" t="n">
        <v>0.962</v>
      </c>
      <c r="D325" s="29" t="n">
        <v>0.0192</v>
      </c>
      <c r="E325" s="2" t="n">
        <v>1</v>
      </c>
      <c r="F325" s="2" t="n">
        <v>0</v>
      </c>
      <c r="G325" s="2" t="n">
        <v>0</v>
      </c>
      <c r="H325" s="30">
        <f>IF(AND(B325&gt;=5,C325&lt;&gt;"",C325&lt;0.8),1,0)</f>
        <v/>
      </c>
      <c r="I325" s="30">
        <f>IF(AND(B325&gt;=8,D325&lt;&gt;"",D325&gt;=0.25,D325&lt;=0.75),1,0)</f>
        <v/>
      </c>
      <c r="J325" s="2" t="n"/>
    </row>
    <row r="326">
      <c r="A326" s="2" t="inlineStr">
        <is>
          <t>IMP00319</t>
        </is>
      </c>
      <c r="B326" s="2" t="n">
        <v>69</v>
      </c>
      <c r="C326" s="19" t="n">
        <v>1.104</v>
      </c>
      <c r="D326" s="29" t="n">
        <v>0.08699999999999999</v>
      </c>
      <c r="E326" s="2" t="n">
        <v>1</v>
      </c>
      <c r="F326" s="2" t="n">
        <v>0</v>
      </c>
      <c r="G326" s="2" t="n">
        <v>0</v>
      </c>
      <c r="H326" s="30">
        <f>IF(AND(B326&gt;=5,C326&lt;&gt;"",C326&lt;0.8),1,0)</f>
        <v/>
      </c>
      <c r="I326" s="30">
        <f>IF(AND(B326&gt;=8,D326&lt;&gt;"",D326&gt;=0.25,D326&lt;=0.75),1,0)</f>
        <v/>
      </c>
      <c r="J326" s="2" t="n"/>
    </row>
    <row r="327">
      <c r="A327" s="2" t="inlineStr">
        <is>
          <t>IMP00320</t>
        </is>
      </c>
      <c r="B327" s="2" t="n">
        <v>3</v>
      </c>
      <c r="C327" s="19" t="n">
        <v>0.867</v>
      </c>
      <c r="D327" s="29" t="n">
        <v>0</v>
      </c>
      <c r="E327" s="2" t="n">
        <v>1</v>
      </c>
      <c r="F327" s="2" t="n">
        <v>0</v>
      </c>
      <c r="G327" s="2" t="n">
        <v>0</v>
      </c>
      <c r="H327" s="30">
        <f>IF(AND(B327&gt;=5,C327&lt;&gt;"",C327&lt;0.8),1,0)</f>
        <v/>
      </c>
      <c r="I327" s="30">
        <f>IF(AND(B327&gt;=8,D327&lt;&gt;"",D327&gt;=0.25,D327&lt;=0.75),1,0)</f>
        <v/>
      </c>
      <c r="J327" s="2" t="n"/>
    </row>
    <row r="328">
      <c r="A328" s="2" t="inlineStr">
        <is>
          <t>IMP00321</t>
        </is>
      </c>
      <c r="B328" s="2" t="n">
        <v>16</v>
      </c>
      <c r="C328" s="19" t="n">
        <v>1.032</v>
      </c>
      <c r="D328" s="29" t="n">
        <v>0.0625</v>
      </c>
      <c r="E328" s="2" t="n">
        <v>1</v>
      </c>
      <c r="F328" s="2" t="n">
        <v>0</v>
      </c>
      <c r="G328" s="2" t="n">
        <v>0</v>
      </c>
      <c r="H328" s="30">
        <f>IF(AND(B328&gt;=5,C328&lt;&gt;"",C328&lt;0.8),1,0)</f>
        <v/>
      </c>
      <c r="I328" s="30">
        <f>IF(AND(B328&gt;=8,D328&lt;&gt;"",D328&gt;=0.25,D328&lt;=0.75),1,0)</f>
        <v/>
      </c>
      <c r="J328" s="2" t="n"/>
    </row>
    <row r="329">
      <c r="A329" s="2" t="inlineStr">
        <is>
          <t>IMP00322</t>
        </is>
      </c>
      <c r="B329" s="2" t="n">
        <v>2</v>
      </c>
      <c r="C329" s="19" t="n">
        <v>0.908</v>
      </c>
      <c r="D329" s="29" t="n">
        <v>0</v>
      </c>
      <c r="E329" s="2" t="n">
        <v>1</v>
      </c>
      <c r="F329" s="2" t="n">
        <v>0</v>
      </c>
      <c r="G329" s="2" t="n">
        <v>0</v>
      </c>
      <c r="H329" s="30">
        <f>IF(AND(B329&gt;=5,C329&lt;&gt;"",C329&lt;0.8),1,0)</f>
        <v/>
      </c>
      <c r="I329" s="30">
        <f>IF(AND(B329&gt;=8,D329&lt;&gt;"",D329&gt;=0.25,D329&lt;=0.75),1,0)</f>
        <v/>
      </c>
      <c r="J329" s="2" t="n"/>
    </row>
    <row r="330">
      <c r="A330" s="2" t="inlineStr">
        <is>
          <t>IMP00323</t>
        </is>
      </c>
      <c r="B330" s="2" t="n">
        <v>4</v>
      </c>
      <c r="C330" s="19" t="n">
        <v>1.0005</v>
      </c>
      <c r="D330" s="29" t="n">
        <v>0</v>
      </c>
      <c r="E330" s="2" t="n">
        <v>1</v>
      </c>
      <c r="F330" s="2" t="n">
        <v>0</v>
      </c>
      <c r="G330" s="2" t="n">
        <v>0</v>
      </c>
      <c r="H330" s="30">
        <f>IF(AND(B330&gt;=5,C330&lt;&gt;"",C330&lt;0.8),1,0)</f>
        <v/>
      </c>
      <c r="I330" s="30">
        <f>IF(AND(B330&gt;=8,D330&lt;&gt;"",D330&gt;=0.25,D330&lt;=0.75),1,0)</f>
        <v/>
      </c>
      <c r="J330" s="2" t="n"/>
    </row>
    <row r="331">
      <c r="A331" s="2" t="inlineStr">
        <is>
          <t>IMP00324</t>
        </is>
      </c>
      <c r="B331" s="2" t="n">
        <v>1</v>
      </c>
      <c r="C331" s="19" t="n">
        <v>1.255</v>
      </c>
      <c r="D331" s="29" t="n">
        <v>0</v>
      </c>
      <c r="E331" s="2" t="n">
        <v>1</v>
      </c>
      <c r="F331" s="2" t="n">
        <v>0</v>
      </c>
      <c r="G331" s="2" t="n">
        <v>0</v>
      </c>
      <c r="H331" s="30">
        <f>IF(AND(B331&gt;=5,C331&lt;&gt;"",C331&lt;0.8),1,0)</f>
        <v/>
      </c>
      <c r="I331" s="30">
        <f>IF(AND(B331&gt;=8,D331&lt;&gt;"",D331&gt;=0.25,D331&lt;=0.75),1,0)</f>
        <v/>
      </c>
      <c r="J331" s="2" t="n"/>
    </row>
    <row r="332">
      <c r="A332" s="2" t="inlineStr">
        <is>
          <t>IMP00325</t>
        </is>
      </c>
      <c r="B332" s="2" t="n">
        <v>76</v>
      </c>
      <c r="C332" s="19" t="n">
        <v>0.891</v>
      </c>
      <c r="D332" s="29" t="n">
        <v>0.1579</v>
      </c>
      <c r="E332" s="2" t="n">
        <v>1</v>
      </c>
      <c r="F332" s="2" t="n">
        <v>0</v>
      </c>
      <c r="G332" s="2" t="n">
        <v>0</v>
      </c>
      <c r="H332" s="30">
        <f>IF(AND(B332&gt;=5,C332&lt;&gt;"",C332&lt;0.8),1,0)</f>
        <v/>
      </c>
      <c r="I332" s="30">
        <f>IF(AND(B332&gt;=8,D332&lt;&gt;"",D332&gt;=0.25,D332&lt;=0.75),1,0)</f>
        <v/>
      </c>
      <c r="J332" s="2" t="n"/>
    </row>
    <row r="333">
      <c r="A333" s="2" t="inlineStr">
        <is>
          <t>IMP00326</t>
        </is>
      </c>
      <c r="B333" s="2" t="n">
        <v>0</v>
      </c>
      <c r="C333" s="19" t="n"/>
      <c r="D333" s="29" t="n"/>
      <c r="E333" s="2" t="n">
        <v>0</v>
      </c>
      <c r="F333" s="2" t="n">
        <v>0</v>
      </c>
      <c r="G333" s="2" t="n">
        <v>0</v>
      </c>
      <c r="H333" s="30">
        <f>IF(AND(B333&gt;=5,C333&lt;&gt;"",C333&lt;0.8),1,0)</f>
        <v/>
      </c>
      <c r="I333" s="30">
        <f>IF(AND(B333&gt;=8,D333&lt;&gt;"",D333&gt;=0.25,D333&lt;=0.75),1,0)</f>
        <v/>
      </c>
      <c r="J333" s="2" t="n"/>
    </row>
    <row r="334">
      <c r="A334" s="2" t="inlineStr">
        <is>
          <t>IMP00327</t>
        </is>
      </c>
      <c r="B334" s="2" t="n">
        <v>0</v>
      </c>
      <c r="C334" s="19" t="n"/>
      <c r="D334" s="29" t="n"/>
      <c r="E334" s="2" t="n">
        <v>0</v>
      </c>
      <c r="F334" s="2" t="n">
        <v>0</v>
      </c>
      <c r="G334" s="2" t="n">
        <v>0</v>
      </c>
      <c r="H334" s="30">
        <f>IF(AND(B334&gt;=5,C334&lt;&gt;"",C334&lt;0.8),1,0)</f>
        <v/>
      </c>
      <c r="I334" s="30">
        <f>IF(AND(B334&gt;=8,D334&lt;&gt;"",D334&gt;=0.25,D334&lt;=0.75),1,0)</f>
        <v/>
      </c>
      <c r="J334" s="2" t="n"/>
    </row>
    <row r="335">
      <c r="A335" s="2" t="inlineStr">
        <is>
          <t>IMP00328</t>
        </is>
      </c>
      <c r="B335" s="2" t="n">
        <v>12</v>
      </c>
      <c r="C335" s="19" t="n">
        <v>0.875</v>
      </c>
      <c r="D335" s="29" t="n">
        <v>0.0833</v>
      </c>
      <c r="E335" s="2" t="n">
        <v>1</v>
      </c>
      <c r="F335" s="2" t="n">
        <v>0</v>
      </c>
      <c r="G335" s="2" t="n">
        <v>0</v>
      </c>
      <c r="H335" s="30">
        <f>IF(AND(B335&gt;=5,C335&lt;&gt;"",C335&lt;0.8),1,0)</f>
        <v/>
      </c>
      <c r="I335" s="30">
        <f>IF(AND(B335&gt;=8,D335&lt;&gt;"",D335&gt;=0.25,D335&lt;=0.75),1,0)</f>
        <v/>
      </c>
      <c r="J335" s="2" t="n"/>
    </row>
    <row r="336">
      <c r="A336" s="2" t="inlineStr">
        <is>
          <t>IMP00329</t>
        </is>
      </c>
      <c r="B336" s="2" t="n">
        <v>7</v>
      </c>
      <c r="C336" s="19" t="n">
        <v>0.991</v>
      </c>
      <c r="D336" s="29" t="n">
        <v>0.1429</v>
      </c>
      <c r="E336" s="2" t="n">
        <v>1</v>
      </c>
      <c r="F336" s="2" t="n">
        <v>0</v>
      </c>
      <c r="G336" s="2" t="n">
        <v>0</v>
      </c>
      <c r="H336" s="30">
        <f>IF(AND(B336&gt;=5,C336&lt;&gt;"",C336&lt;0.8),1,0)</f>
        <v/>
      </c>
      <c r="I336" s="30">
        <f>IF(AND(B336&gt;=8,D336&lt;&gt;"",D336&gt;=0.25,D336&lt;=0.75),1,0)</f>
        <v/>
      </c>
      <c r="J336" s="2" t="n"/>
    </row>
    <row r="337">
      <c r="A337" s="2" t="inlineStr">
        <is>
          <t>IMP00330</t>
        </is>
      </c>
      <c r="B337" s="2" t="n">
        <v>70</v>
      </c>
      <c r="C337" s="19" t="n">
        <v>0.997</v>
      </c>
      <c r="D337" s="29" t="n">
        <v>0.0286</v>
      </c>
      <c r="E337" s="2" t="n">
        <v>1</v>
      </c>
      <c r="F337" s="2" t="n">
        <v>0</v>
      </c>
      <c r="G337" s="2" t="n">
        <v>0</v>
      </c>
      <c r="H337" s="30">
        <f>IF(AND(B337&gt;=5,C337&lt;&gt;"",C337&lt;0.8),1,0)</f>
        <v/>
      </c>
      <c r="I337" s="30">
        <f>IF(AND(B337&gt;=8,D337&lt;&gt;"",D337&gt;=0.25,D337&lt;=0.75),1,0)</f>
        <v/>
      </c>
      <c r="J337" s="2" t="n"/>
    </row>
    <row r="338">
      <c r="A338" s="2" t="inlineStr">
        <is>
          <t>IMP00331</t>
        </is>
      </c>
      <c r="B338" s="2" t="n">
        <v>3</v>
      </c>
      <c r="C338" s="19" t="n">
        <v>1.04</v>
      </c>
      <c r="D338" s="29" t="n">
        <v>0.3333</v>
      </c>
      <c r="E338" s="2" t="n">
        <v>3</v>
      </c>
      <c r="F338" s="2" t="n">
        <v>0</v>
      </c>
      <c r="G338" s="2" t="n">
        <v>0</v>
      </c>
      <c r="H338" s="30">
        <f>IF(AND(B338&gt;=5,C338&lt;&gt;"",C338&lt;0.8),1,0)</f>
        <v/>
      </c>
      <c r="I338" s="30">
        <f>IF(AND(B338&gt;=8,D338&lt;&gt;"",D338&gt;=0.25,D338&lt;=0.75),1,0)</f>
        <v/>
      </c>
      <c r="J338" s="2" t="n"/>
    </row>
    <row r="339">
      <c r="A339" s="2" t="inlineStr">
        <is>
          <t>IMP00332</t>
        </is>
      </c>
      <c r="B339" s="2" t="n">
        <v>1</v>
      </c>
      <c r="C339" s="19" t="n">
        <v>0.703</v>
      </c>
      <c r="D339" s="29" t="n">
        <v>1</v>
      </c>
      <c r="E339" s="2" t="n">
        <v>2</v>
      </c>
      <c r="F339" s="2" t="n">
        <v>0</v>
      </c>
      <c r="G339" s="2" t="n">
        <v>0</v>
      </c>
      <c r="H339" s="30">
        <f>IF(AND(B339&gt;=5,C339&lt;&gt;"",C339&lt;0.8),1,0)</f>
        <v/>
      </c>
      <c r="I339" s="30">
        <f>IF(AND(B339&gt;=8,D339&lt;&gt;"",D339&gt;=0.25,D339&lt;=0.75),1,0)</f>
        <v/>
      </c>
      <c r="J339" s="2" t="n"/>
    </row>
    <row r="340">
      <c r="A340" s="2" t="inlineStr">
        <is>
          <t>IMP00333</t>
        </is>
      </c>
      <c r="B340" s="2" t="n">
        <v>0</v>
      </c>
      <c r="C340" s="19" t="n"/>
      <c r="D340" s="29" t="n"/>
      <c r="E340" s="2" t="n">
        <v>0</v>
      </c>
      <c r="F340" s="2" t="n">
        <v>0</v>
      </c>
      <c r="G340" s="2" t="n">
        <v>0</v>
      </c>
      <c r="H340" s="30">
        <f>IF(AND(B340&gt;=5,C340&lt;&gt;"",C340&lt;0.8),1,0)</f>
        <v/>
      </c>
      <c r="I340" s="30">
        <f>IF(AND(B340&gt;=8,D340&lt;&gt;"",D340&gt;=0.25,D340&lt;=0.75),1,0)</f>
        <v/>
      </c>
      <c r="J340" s="2" t="n"/>
    </row>
    <row r="341">
      <c r="A341" s="2" t="inlineStr">
        <is>
          <t>IMP00334</t>
        </is>
      </c>
      <c r="B341" s="2" t="n">
        <v>39</v>
      </c>
      <c r="C341" s="19" t="n">
        <v>1.119</v>
      </c>
      <c r="D341" s="29" t="n">
        <v>0</v>
      </c>
      <c r="E341" s="2" t="n">
        <v>1</v>
      </c>
      <c r="F341" s="2" t="n">
        <v>0</v>
      </c>
      <c r="G341" s="2" t="n">
        <v>0</v>
      </c>
      <c r="H341" s="30">
        <f>IF(AND(B341&gt;=5,C341&lt;&gt;"",C341&lt;0.8),1,0)</f>
        <v/>
      </c>
      <c r="I341" s="30">
        <f>IF(AND(B341&gt;=8,D341&lt;&gt;"",D341&gt;=0.25,D341&lt;=0.75),1,0)</f>
        <v/>
      </c>
      <c r="J341" s="2" t="n"/>
    </row>
    <row r="342">
      <c r="A342" s="2" t="inlineStr">
        <is>
          <t>IMP00335</t>
        </is>
      </c>
      <c r="B342" s="2" t="n">
        <v>1</v>
      </c>
      <c r="C342" s="19" t="n">
        <v>1.078</v>
      </c>
      <c r="D342" s="29" t="n">
        <v>0</v>
      </c>
      <c r="E342" s="2" t="n">
        <v>2</v>
      </c>
      <c r="F342" s="2" t="n">
        <v>0</v>
      </c>
      <c r="G342" s="2" t="n">
        <v>0</v>
      </c>
      <c r="H342" s="30">
        <f>IF(AND(B342&gt;=5,C342&lt;&gt;"",C342&lt;0.8),1,0)</f>
        <v/>
      </c>
      <c r="I342" s="30">
        <f>IF(AND(B342&gt;=8,D342&lt;&gt;"",D342&gt;=0.25,D342&lt;=0.75),1,0)</f>
        <v/>
      </c>
      <c r="J342" s="2" t="n"/>
    </row>
    <row r="343">
      <c r="A343" s="2" t="inlineStr">
        <is>
          <t>IMP00336</t>
        </is>
      </c>
      <c r="B343" s="2" t="n">
        <v>0</v>
      </c>
      <c r="C343" s="19" t="n"/>
      <c r="D343" s="29" t="n"/>
      <c r="E343" s="2" t="n">
        <v>0</v>
      </c>
      <c r="F343" s="2" t="n">
        <v>0</v>
      </c>
      <c r="G343" s="2" t="n">
        <v>0</v>
      </c>
      <c r="H343" s="30">
        <f>IF(AND(B343&gt;=5,C343&lt;&gt;"",C343&lt;0.8),1,0)</f>
        <v/>
      </c>
      <c r="I343" s="30">
        <f>IF(AND(B343&gt;=8,D343&lt;&gt;"",D343&gt;=0.25,D343&lt;=0.75),1,0)</f>
        <v/>
      </c>
      <c r="J343" s="2" t="n"/>
    </row>
    <row r="344">
      <c r="A344" s="2" t="inlineStr">
        <is>
          <t>IMP00337</t>
        </is>
      </c>
      <c r="B344" s="2" t="n">
        <v>23</v>
      </c>
      <c r="C344" s="19" t="n">
        <v>0.949</v>
      </c>
      <c r="D344" s="29" t="n">
        <v>0.08699999999999999</v>
      </c>
      <c r="E344" s="2" t="n">
        <v>1</v>
      </c>
      <c r="F344" s="2" t="n">
        <v>0</v>
      </c>
      <c r="G344" s="2" t="n">
        <v>0</v>
      </c>
      <c r="H344" s="30">
        <f>IF(AND(B344&gt;=5,C344&lt;&gt;"",C344&lt;0.8),1,0)</f>
        <v/>
      </c>
      <c r="I344" s="30">
        <f>IF(AND(B344&gt;=8,D344&lt;&gt;"",D344&gt;=0.25,D344&lt;=0.75),1,0)</f>
        <v/>
      </c>
      <c r="J344" s="2" t="n"/>
    </row>
    <row r="345">
      <c r="A345" s="2" t="inlineStr">
        <is>
          <t>IMP00338</t>
        </is>
      </c>
      <c r="B345" s="2" t="n">
        <v>1</v>
      </c>
      <c r="C345" s="19" t="n">
        <v>0.874</v>
      </c>
      <c r="D345" s="29" t="n">
        <v>0</v>
      </c>
      <c r="E345" s="2" t="n">
        <v>1</v>
      </c>
      <c r="F345" s="2" t="n">
        <v>0</v>
      </c>
      <c r="G345" s="2" t="n">
        <v>0</v>
      </c>
      <c r="H345" s="30">
        <f>IF(AND(B345&gt;=5,C345&lt;&gt;"",C345&lt;0.8),1,0)</f>
        <v/>
      </c>
      <c r="I345" s="30">
        <f>IF(AND(B345&gt;=8,D345&lt;&gt;"",D345&gt;=0.25,D345&lt;=0.75),1,0)</f>
        <v/>
      </c>
      <c r="J345" s="2" t="n"/>
    </row>
    <row r="346">
      <c r="A346" s="2" t="inlineStr">
        <is>
          <t>IMP00339</t>
        </is>
      </c>
      <c r="B346" s="2" t="n">
        <v>1</v>
      </c>
      <c r="C346" s="19" t="n">
        <v>0.892</v>
      </c>
      <c r="D346" s="29" t="n">
        <v>0</v>
      </c>
      <c r="E346" s="2" t="n">
        <v>1</v>
      </c>
      <c r="F346" s="2" t="n">
        <v>0</v>
      </c>
      <c r="G346" s="2" t="n">
        <v>0</v>
      </c>
      <c r="H346" s="30">
        <f>IF(AND(B346&gt;=5,C346&lt;&gt;"",C346&lt;0.8),1,0)</f>
        <v/>
      </c>
      <c r="I346" s="30">
        <f>IF(AND(B346&gt;=8,D346&lt;&gt;"",D346&gt;=0.25,D346&lt;=0.75),1,0)</f>
        <v/>
      </c>
      <c r="J346" s="2" t="n"/>
    </row>
    <row r="347">
      <c r="A347" s="2" t="inlineStr">
        <is>
          <t>IMP00340</t>
        </is>
      </c>
      <c r="B347" s="2" t="n">
        <v>632</v>
      </c>
      <c r="C347" s="19" t="n">
        <v>0.968</v>
      </c>
      <c r="D347" s="29" t="n">
        <v>0.0174</v>
      </c>
      <c r="E347" s="2" t="n">
        <v>1</v>
      </c>
      <c r="F347" s="2" t="n">
        <v>0</v>
      </c>
      <c r="G347" s="2" t="n">
        <v>0</v>
      </c>
      <c r="H347" s="30">
        <f>IF(AND(B347&gt;=5,C347&lt;&gt;"",C347&lt;0.8),1,0)</f>
        <v/>
      </c>
      <c r="I347" s="30">
        <f>IF(AND(B347&gt;=8,D347&lt;&gt;"",D347&gt;=0.25,D347&lt;=0.75),1,0)</f>
        <v/>
      </c>
      <c r="J347" s="2" t="n"/>
    </row>
    <row r="348">
      <c r="A348" s="2" t="inlineStr">
        <is>
          <t>IMP00341</t>
        </is>
      </c>
      <c r="B348" s="2" t="n">
        <v>55</v>
      </c>
      <c r="C348" s="19" t="n">
        <v>1.24</v>
      </c>
      <c r="D348" s="29" t="n">
        <v>0.0364</v>
      </c>
      <c r="E348" s="2" t="n">
        <v>2</v>
      </c>
      <c r="F348" s="2" t="n">
        <v>0</v>
      </c>
      <c r="G348" s="2" t="n">
        <v>0</v>
      </c>
      <c r="H348" s="30">
        <f>IF(AND(B348&gt;=5,C348&lt;&gt;"",C348&lt;0.8),1,0)</f>
        <v/>
      </c>
      <c r="I348" s="30">
        <f>IF(AND(B348&gt;=8,D348&lt;&gt;"",D348&gt;=0.25,D348&lt;=0.75),1,0)</f>
        <v/>
      </c>
      <c r="J348" s="2" t="n"/>
    </row>
    <row r="349">
      <c r="A349" s="2" t="inlineStr">
        <is>
          <t>IMP00342</t>
        </is>
      </c>
      <c r="B349" s="2" t="n">
        <v>2</v>
      </c>
      <c r="C349" s="19" t="n">
        <v>1.115</v>
      </c>
      <c r="D349" s="29" t="n">
        <v>0</v>
      </c>
      <c r="E349" s="2" t="n">
        <v>1</v>
      </c>
      <c r="F349" s="2" t="n">
        <v>0</v>
      </c>
      <c r="G349" s="2" t="n">
        <v>0</v>
      </c>
      <c r="H349" s="30">
        <f>IF(AND(B349&gt;=5,C349&lt;&gt;"",C349&lt;0.8),1,0)</f>
        <v/>
      </c>
      <c r="I349" s="30">
        <f>IF(AND(B349&gt;=8,D349&lt;&gt;"",D349&gt;=0.25,D349&lt;=0.75),1,0)</f>
        <v/>
      </c>
      <c r="J349" s="2" t="n"/>
    </row>
    <row r="350">
      <c r="A350" s="2" t="inlineStr">
        <is>
          <t>IMP00343</t>
        </is>
      </c>
      <c r="B350" s="2" t="n">
        <v>49</v>
      </c>
      <c r="C350" s="19" t="n">
        <v>1.165</v>
      </c>
      <c r="D350" s="29" t="n">
        <v>0.2041</v>
      </c>
      <c r="E350" s="2" t="n">
        <v>1</v>
      </c>
      <c r="F350" s="2" t="n">
        <v>0</v>
      </c>
      <c r="G350" s="2" t="n">
        <v>0</v>
      </c>
      <c r="H350" s="30">
        <f>IF(AND(B350&gt;=5,C350&lt;&gt;"",C350&lt;0.8),1,0)</f>
        <v/>
      </c>
      <c r="I350" s="30">
        <f>IF(AND(B350&gt;=8,D350&lt;&gt;"",D350&gt;=0.25,D350&lt;=0.75),1,0)</f>
        <v/>
      </c>
      <c r="J350" s="2" t="n"/>
    </row>
    <row r="351">
      <c r="A351" s="2" t="inlineStr">
        <is>
          <t>IMP00344</t>
        </is>
      </c>
      <c r="B351" s="2" t="n">
        <v>3</v>
      </c>
      <c r="C351" s="19" t="n">
        <v>1.016</v>
      </c>
      <c r="D351" s="29" t="n">
        <v>0</v>
      </c>
      <c r="E351" s="2" t="n">
        <v>1</v>
      </c>
      <c r="F351" s="2" t="n">
        <v>0</v>
      </c>
      <c r="G351" s="2" t="n">
        <v>0</v>
      </c>
      <c r="H351" s="30">
        <f>IF(AND(B351&gt;=5,C351&lt;&gt;"",C351&lt;0.8),1,0)</f>
        <v/>
      </c>
      <c r="I351" s="30">
        <f>IF(AND(B351&gt;=8,D351&lt;&gt;"",D351&gt;=0.25,D351&lt;=0.75),1,0)</f>
        <v/>
      </c>
      <c r="J351" s="2" t="n"/>
    </row>
    <row r="352">
      <c r="A352" s="2" t="inlineStr">
        <is>
          <t>IMP00345</t>
        </is>
      </c>
      <c r="B352" s="2" t="n">
        <v>86</v>
      </c>
      <c r="C352" s="19" t="n">
        <v>1.0285</v>
      </c>
      <c r="D352" s="29" t="n">
        <v>0.0116</v>
      </c>
      <c r="E352" s="2" t="n">
        <v>1</v>
      </c>
      <c r="F352" s="2" t="n">
        <v>0</v>
      </c>
      <c r="G352" s="2" t="n">
        <v>0</v>
      </c>
      <c r="H352" s="30">
        <f>IF(AND(B352&gt;=5,C352&lt;&gt;"",C352&lt;0.8),1,0)</f>
        <v/>
      </c>
      <c r="I352" s="30">
        <f>IF(AND(B352&gt;=8,D352&lt;&gt;"",D352&gt;=0.25,D352&lt;=0.75),1,0)</f>
        <v/>
      </c>
      <c r="J352" s="2" t="n"/>
    </row>
    <row r="353">
      <c r="A353" s="2" t="inlineStr">
        <is>
          <t>IMP00346</t>
        </is>
      </c>
      <c r="B353" s="2" t="n">
        <v>46</v>
      </c>
      <c r="C353" s="19" t="n">
        <v>0.967</v>
      </c>
      <c r="D353" s="29" t="n">
        <v>0.08699999999999999</v>
      </c>
      <c r="E353" s="2" t="n">
        <v>1</v>
      </c>
      <c r="F353" s="2" t="n">
        <v>0</v>
      </c>
      <c r="G353" s="2" t="n">
        <v>0</v>
      </c>
      <c r="H353" s="30">
        <f>IF(AND(B353&gt;=5,C353&lt;&gt;"",C353&lt;0.8),1,0)</f>
        <v/>
      </c>
      <c r="I353" s="30">
        <f>IF(AND(B353&gt;=8,D353&lt;&gt;"",D353&gt;=0.25,D353&lt;=0.75),1,0)</f>
        <v/>
      </c>
      <c r="J353" s="2" t="n"/>
    </row>
    <row r="354">
      <c r="A354" s="2" t="inlineStr">
        <is>
          <t>IMP00347</t>
        </is>
      </c>
      <c r="B354" s="2" t="n">
        <v>38</v>
      </c>
      <c r="C354" s="19" t="n">
        <v>1.12</v>
      </c>
      <c r="D354" s="29" t="n">
        <v>0.0263</v>
      </c>
      <c r="E354" s="2" t="n">
        <v>1</v>
      </c>
      <c r="F354" s="2" t="n">
        <v>0</v>
      </c>
      <c r="G354" s="2" t="n">
        <v>0</v>
      </c>
      <c r="H354" s="30">
        <f>IF(AND(B354&gt;=5,C354&lt;&gt;"",C354&lt;0.8),1,0)</f>
        <v/>
      </c>
      <c r="I354" s="30">
        <f>IF(AND(B354&gt;=8,D354&lt;&gt;"",D354&gt;=0.25,D354&lt;=0.75),1,0)</f>
        <v/>
      </c>
      <c r="J354" s="2" t="n"/>
    </row>
    <row r="355">
      <c r="A355" s="2" t="inlineStr">
        <is>
          <t>IMP00348</t>
        </is>
      </c>
      <c r="B355" s="2" t="n">
        <v>36</v>
      </c>
      <c r="C355" s="19" t="n">
        <v>0.819</v>
      </c>
      <c r="D355" s="29" t="n">
        <v>0.2778</v>
      </c>
      <c r="E355" s="2" t="n">
        <v>1</v>
      </c>
      <c r="F355" s="2" t="n">
        <v>0</v>
      </c>
      <c r="G355" s="2" t="n">
        <v>1</v>
      </c>
      <c r="H355" s="30">
        <f>IF(AND(B355&gt;=5,C355&lt;&gt;"",C355&lt;0.8),1,0)</f>
        <v/>
      </c>
      <c r="I355" s="30">
        <f>IF(AND(B355&gt;=8,D355&lt;&gt;"",D355&gt;=0.25,D355&lt;=0.75),1,0)</f>
        <v/>
      </c>
      <c r="J355" s="2" t="n"/>
    </row>
    <row r="356">
      <c r="A356" s="2" t="inlineStr">
        <is>
          <t>IMP00349</t>
        </is>
      </c>
      <c r="B356" s="2" t="n">
        <v>58</v>
      </c>
      <c r="C356" s="19" t="n">
        <v>0.954</v>
      </c>
      <c r="D356" s="29" t="n">
        <v>0.0172</v>
      </c>
      <c r="E356" s="2" t="n">
        <v>1</v>
      </c>
      <c r="F356" s="2" t="n">
        <v>0</v>
      </c>
      <c r="G356" s="2" t="n">
        <v>0</v>
      </c>
      <c r="H356" s="30">
        <f>IF(AND(B356&gt;=5,C356&lt;&gt;"",C356&lt;0.8),1,0)</f>
        <v/>
      </c>
      <c r="I356" s="30">
        <f>IF(AND(B356&gt;=8,D356&lt;&gt;"",D356&gt;=0.25,D356&lt;=0.75),1,0)</f>
        <v/>
      </c>
      <c r="J356" s="2" t="n"/>
    </row>
    <row r="357">
      <c r="A357" s="2" t="inlineStr">
        <is>
          <t>IMP00350</t>
        </is>
      </c>
      <c r="B357" s="2" t="n">
        <v>0</v>
      </c>
      <c r="C357" s="19" t="n"/>
      <c r="D357" s="29" t="n"/>
      <c r="E357" s="2" t="n">
        <v>0</v>
      </c>
      <c r="F357" s="2" t="n">
        <v>0</v>
      </c>
      <c r="G357" s="2" t="n">
        <v>0</v>
      </c>
      <c r="H357" s="30">
        <f>IF(AND(B357&gt;=5,C357&lt;&gt;"",C357&lt;0.8),1,0)</f>
        <v/>
      </c>
      <c r="I357" s="30">
        <f>IF(AND(B357&gt;=8,D357&lt;&gt;"",D357&gt;=0.25,D357&lt;=0.75),1,0)</f>
        <v/>
      </c>
      <c r="J357" s="2" t="n"/>
    </row>
    <row r="358">
      <c r="A358" s="2" t="inlineStr">
        <is>
          <t>IMP00351</t>
        </is>
      </c>
      <c r="B358" s="2" t="n">
        <v>601</v>
      </c>
      <c r="C358" s="19" t="n">
        <v>0.981</v>
      </c>
      <c r="D358" s="29" t="n">
        <v>0.0732</v>
      </c>
      <c r="E358" s="2" t="n">
        <v>2</v>
      </c>
      <c r="F358" s="2" t="n">
        <v>0</v>
      </c>
      <c r="G358" s="2" t="n">
        <v>0</v>
      </c>
      <c r="H358" s="30">
        <f>IF(AND(B358&gt;=5,C358&lt;&gt;"",C358&lt;0.8),1,0)</f>
        <v/>
      </c>
      <c r="I358" s="30">
        <f>IF(AND(B358&gt;=8,D358&lt;&gt;"",D358&gt;=0.25,D358&lt;=0.75),1,0)</f>
        <v/>
      </c>
      <c r="J358" s="2" t="n"/>
    </row>
    <row r="359">
      <c r="A359" s="2" t="inlineStr">
        <is>
          <t>IMP00352</t>
        </is>
      </c>
      <c r="B359" s="2" t="n">
        <v>0</v>
      </c>
      <c r="C359" s="19" t="n"/>
      <c r="D359" s="29" t="n"/>
      <c r="E359" s="2" t="n">
        <v>0</v>
      </c>
      <c r="F359" s="2" t="n">
        <v>0</v>
      </c>
      <c r="G359" s="2" t="n">
        <v>0</v>
      </c>
      <c r="H359" s="30">
        <f>IF(AND(B359&gt;=5,C359&lt;&gt;"",C359&lt;0.8),1,0)</f>
        <v/>
      </c>
      <c r="I359" s="30">
        <f>IF(AND(B359&gt;=8,D359&lt;&gt;"",D359&gt;=0.25,D359&lt;=0.75),1,0)</f>
        <v/>
      </c>
      <c r="J359" s="2" t="n"/>
    </row>
    <row r="360">
      <c r="A360" s="2" t="inlineStr">
        <is>
          <t>IMP00353</t>
        </is>
      </c>
      <c r="B360" s="2" t="n">
        <v>43</v>
      </c>
      <c r="C360" s="19" t="n">
        <v>0.8139999999999999</v>
      </c>
      <c r="D360" s="29" t="n">
        <v>0.4419</v>
      </c>
      <c r="E360" s="2" t="n">
        <v>1</v>
      </c>
      <c r="F360" s="2" t="n">
        <v>0</v>
      </c>
      <c r="G360" s="2" t="n">
        <v>1</v>
      </c>
      <c r="H360" s="30">
        <f>IF(AND(B360&gt;=5,C360&lt;&gt;"",C360&lt;0.8),1,0)</f>
        <v/>
      </c>
      <c r="I360" s="30">
        <f>IF(AND(B360&gt;=8,D360&lt;&gt;"",D360&gt;=0.25,D360&lt;=0.75),1,0)</f>
        <v/>
      </c>
      <c r="J360" s="2" t="n"/>
    </row>
    <row r="361">
      <c r="A361" s="2" t="inlineStr">
        <is>
          <t>IMP00354</t>
        </is>
      </c>
      <c r="B361" s="2" t="n">
        <v>15</v>
      </c>
      <c r="C361" s="19" t="n">
        <v>0.892</v>
      </c>
      <c r="D361" s="29" t="n">
        <v>0.1333</v>
      </c>
      <c r="E361" s="2" t="n">
        <v>2</v>
      </c>
      <c r="F361" s="2" t="n">
        <v>0</v>
      </c>
      <c r="G361" s="2" t="n">
        <v>0</v>
      </c>
      <c r="H361" s="30">
        <f>IF(AND(B361&gt;=5,C361&lt;&gt;"",C361&lt;0.8),1,0)</f>
        <v/>
      </c>
      <c r="I361" s="30">
        <f>IF(AND(B361&gt;=8,D361&lt;&gt;"",D361&gt;=0.25,D361&lt;=0.75),1,0)</f>
        <v/>
      </c>
      <c r="J361" s="2" t="n"/>
    </row>
    <row r="362">
      <c r="A362" s="2" t="inlineStr">
        <is>
          <t>IMP00355</t>
        </is>
      </c>
      <c r="B362" s="2" t="n">
        <v>13</v>
      </c>
      <c r="C362" s="19" t="n">
        <v>0.966</v>
      </c>
      <c r="D362" s="29" t="n">
        <v>0.2308</v>
      </c>
      <c r="E362" s="2" t="n">
        <v>1</v>
      </c>
      <c r="F362" s="2" t="n">
        <v>0</v>
      </c>
      <c r="G362" s="2" t="n">
        <v>0</v>
      </c>
      <c r="H362" s="30">
        <f>IF(AND(B362&gt;=5,C362&lt;&gt;"",C362&lt;0.8),1,0)</f>
        <v/>
      </c>
      <c r="I362" s="30">
        <f>IF(AND(B362&gt;=8,D362&lt;&gt;"",D362&gt;=0.25,D362&lt;=0.75),1,0)</f>
        <v/>
      </c>
      <c r="J362" s="2" t="n"/>
    </row>
    <row r="363">
      <c r="A363" s="2" t="inlineStr">
        <is>
          <t>IMP00356</t>
        </is>
      </c>
      <c r="B363" s="2" t="n">
        <v>4</v>
      </c>
      <c r="C363" s="19" t="n">
        <v>0.9245</v>
      </c>
      <c r="D363" s="29" t="n">
        <v>0</v>
      </c>
      <c r="E363" s="2" t="n">
        <v>1</v>
      </c>
      <c r="F363" s="2" t="n">
        <v>0</v>
      </c>
      <c r="G363" s="2" t="n">
        <v>0</v>
      </c>
      <c r="H363" s="30">
        <f>IF(AND(B363&gt;=5,C363&lt;&gt;"",C363&lt;0.8),1,0)</f>
        <v/>
      </c>
      <c r="I363" s="30">
        <f>IF(AND(B363&gt;=8,D363&lt;&gt;"",D363&gt;=0.25,D363&lt;=0.75),1,0)</f>
        <v/>
      </c>
      <c r="J363" s="2" t="n"/>
    </row>
    <row r="364">
      <c r="A364" s="2" t="inlineStr">
        <is>
          <t>IMP00357</t>
        </is>
      </c>
      <c r="B364" s="2" t="n">
        <v>150</v>
      </c>
      <c r="C364" s="19" t="n">
        <v>1.051</v>
      </c>
      <c r="D364" s="29" t="n">
        <v>0.12</v>
      </c>
      <c r="E364" s="2" t="n">
        <v>1</v>
      </c>
      <c r="F364" s="2" t="n">
        <v>0</v>
      </c>
      <c r="G364" s="2" t="n">
        <v>0</v>
      </c>
      <c r="H364" s="30">
        <f>IF(AND(B364&gt;=5,C364&lt;&gt;"",C364&lt;0.8),1,0)</f>
        <v/>
      </c>
      <c r="I364" s="30">
        <f>IF(AND(B364&gt;=8,D364&lt;&gt;"",D364&gt;=0.25,D364&lt;=0.75),1,0)</f>
        <v/>
      </c>
      <c r="J364" s="2" t="n"/>
    </row>
    <row r="365">
      <c r="A365" s="2" t="inlineStr">
        <is>
          <t>IMP00358</t>
        </is>
      </c>
      <c r="B365" s="2" t="n">
        <v>50</v>
      </c>
      <c r="C365" s="19" t="n">
        <v>0.857</v>
      </c>
      <c r="D365" s="29" t="n">
        <v>0.06</v>
      </c>
      <c r="E365" s="2" t="n">
        <v>1</v>
      </c>
      <c r="F365" s="2" t="n">
        <v>0</v>
      </c>
      <c r="G365" s="2" t="n">
        <v>0</v>
      </c>
      <c r="H365" s="30">
        <f>IF(AND(B365&gt;=5,C365&lt;&gt;"",C365&lt;0.8),1,0)</f>
        <v/>
      </c>
      <c r="I365" s="30">
        <f>IF(AND(B365&gt;=8,D365&lt;&gt;"",D365&gt;=0.25,D365&lt;=0.75),1,0)</f>
        <v/>
      </c>
      <c r="J365" s="2" t="n"/>
    </row>
    <row r="366">
      <c r="A366" s="2" t="inlineStr">
        <is>
          <t>IMP00359</t>
        </is>
      </c>
      <c r="B366" s="2" t="n">
        <v>5</v>
      </c>
      <c r="C366" s="19" t="n">
        <v>0.9330000000000001</v>
      </c>
      <c r="D366" s="29" t="n">
        <v>0.2</v>
      </c>
      <c r="E366" s="2" t="n">
        <v>1</v>
      </c>
      <c r="F366" s="2" t="n">
        <v>0</v>
      </c>
      <c r="G366" s="2" t="n">
        <v>0</v>
      </c>
      <c r="H366" s="30">
        <f>IF(AND(B366&gt;=5,C366&lt;&gt;"",C366&lt;0.8),1,0)</f>
        <v/>
      </c>
      <c r="I366" s="30">
        <f>IF(AND(B366&gt;=8,D366&lt;&gt;"",D366&gt;=0.25,D366&lt;=0.75),1,0)</f>
        <v/>
      </c>
      <c r="J366" s="2" t="n"/>
    </row>
    <row r="367">
      <c r="A367" s="2" t="inlineStr">
        <is>
          <t>IMP00360</t>
        </is>
      </c>
      <c r="B367" s="2" t="n">
        <v>12</v>
      </c>
      <c r="C367" s="19" t="n">
        <v>0.9055</v>
      </c>
      <c r="D367" s="29" t="n">
        <v>0.25</v>
      </c>
      <c r="E367" s="2" t="n">
        <v>1</v>
      </c>
      <c r="F367" s="2" t="n">
        <v>0</v>
      </c>
      <c r="G367" s="2" t="n">
        <v>1</v>
      </c>
      <c r="H367" s="30">
        <f>IF(AND(B367&gt;=5,C367&lt;&gt;"",C367&lt;0.8),1,0)</f>
        <v/>
      </c>
      <c r="I367" s="30">
        <f>IF(AND(B367&gt;=8,D367&lt;&gt;"",D367&gt;=0.25,D367&lt;=0.75),1,0)</f>
        <v/>
      </c>
      <c r="J367" s="2" t="n"/>
    </row>
    <row r="368">
      <c r="A368" s="2" t="inlineStr">
        <is>
          <t>IMP00361</t>
        </is>
      </c>
      <c r="B368" s="2" t="n">
        <v>26</v>
      </c>
      <c r="C368" s="19" t="n">
        <v>0.906</v>
      </c>
      <c r="D368" s="29" t="n">
        <v>0.1538</v>
      </c>
      <c r="E368" s="2" t="n">
        <v>3</v>
      </c>
      <c r="F368" s="2" t="n">
        <v>0</v>
      </c>
      <c r="G368" s="2" t="n">
        <v>0</v>
      </c>
      <c r="H368" s="30">
        <f>IF(AND(B368&gt;=5,C368&lt;&gt;"",C368&lt;0.8),1,0)</f>
        <v/>
      </c>
      <c r="I368" s="30">
        <f>IF(AND(B368&gt;=8,D368&lt;&gt;"",D368&gt;=0.25,D368&lt;=0.75),1,0)</f>
        <v/>
      </c>
      <c r="J368" s="2" t="n"/>
    </row>
    <row r="369">
      <c r="A369" s="2" t="inlineStr">
        <is>
          <t>IMP00362</t>
        </is>
      </c>
      <c r="B369" s="2" t="n">
        <v>32</v>
      </c>
      <c r="C369" s="19" t="n">
        <v>0.992</v>
      </c>
      <c r="D369" s="29" t="n">
        <v>0.1562</v>
      </c>
      <c r="E369" s="2" t="n">
        <v>1</v>
      </c>
      <c r="F369" s="2" t="n">
        <v>0</v>
      </c>
      <c r="G369" s="2" t="n">
        <v>0</v>
      </c>
      <c r="H369" s="30">
        <f>IF(AND(B369&gt;=5,C369&lt;&gt;"",C369&lt;0.8),1,0)</f>
        <v/>
      </c>
      <c r="I369" s="30">
        <f>IF(AND(B369&gt;=8,D369&lt;&gt;"",D369&gt;=0.25,D369&lt;=0.75),1,0)</f>
        <v/>
      </c>
      <c r="J369" s="2" t="n"/>
    </row>
    <row r="370">
      <c r="A370" s="2" t="inlineStr">
        <is>
          <t>IMP00363</t>
        </is>
      </c>
      <c r="B370" s="2" t="n">
        <v>305</v>
      </c>
      <c r="C370" s="19" t="n">
        <v>1</v>
      </c>
      <c r="D370" s="29" t="n">
        <v>0.1148</v>
      </c>
      <c r="E370" s="2" t="n">
        <v>1</v>
      </c>
      <c r="F370" s="2" t="n">
        <v>0</v>
      </c>
      <c r="G370" s="2" t="n">
        <v>0</v>
      </c>
      <c r="H370" s="30">
        <f>IF(AND(B370&gt;=5,C370&lt;&gt;"",C370&lt;0.8),1,0)</f>
        <v/>
      </c>
      <c r="I370" s="30">
        <f>IF(AND(B370&gt;=8,D370&lt;&gt;"",D370&gt;=0.25,D370&lt;=0.75),1,0)</f>
        <v/>
      </c>
      <c r="J370" s="2" t="n"/>
    </row>
    <row r="371">
      <c r="A371" s="2" t="inlineStr">
        <is>
          <t>IMP00364</t>
        </is>
      </c>
      <c r="B371" s="2" t="n">
        <v>100</v>
      </c>
      <c r="C371" s="19" t="n">
        <v>0.912</v>
      </c>
      <c r="D371" s="29" t="n">
        <v>0.12</v>
      </c>
      <c r="E371" s="2" t="n">
        <v>1</v>
      </c>
      <c r="F371" s="2" t="n">
        <v>0</v>
      </c>
      <c r="G371" s="2" t="n">
        <v>0</v>
      </c>
      <c r="H371" s="30">
        <f>IF(AND(B371&gt;=5,C371&lt;&gt;"",C371&lt;0.8),1,0)</f>
        <v/>
      </c>
      <c r="I371" s="30">
        <f>IF(AND(B371&gt;=8,D371&lt;&gt;"",D371&gt;=0.25,D371&lt;=0.75),1,0)</f>
        <v/>
      </c>
      <c r="J371" s="2" t="n"/>
    </row>
    <row r="372">
      <c r="A372" s="2" t="inlineStr">
        <is>
          <t>IMP00365</t>
        </is>
      </c>
      <c r="B372" s="2" t="n">
        <v>0</v>
      </c>
      <c r="C372" s="19" t="n"/>
      <c r="D372" s="29" t="n"/>
      <c r="E372" s="2" t="n">
        <v>0</v>
      </c>
      <c r="F372" s="2" t="n">
        <v>0</v>
      </c>
      <c r="G372" s="2" t="n">
        <v>0</v>
      </c>
      <c r="H372" s="30">
        <f>IF(AND(B372&gt;=5,C372&lt;&gt;"",C372&lt;0.8),1,0)</f>
        <v/>
      </c>
      <c r="I372" s="30">
        <f>IF(AND(B372&gt;=8,D372&lt;&gt;"",D372&gt;=0.25,D372&lt;=0.75),1,0)</f>
        <v/>
      </c>
      <c r="J372" s="2" t="n"/>
    </row>
    <row r="373">
      <c r="A373" s="2" t="inlineStr">
        <is>
          <t>IMP00366</t>
        </is>
      </c>
      <c r="B373" s="2" t="n">
        <v>95</v>
      </c>
      <c r="C373" s="19" t="n">
        <v>1.046</v>
      </c>
      <c r="D373" s="29" t="n">
        <v>0</v>
      </c>
      <c r="E373" s="2" t="n">
        <v>2</v>
      </c>
      <c r="F373" s="2" t="n">
        <v>0</v>
      </c>
      <c r="G373" s="2" t="n">
        <v>0</v>
      </c>
      <c r="H373" s="30">
        <f>IF(AND(B373&gt;=5,C373&lt;&gt;"",C373&lt;0.8),1,0)</f>
        <v/>
      </c>
      <c r="I373" s="30">
        <f>IF(AND(B373&gt;=8,D373&lt;&gt;"",D373&gt;=0.25,D373&lt;=0.75),1,0)</f>
        <v/>
      </c>
      <c r="J373" s="2" t="n"/>
    </row>
    <row r="374">
      <c r="A374" s="2" t="inlineStr">
        <is>
          <t>IMP00367</t>
        </is>
      </c>
      <c r="B374" s="2" t="n">
        <v>2</v>
      </c>
      <c r="C374" s="19" t="n">
        <v>1.79</v>
      </c>
      <c r="D374" s="29" t="n">
        <v>0</v>
      </c>
      <c r="E374" s="2" t="n">
        <v>1</v>
      </c>
      <c r="F374" s="2" t="n">
        <v>0</v>
      </c>
      <c r="G374" s="2" t="n">
        <v>0</v>
      </c>
      <c r="H374" s="30">
        <f>IF(AND(B374&gt;=5,C374&lt;&gt;"",C374&lt;0.8),1,0)</f>
        <v/>
      </c>
      <c r="I374" s="30">
        <f>IF(AND(B374&gt;=8,D374&lt;&gt;"",D374&gt;=0.25,D374&lt;=0.75),1,0)</f>
        <v/>
      </c>
      <c r="J374" s="2" t="n"/>
    </row>
    <row r="375">
      <c r="A375" s="2" t="inlineStr">
        <is>
          <t>IMP00368</t>
        </is>
      </c>
      <c r="B375" s="2" t="n">
        <v>0</v>
      </c>
      <c r="C375" s="19" t="n"/>
      <c r="D375" s="29" t="n"/>
      <c r="E375" s="2" t="n">
        <v>0</v>
      </c>
      <c r="F375" s="2" t="n">
        <v>0</v>
      </c>
      <c r="G375" s="2" t="n">
        <v>0</v>
      </c>
      <c r="H375" s="30">
        <f>IF(AND(B375&gt;=5,C375&lt;&gt;"",C375&lt;0.8),1,0)</f>
        <v/>
      </c>
      <c r="I375" s="30">
        <f>IF(AND(B375&gt;=8,D375&lt;&gt;"",D375&gt;=0.25,D375&lt;=0.75),1,0)</f>
        <v/>
      </c>
      <c r="J375" s="2" t="n"/>
    </row>
    <row r="376">
      <c r="A376" s="2" t="inlineStr">
        <is>
          <t>IMP00369</t>
        </is>
      </c>
      <c r="B376" s="2" t="n">
        <v>6</v>
      </c>
      <c r="C376" s="19" t="n">
        <v>0.9715</v>
      </c>
      <c r="D376" s="29" t="n">
        <v>0</v>
      </c>
      <c r="E376" s="2" t="n">
        <v>2</v>
      </c>
      <c r="F376" s="2" t="n">
        <v>0</v>
      </c>
      <c r="G376" s="2" t="n">
        <v>0</v>
      </c>
      <c r="H376" s="30">
        <f>IF(AND(B376&gt;=5,C376&lt;&gt;"",C376&lt;0.8),1,0)</f>
        <v/>
      </c>
      <c r="I376" s="30">
        <f>IF(AND(B376&gt;=8,D376&lt;&gt;"",D376&gt;=0.25,D376&lt;=0.75),1,0)</f>
        <v/>
      </c>
      <c r="J376" s="2" t="n"/>
    </row>
    <row r="377">
      <c r="A377" s="2" t="inlineStr">
        <is>
          <t>IMP00370</t>
        </is>
      </c>
      <c r="B377" s="2" t="n">
        <v>80</v>
      </c>
      <c r="C377" s="19" t="n">
        <v>0.973</v>
      </c>
      <c r="D377" s="29" t="n">
        <v>0</v>
      </c>
      <c r="E377" s="2" t="n">
        <v>1</v>
      </c>
      <c r="F377" s="2" t="n">
        <v>0</v>
      </c>
      <c r="G377" s="2" t="n">
        <v>0</v>
      </c>
      <c r="H377" s="30">
        <f>IF(AND(B377&gt;=5,C377&lt;&gt;"",C377&lt;0.8),1,0)</f>
        <v/>
      </c>
      <c r="I377" s="30">
        <f>IF(AND(B377&gt;=8,D377&lt;&gt;"",D377&gt;=0.25,D377&lt;=0.75),1,0)</f>
        <v/>
      </c>
      <c r="J377" s="2" t="n"/>
    </row>
    <row r="378">
      <c r="A378" s="2" t="inlineStr">
        <is>
          <t>IMP00371</t>
        </is>
      </c>
      <c r="B378" s="2" t="n">
        <v>36</v>
      </c>
      <c r="C378" s="19" t="n">
        <v>0.8855</v>
      </c>
      <c r="D378" s="29" t="n">
        <v>0.1111</v>
      </c>
      <c r="E378" s="2" t="n">
        <v>2</v>
      </c>
      <c r="F378" s="2" t="n">
        <v>0</v>
      </c>
      <c r="G378" s="2" t="n">
        <v>0</v>
      </c>
      <c r="H378" s="30">
        <f>IF(AND(B378&gt;=5,C378&lt;&gt;"",C378&lt;0.8),1,0)</f>
        <v/>
      </c>
      <c r="I378" s="30">
        <f>IF(AND(B378&gt;=8,D378&lt;&gt;"",D378&gt;=0.25,D378&lt;=0.75),1,0)</f>
        <v/>
      </c>
      <c r="J378" s="2" t="n"/>
    </row>
    <row r="379">
      <c r="A379" s="2" t="inlineStr">
        <is>
          <t>IMP00372</t>
        </is>
      </c>
      <c r="B379" s="2" t="n">
        <v>113</v>
      </c>
      <c r="C379" s="19" t="n">
        <v>1.002</v>
      </c>
      <c r="D379" s="29" t="n">
        <v>0.0708</v>
      </c>
      <c r="E379" s="2" t="n">
        <v>2</v>
      </c>
      <c r="F379" s="2" t="n">
        <v>0</v>
      </c>
      <c r="G379" s="2" t="n">
        <v>0</v>
      </c>
      <c r="H379" s="30">
        <f>IF(AND(B379&gt;=5,C379&lt;&gt;"",C379&lt;0.8),1,0)</f>
        <v/>
      </c>
      <c r="I379" s="30">
        <f>IF(AND(B379&gt;=8,D379&lt;&gt;"",D379&gt;=0.25,D379&lt;=0.75),1,0)</f>
        <v/>
      </c>
      <c r="J379" s="2" t="n"/>
    </row>
    <row r="380">
      <c r="A380" s="2" t="inlineStr">
        <is>
          <t>IMP00373</t>
        </is>
      </c>
      <c r="B380" s="2" t="n">
        <v>1</v>
      </c>
      <c r="C380" s="19" t="n">
        <v>1.243</v>
      </c>
      <c r="D380" s="29" t="n">
        <v>0</v>
      </c>
      <c r="E380" s="2" t="n">
        <v>1</v>
      </c>
      <c r="F380" s="2" t="n">
        <v>0</v>
      </c>
      <c r="G380" s="2" t="n">
        <v>0</v>
      </c>
      <c r="H380" s="30">
        <f>IF(AND(B380&gt;=5,C380&lt;&gt;"",C380&lt;0.8),1,0)</f>
        <v/>
      </c>
      <c r="I380" s="30">
        <f>IF(AND(B380&gt;=8,D380&lt;&gt;"",D380&gt;=0.25,D380&lt;=0.75),1,0)</f>
        <v/>
      </c>
      <c r="J380" s="2" t="n"/>
    </row>
    <row r="381">
      <c r="A381" s="2" t="inlineStr">
        <is>
          <t>IMP00374</t>
        </is>
      </c>
      <c r="B381" s="2" t="n">
        <v>0</v>
      </c>
      <c r="C381" s="19" t="n"/>
      <c r="D381" s="29" t="n"/>
      <c r="E381" s="2" t="n">
        <v>0</v>
      </c>
      <c r="F381" s="2" t="n">
        <v>0</v>
      </c>
      <c r="G381" s="2" t="n">
        <v>0</v>
      </c>
      <c r="H381" s="30">
        <f>IF(AND(B381&gt;=5,C381&lt;&gt;"",C381&lt;0.8),1,0)</f>
        <v/>
      </c>
      <c r="I381" s="30">
        <f>IF(AND(B381&gt;=8,D381&lt;&gt;"",D381&gt;=0.25,D381&lt;=0.75),1,0)</f>
        <v/>
      </c>
      <c r="J381" s="2" t="n"/>
    </row>
    <row r="382">
      <c r="A382" s="2" t="inlineStr">
        <is>
          <t>IMP00375</t>
        </is>
      </c>
      <c r="B382" s="2" t="n">
        <v>1187</v>
      </c>
      <c r="C382" s="19" t="n">
        <v>1.001</v>
      </c>
      <c r="D382" s="29" t="n">
        <v>0.0438</v>
      </c>
      <c r="E382" s="2" t="n">
        <v>2</v>
      </c>
      <c r="F382" s="2" t="n">
        <v>0</v>
      </c>
      <c r="G382" s="2" t="n">
        <v>0</v>
      </c>
      <c r="H382" s="30">
        <f>IF(AND(B382&gt;=5,C382&lt;&gt;"",C382&lt;0.8),1,0)</f>
        <v/>
      </c>
      <c r="I382" s="30">
        <f>IF(AND(B382&gt;=8,D382&lt;&gt;"",D382&gt;=0.25,D382&lt;=0.75),1,0)</f>
        <v/>
      </c>
      <c r="J382" s="2" t="n"/>
    </row>
    <row r="383">
      <c r="A383" s="2" t="inlineStr">
        <is>
          <t>IMP00376</t>
        </is>
      </c>
      <c r="B383" s="2" t="n">
        <v>150</v>
      </c>
      <c r="C383" s="19" t="n">
        <v>0.963</v>
      </c>
      <c r="D383" s="29" t="n">
        <v>0.06</v>
      </c>
      <c r="E383" s="2" t="n">
        <v>1</v>
      </c>
      <c r="F383" s="2" t="n">
        <v>0</v>
      </c>
      <c r="G383" s="2" t="n">
        <v>0</v>
      </c>
      <c r="H383" s="30">
        <f>IF(AND(B383&gt;=5,C383&lt;&gt;"",C383&lt;0.8),1,0)</f>
        <v/>
      </c>
      <c r="I383" s="30">
        <f>IF(AND(B383&gt;=8,D383&lt;&gt;"",D383&gt;=0.25,D383&lt;=0.75),1,0)</f>
        <v/>
      </c>
      <c r="J383" s="2" t="n"/>
    </row>
    <row r="384">
      <c r="A384" s="2" t="inlineStr">
        <is>
          <t>IMP00377</t>
        </is>
      </c>
      <c r="B384" s="2" t="n">
        <v>0</v>
      </c>
      <c r="C384" s="19" t="n"/>
      <c r="D384" s="29" t="n"/>
      <c r="E384" s="2" t="n">
        <v>0</v>
      </c>
      <c r="F384" s="2" t="n">
        <v>0</v>
      </c>
      <c r="G384" s="2" t="n">
        <v>0</v>
      </c>
      <c r="H384" s="30">
        <f>IF(AND(B384&gt;=5,C384&lt;&gt;"",C384&lt;0.8),1,0)</f>
        <v/>
      </c>
      <c r="I384" s="30">
        <f>IF(AND(B384&gt;=8,D384&lt;&gt;"",D384&gt;=0.25,D384&lt;=0.75),1,0)</f>
        <v/>
      </c>
      <c r="J384" s="2" t="n"/>
    </row>
    <row r="385">
      <c r="A385" s="2" t="inlineStr">
        <is>
          <t>IMP00378</t>
        </is>
      </c>
      <c r="B385" s="2" t="n">
        <v>17</v>
      </c>
      <c r="C385" s="19" t="n">
        <v>0.9115</v>
      </c>
      <c r="D385" s="29" t="n">
        <v>0</v>
      </c>
      <c r="E385" s="2" t="n">
        <v>1</v>
      </c>
      <c r="F385" s="2" t="n">
        <v>0</v>
      </c>
      <c r="G385" s="2" t="n">
        <v>0</v>
      </c>
      <c r="H385" s="30">
        <f>IF(AND(B385&gt;=5,C385&lt;&gt;"",C385&lt;0.8),1,0)</f>
        <v/>
      </c>
      <c r="I385" s="30">
        <f>IF(AND(B385&gt;=8,D385&lt;&gt;"",D385&gt;=0.25,D385&lt;=0.75),1,0)</f>
        <v/>
      </c>
      <c r="J385" s="2" t="n"/>
    </row>
    <row r="386">
      <c r="A386" s="2" t="inlineStr">
        <is>
          <t>IMP00379</t>
        </is>
      </c>
      <c r="B386" s="2" t="n">
        <v>8</v>
      </c>
      <c r="C386" s="19" t="n">
        <v>1.1395</v>
      </c>
      <c r="D386" s="29" t="n">
        <v>0.25</v>
      </c>
      <c r="E386" s="2" t="n">
        <v>1</v>
      </c>
      <c r="F386" s="2" t="n">
        <v>0</v>
      </c>
      <c r="G386" s="2" t="n">
        <v>1</v>
      </c>
      <c r="H386" s="30">
        <f>IF(AND(B386&gt;=5,C386&lt;&gt;"",C386&lt;0.8),1,0)</f>
        <v/>
      </c>
      <c r="I386" s="30">
        <f>IF(AND(B386&gt;=8,D386&lt;&gt;"",D386&gt;=0.25,D386&lt;=0.75),1,0)</f>
        <v/>
      </c>
      <c r="J386" s="2" t="n"/>
    </row>
    <row r="387">
      <c r="A387" s="2" t="inlineStr">
        <is>
          <t>IMP00380</t>
        </is>
      </c>
      <c r="B387" s="2" t="n">
        <v>1</v>
      </c>
      <c r="C387" s="19" t="n">
        <v>1.374</v>
      </c>
      <c r="D387" s="29" t="n">
        <v>0</v>
      </c>
      <c r="E387" s="2" t="n">
        <v>1</v>
      </c>
      <c r="F387" s="2" t="n">
        <v>0</v>
      </c>
      <c r="G387" s="2" t="n">
        <v>0</v>
      </c>
      <c r="H387" s="30">
        <f>IF(AND(B387&gt;=5,C387&lt;&gt;"",C387&lt;0.8),1,0)</f>
        <v/>
      </c>
      <c r="I387" s="30">
        <f>IF(AND(B387&gt;=8,D387&lt;&gt;"",D387&gt;=0.25,D387&lt;=0.75),1,0)</f>
        <v/>
      </c>
      <c r="J387" s="2" t="n"/>
    </row>
    <row r="388">
      <c r="A388" s="2" t="inlineStr">
        <is>
          <t>IMP00381</t>
        </is>
      </c>
      <c r="B388" s="2" t="n">
        <v>7</v>
      </c>
      <c r="C388" s="19" t="n">
        <v>0.89</v>
      </c>
      <c r="D388" s="29" t="n">
        <v>0</v>
      </c>
      <c r="E388" s="2" t="n">
        <v>1</v>
      </c>
      <c r="F388" s="2" t="n">
        <v>0</v>
      </c>
      <c r="G388" s="2" t="n">
        <v>0</v>
      </c>
      <c r="H388" s="30">
        <f>IF(AND(B388&gt;=5,C388&lt;&gt;"",C388&lt;0.8),1,0)</f>
        <v/>
      </c>
      <c r="I388" s="30">
        <f>IF(AND(B388&gt;=8,D388&lt;&gt;"",D388&gt;=0.25,D388&lt;=0.75),1,0)</f>
        <v/>
      </c>
      <c r="J388" s="2" t="n"/>
    </row>
    <row r="389">
      <c r="A389" s="2" t="inlineStr">
        <is>
          <t>IMP00382</t>
        </is>
      </c>
      <c r="B389" s="2" t="n">
        <v>7</v>
      </c>
      <c r="C389" s="19" t="n">
        <v>1.097</v>
      </c>
      <c r="D389" s="29" t="n">
        <v>0</v>
      </c>
      <c r="E389" s="2" t="n">
        <v>2</v>
      </c>
      <c r="F389" s="2" t="n">
        <v>0</v>
      </c>
      <c r="G389" s="2" t="n">
        <v>0</v>
      </c>
      <c r="H389" s="30">
        <f>IF(AND(B389&gt;=5,C389&lt;&gt;"",C389&lt;0.8),1,0)</f>
        <v/>
      </c>
      <c r="I389" s="30">
        <f>IF(AND(B389&gt;=8,D389&lt;&gt;"",D389&gt;=0.25,D389&lt;=0.75),1,0)</f>
        <v/>
      </c>
      <c r="J389" s="2" t="n"/>
    </row>
    <row r="390">
      <c r="A390" s="2" t="inlineStr">
        <is>
          <t>IMP00383</t>
        </is>
      </c>
      <c r="B390" s="2" t="n">
        <v>184</v>
      </c>
      <c r="C390" s="19" t="n">
        <v>0.961</v>
      </c>
      <c r="D390" s="29" t="n">
        <v>0.0272</v>
      </c>
      <c r="E390" s="2" t="n">
        <v>2</v>
      </c>
      <c r="F390" s="2" t="n">
        <v>0</v>
      </c>
      <c r="G390" s="2" t="n">
        <v>0</v>
      </c>
      <c r="H390" s="30">
        <f>IF(AND(B390&gt;=5,C390&lt;&gt;"",C390&lt;0.8),1,0)</f>
        <v/>
      </c>
      <c r="I390" s="30">
        <f>IF(AND(B390&gt;=8,D390&lt;&gt;"",D390&gt;=0.25,D390&lt;=0.75),1,0)</f>
        <v/>
      </c>
      <c r="J390" s="2" t="n"/>
    </row>
    <row r="391">
      <c r="A391" s="2" t="inlineStr">
        <is>
          <t>IMP00384</t>
        </is>
      </c>
      <c r="B391" s="2" t="n">
        <v>171</v>
      </c>
      <c r="C391" s="19" t="n">
        <v>1.158</v>
      </c>
      <c r="D391" s="29" t="n">
        <v>0.0175</v>
      </c>
      <c r="E391" s="2" t="n">
        <v>2</v>
      </c>
      <c r="F391" s="2" t="n">
        <v>0</v>
      </c>
      <c r="G391" s="2" t="n">
        <v>0</v>
      </c>
      <c r="H391" s="30">
        <f>IF(AND(B391&gt;=5,C391&lt;&gt;"",C391&lt;0.8),1,0)</f>
        <v/>
      </c>
      <c r="I391" s="30">
        <f>IF(AND(B391&gt;=8,D391&lt;&gt;"",D391&gt;=0.25,D391&lt;=0.75),1,0)</f>
        <v/>
      </c>
      <c r="J391" s="2" t="n"/>
    </row>
    <row r="392">
      <c r="A392" s="2" t="inlineStr">
        <is>
          <t>IMP00385</t>
        </is>
      </c>
      <c r="B392" s="2" t="n">
        <v>2</v>
      </c>
      <c r="C392" s="19" t="n">
        <v>0.8149999999999999</v>
      </c>
      <c r="D392" s="29" t="n">
        <v>0</v>
      </c>
      <c r="E392" s="2" t="n">
        <v>1</v>
      </c>
      <c r="F392" s="2" t="n">
        <v>0</v>
      </c>
      <c r="G392" s="2" t="n">
        <v>0</v>
      </c>
      <c r="H392" s="30">
        <f>IF(AND(B392&gt;=5,C392&lt;&gt;"",C392&lt;0.8),1,0)</f>
        <v/>
      </c>
      <c r="I392" s="30">
        <f>IF(AND(B392&gt;=8,D392&lt;&gt;"",D392&gt;=0.25,D392&lt;=0.75),1,0)</f>
        <v/>
      </c>
      <c r="J392" s="2" t="n"/>
    </row>
    <row r="393">
      <c r="A393" s="2" t="inlineStr">
        <is>
          <t>IMP00386</t>
        </is>
      </c>
      <c r="B393" s="2" t="n">
        <v>23</v>
      </c>
      <c r="C393" s="19" t="n">
        <v>0.758</v>
      </c>
      <c r="D393" s="29" t="n">
        <v>0.4783</v>
      </c>
      <c r="E393" s="2" t="n">
        <v>1</v>
      </c>
      <c r="F393" s="2" t="n">
        <v>1</v>
      </c>
      <c r="G393" s="2" t="n">
        <v>1</v>
      </c>
      <c r="H393" s="30">
        <f>IF(AND(B393&gt;=5,C393&lt;&gt;"",C393&lt;0.8),1,0)</f>
        <v/>
      </c>
      <c r="I393" s="30">
        <f>IF(AND(B393&gt;=8,D393&lt;&gt;"",D393&gt;=0.25,D393&lt;=0.75),1,0)</f>
        <v/>
      </c>
      <c r="J393" s="2" t="n"/>
    </row>
    <row r="394">
      <c r="A394" s="2" t="inlineStr">
        <is>
          <t>IMP00387</t>
        </is>
      </c>
      <c r="B394" s="2" t="n">
        <v>21</v>
      </c>
      <c r="C394" s="19" t="n">
        <v>1.049</v>
      </c>
      <c r="D394" s="29" t="n">
        <v>0.2381</v>
      </c>
      <c r="E394" s="2" t="n">
        <v>1</v>
      </c>
      <c r="F394" s="2" t="n">
        <v>0</v>
      </c>
      <c r="G394" s="2" t="n">
        <v>0</v>
      </c>
      <c r="H394" s="30">
        <f>IF(AND(B394&gt;=5,C394&lt;&gt;"",C394&lt;0.8),1,0)</f>
        <v/>
      </c>
      <c r="I394" s="30">
        <f>IF(AND(B394&gt;=8,D394&lt;&gt;"",D394&gt;=0.25,D394&lt;=0.75),1,0)</f>
        <v/>
      </c>
      <c r="J394" s="2" t="n"/>
    </row>
    <row r="395">
      <c r="A395" s="2" t="inlineStr">
        <is>
          <t>IMP00388</t>
        </is>
      </c>
      <c r="B395" s="2" t="n">
        <v>0</v>
      </c>
      <c r="C395" s="19" t="n"/>
      <c r="D395" s="29" t="n"/>
      <c r="E395" s="2" t="n">
        <v>0</v>
      </c>
      <c r="F395" s="2" t="n">
        <v>0</v>
      </c>
      <c r="G395" s="2" t="n">
        <v>0</v>
      </c>
      <c r="H395" s="30">
        <f>IF(AND(B395&gt;=5,C395&lt;&gt;"",C395&lt;0.8),1,0)</f>
        <v/>
      </c>
      <c r="I395" s="30">
        <f>IF(AND(B395&gt;=8,D395&lt;&gt;"",D395&gt;=0.25,D395&lt;=0.75),1,0)</f>
        <v/>
      </c>
      <c r="J395" s="2" t="n"/>
    </row>
    <row r="396">
      <c r="A396" s="2" t="inlineStr">
        <is>
          <t>IMP00389</t>
        </is>
      </c>
      <c r="B396" s="2" t="n">
        <v>32</v>
      </c>
      <c r="C396" s="19" t="n">
        <v>1.052</v>
      </c>
      <c r="D396" s="29" t="n">
        <v>0.0625</v>
      </c>
      <c r="E396" s="2" t="n">
        <v>2</v>
      </c>
      <c r="F396" s="2" t="n">
        <v>0</v>
      </c>
      <c r="G396" s="2" t="n">
        <v>0</v>
      </c>
      <c r="H396" s="30">
        <f>IF(AND(B396&gt;=5,C396&lt;&gt;"",C396&lt;0.8),1,0)</f>
        <v/>
      </c>
      <c r="I396" s="30">
        <f>IF(AND(B396&gt;=8,D396&lt;&gt;"",D396&gt;=0.25,D396&lt;=0.75),1,0)</f>
        <v/>
      </c>
      <c r="J396" s="2" t="n"/>
    </row>
    <row r="397">
      <c r="A397" s="2" t="inlineStr">
        <is>
          <t>IMP00390</t>
        </is>
      </c>
      <c r="B397" s="2" t="n">
        <v>169</v>
      </c>
      <c r="C397" s="19" t="n">
        <v>1.018</v>
      </c>
      <c r="D397" s="29" t="n">
        <v>0.1479</v>
      </c>
      <c r="E397" s="2" t="n">
        <v>1</v>
      </c>
      <c r="F397" s="2" t="n">
        <v>0</v>
      </c>
      <c r="G397" s="2" t="n">
        <v>0</v>
      </c>
      <c r="H397" s="30">
        <f>IF(AND(B397&gt;=5,C397&lt;&gt;"",C397&lt;0.8),1,0)</f>
        <v/>
      </c>
      <c r="I397" s="30">
        <f>IF(AND(B397&gt;=8,D397&lt;&gt;"",D397&gt;=0.25,D397&lt;=0.75),1,0)</f>
        <v/>
      </c>
      <c r="J397" s="2" t="n"/>
    </row>
    <row r="398">
      <c r="A398" s="2" t="inlineStr">
        <is>
          <t>IMP00391</t>
        </is>
      </c>
      <c r="B398" s="2" t="n">
        <v>144</v>
      </c>
      <c r="C398" s="19" t="n">
        <v>0.783</v>
      </c>
      <c r="D398" s="29" t="n">
        <v>0.4236</v>
      </c>
      <c r="E398" s="2" t="n">
        <v>1</v>
      </c>
      <c r="F398" s="2" t="n">
        <v>1</v>
      </c>
      <c r="G398" s="2" t="n">
        <v>1</v>
      </c>
      <c r="H398" s="30">
        <f>IF(AND(B398&gt;=5,C398&lt;&gt;"",C398&lt;0.8),1,0)</f>
        <v/>
      </c>
      <c r="I398" s="30">
        <f>IF(AND(B398&gt;=8,D398&lt;&gt;"",D398&gt;=0.25,D398&lt;=0.75),1,0)</f>
        <v/>
      </c>
      <c r="J398" s="2" t="n"/>
    </row>
    <row r="399">
      <c r="A399" s="2" t="inlineStr">
        <is>
          <t>IMP00392</t>
        </is>
      </c>
      <c r="B399" s="2" t="n">
        <v>3</v>
      </c>
      <c r="C399" s="19" t="n">
        <v>0.776</v>
      </c>
      <c r="D399" s="29" t="n">
        <v>0.3333</v>
      </c>
      <c r="E399" s="2" t="n">
        <v>1</v>
      </c>
      <c r="F399" s="2" t="n">
        <v>0</v>
      </c>
      <c r="G399" s="2" t="n">
        <v>0</v>
      </c>
      <c r="H399" s="30">
        <f>IF(AND(B399&gt;=5,C399&lt;&gt;"",C399&lt;0.8),1,0)</f>
        <v/>
      </c>
      <c r="I399" s="30">
        <f>IF(AND(B399&gt;=8,D399&lt;&gt;"",D399&gt;=0.25,D399&lt;=0.75),1,0)</f>
        <v/>
      </c>
      <c r="J399" s="2" t="n"/>
    </row>
    <row r="400">
      <c r="A400" s="2" t="inlineStr">
        <is>
          <t>IMP00393</t>
        </is>
      </c>
      <c r="B400" s="2" t="n">
        <v>1</v>
      </c>
      <c r="C400" s="19" t="n">
        <v>1.191</v>
      </c>
      <c r="D400" s="29" t="n">
        <v>0</v>
      </c>
      <c r="E400" s="2" t="n">
        <v>2</v>
      </c>
      <c r="F400" s="2" t="n">
        <v>0</v>
      </c>
      <c r="G400" s="2" t="n">
        <v>0</v>
      </c>
      <c r="H400" s="30">
        <f>IF(AND(B400&gt;=5,C400&lt;&gt;"",C400&lt;0.8),1,0)</f>
        <v/>
      </c>
      <c r="I400" s="30">
        <f>IF(AND(B400&gt;=8,D400&lt;&gt;"",D400&gt;=0.25,D400&lt;=0.75),1,0)</f>
        <v/>
      </c>
      <c r="J400" s="2" t="n"/>
    </row>
    <row r="401">
      <c r="A401" s="2" t="inlineStr">
        <is>
          <t>IMP00394</t>
        </is>
      </c>
      <c r="B401" s="2" t="n">
        <v>0</v>
      </c>
      <c r="C401" s="19" t="n"/>
      <c r="D401" s="29" t="n"/>
      <c r="E401" s="2" t="n">
        <v>0</v>
      </c>
      <c r="F401" s="2" t="n">
        <v>0</v>
      </c>
      <c r="G401" s="2" t="n">
        <v>0</v>
      </c>
      <c r="H401" s="30">
        <f>IF(AND(B401&gt;=5,C401&lt;&gt;"",C401&lt;0.8),1,0)</f>
        <v/>
      </c>
      <c r="I401" s="30">
        <f>IF(AND(B401&gt;=8,D401&lt;&gt;"",D401&gt;=0.25,D401&lt;=0.75),1,0)</f>
        <v/>
      </c>
      <c r="J401" s="2" t="n"/>
    </row>
    <row r="402">
      <c r="A402" s="2" t="inlineStr">
        <is>
          <t>IMP00395</t>
        </is>
      </c>
      <c r="B402" s="2" t="n">
        <v>67</v>
      </c>
      <c r="C402" s="19" t="n">
        <v>0.875</v>
      </c>
      <c r="D402" s="29" t="n">
        <v>0.3881</v>
      </c>
      <c r="E402" s="2" t="n">
        <v>1</v>
      </c>
      <c r="F402" s="2" t="n">
        <v>0</v>
      </c>
      <c r="G402" s="2" t="n">
        <v>1</v>
      </c>
      <c r="H402" s="30">
        <f>IF(AND(B402&gt;=5,C402&lt;&gt;"",C402&lt;0.8),1,0)</f>
        <v/>
      </c>
      <c r="I402" s="30">
        <f>IF(AND(B402&gt;=8,D402&lt;&gt;"",D402&gt;=0.25,D402&lt;=0.75),1,0)</f>
        <v/>
      </c>
      <c r="J402" s="2" t="n"/>
    </row>
    <row r="403">
      <c r="A403" s="2" t="inlineStr">
        <is>
          <t>IMP00396</t>
        </is>
      </c>
      <c r="B403" s="2" t="n">
        <v>86</v>
      </c>
      <c r="C403" s="19" t="n">
        <v>1.105</v>
      </c>
      <c r="D403" s="29" t="n">
        <v>0.0116</v>
      </c>
      <c r="E403" s="2" t="n">
        <v>1</v>
      </c>
      <c r="F403" s="2" t="n">
        <v>0</v>
      </c>
      <c r="G403" s="2" t="n">
        <v>0</v>
      </c>
      <c r="H403" s="30">
        <f>IF(AND(B403&gt;=5,C403&lt;&gt;"",C403&lt;0.8),1,0)</f>
        <v/>
      </c>
      <c r="I403" s="30">
        <f>IF(AND(B403&gt;=8,D403&lt;&gt;"",D403&gt;=0.25,D403&lt;=0.75),1,0)</f>
        <v/>
      </c>
      <c r="J403" s="2" t="n"/>
    </row>
    <row r="404">
      <c r="A404" s="2" t="inlineStr">
        <is>
          <t>IMP00397</t>
        </is>
      </c>
      <c r="B404" s="2" t="n">
        <v>271</v>
      </c>
      <c r="C404" s="19" t="n">
        <v>1.014</v>
      </c>
      <c r="D404" s="29" t="n">
        <v>0.0185</v>
      </c>
      <c r="E404" s="2" t="n">
        <v>2</v>
      </c>
      <c r="F404" s="2" t="n">
        <v>0</v>
      </c>
      <c r="G404" s="2" t="n">
        <v>0</v>
      </c>
      <c r="H404" s="30">
        <f>IF(AND(B404&gt;=5,C404&lt;&gt;"",C404&lt;0.8),1,0)</f>
        <v/>
      </c>
      <c r="I404" s="30">
        <f>IF(AND(B404&gt;=8,D404&lt;&gt;"",D404&gt;=0.25,D404&lt;=0.75),1,0)</f>
        <v/>
      </c>
      <c r="J404" s="2" t="n"/>
    </row>
    <row r="405">
      <c r="A405" s="2" t="inlineStr">
        <is>
          <t>IMP00398</t>
        </is>
      </c>
      <c r="B405" s="2" t="n">
        <v>22</v>
      </c>
      <c r="C405" s="19" t="n">
        <v>1.089</v>
      </c>
      <c r="D405" s="29" t="n">
        <v>0.09089999999999999</v>
      </c>
      <c r="E405" s="2" t="n">
        <v>1</v>
      </c>
      <c r="F405" s="2" t="n">
        <v>0</v>
      </c>
      <c r="G405" s="2" t="n">
        <v>0</v>
      </c>
      <c r="H405" s="30">
        <f>IF(AND(B405&gt;=5,C405&lt;&gt;"",C405&lt;0.8),1,0)</f>
        <v/>
      </c>
      <c r="I405" s="30">
        <f>IF(AND(B405&gt;=8,D405&lt;&gt;"",D405&gt;=0.25,D405&lt;=0.75),1,0)</f>
        <v/>
      </c>
      <c r="J405" s="2" t="n"/>
    </row>
    <row r="406">
      <c r="A406" s="2" t="inlineStr">
        <is>
          <t>IMP00399</t>
        </is>
      </c>
      <c r="B406" s="2" t="n">
        <v>0</v>
      </c>
      <c r="C406" s="19" t="n"/>
      <c r="D406" s="29" t="n"/>
      <c r="E406" s="2" t="n">
        <v>0</v>
      </c>
      <c r="F406" s="2" t="n">
        <v>0</v>
      </c>
      <c r="G406" s="2" t="n">
        <v>0</v>
      </c>
      <c r="H406" s="30">
        <f>IF(AND(B406&gt;=5,C406&lt;&gt;"",C406&lt;0.8),1,0)</f>
        <v/>
      </c>
      <c r="I406" s="30">
        <f>IF(AND(B406&gt;=8,D406&lt;&gt;"",D406&gt;=0.25,D406&lt;=0.75),1,0)</f>
        <v/>
      </c>
      <c r="J406" s="2" t="n"/>
    </row>
    <row r="407">
      <c r="A407" s="2" t="inlineStr">
        <is>
          <t>IMP00400</t>
        </is>
      </c>
      <c r="B407" s="2" t="n">
        <v>0</v>
      </c>
      <c r="C407" s="19" t="n"/>
      <c r="D407" s="29" t="n"/>
      <c r="E407" s="2" t="n">
        <v>0</v>
      </c>
      <c r="F407" s="2" t="n">
        <v>0</v>
      </c>
      <c r="G407" s="2" t="n">
        <v>0</v>
      </c>
      <c r="H407" s="30">
        <f>IF(AND(B407&gt;=5,C407&lt;&gt;"",C407&lt;0.8),1,0)</f>
        <v/>
      </c>
      <c r="I407" s="30">
        <f>IF(AND(B407&gt;=8,D407&lt;&gt;"",D407&gt;=0.25,D407&lt;=0.75),1,0)</f>
        <v/>
      </c>
      <c r="J407" s="2" t="n"/>
    </row>
    <row r="408">
      <c r="A408" s="2" t="inlineStr">
        <is>
          <t>IMP00401</t>
        </is>
      </c>
      <c r="B408" s="2" t="n">
        <v>132</v>
      </c>
      <c r="C408" s="19" t="n">
        <v>1.042</v>
      </c>
      <c r="D408" s="29" t="n">
        <v>0.0227</v>
      </c>
      <c r="E408" s="2" t="n">
        <v>1</v>
      </c>
      <c r="F408" s="2" t="n">
        <v>0</v>
      </c>
      <c r="G408" s="2" t="n">
        <v>0</v>
      </c>
      <c r="H408" s="30">
        <f>IF(AND(B408&gt;=5,C408&lt;&gt;"",C408&lt;0.8),1,0)</f>
        <v/>
      </c>
      <c r="I408" s="30">
        <f>IF(AND(B408&gt;=8,D408&lt;&gt;"",D408&gt;=0.25,D408&lt;=0.75),1,0)</f>
        <v/>
      </c>
      <c r="J408" s="2" t="n"/>
    </row>
    <row r="409">
      <c r="A409" s="2" t="inlineStr">
        <is>
          <t>IMP00402</t>
        </is>
      </c>
      <c r="B409" s="2" t="n">
        <v>53</v>
      </c>
      <c r="C409" s="19" t="n">
        <v>1.245</v>
      </c>
      <c r="D409" s="29" t="n">
        <v>0.0566</v>
      </c>
      <c r="E409" s="2" t="n">
        <v>1</v>
      </c>
      <c r="F409" s="2" t="n">
        <v>0</v>
      </c>
      <c r="G409" s="2" t="n">
        <v>0</v>
      </c>
      <c r="H409" s="30">
        <f>IF(AND(B409&gt;=5,C409&lt;&gt;"",C409&lt;0.8),1,0)</f>
        <v/>
      </c>
      <c r="I409" s="30">
        <f>IF(AND(B409&gt;=8,D409&lt;&gt;"",D409&gt;=0.25,D409&lt;=0.75),1,0)</f>
        <v/>
      </c>
      <c r="J409" s="2" t="n"/>
    </row>
    <row r="410">
      <c r="A410" s="2" t="inlineStr">
        <is>
          <t>IMP00403</t>
        </is>
      </c>
      <c r="B410" s="2" t="n">
        <v>4</v>
      </c>
      <c r="C410" s="19" t="n">
        <v>1.005</v>
      </c>
      <c r="D410" s="29" t="n">
        <v>0</v>
      </c>
      <c r="E410" s="2" t="n">
        <v>1</v>
      </c>
      <c r="F410" s="2" t="n">
        <v>0</v>
      </c>
      <c r="G410" s="2" t="n">
        <v>0</v>
      </c>
      <c r="H410" s="30">
        <f>IF(AND(B410&gt;=5,C410&lt;&gt;"",C410&lt;0.8),1,0)</f>
        <v/>
      </c>
      <c r="I410" s="30">
        <f>IF(AND(B410&gt;=8,D410&lt;&gt;"",D410&gt;=0.25,D410&lt;=0.75),1,0)</f>
        <v/>
      </c>
      <c r="J410" s="2" t="n"/>
    </row>
    <row r="411">
      <c r="A411" s="2" t="inlineStr">
        <is>
          <t>IMP00404</t>
        </is>
      </c>
      <c r="B411" s="2" t="n">
        <v>433</v>
      </c>
      <c r="C411" s="19" t="n">
        <v>0.969</v>
      </c>
      <c r="D411" s="29" t="n">
        <v>0.0762</v>
      </c>
      <c r="E411" s="2" t="n">
        <v>1</v>
      </c>
      <c r="F411" s="2" t="n">
        <v>0</v>
      </c>
      <c r="G411" s="2" t="n">
        <v>0</v>
      </c>
      <c r="H411" s="30">
        <f>IF(AND(B411&gt;=5,C411&lt;&gt;"",C411&lt;0.8),1,0)</f>
        <v/>
      </c>
      <c r="I411" s="30">
        <f>IF(AND(B411&gt;=8,D411&lt;&gt;"",D411&gt;=0.25,D411&lt;=0.75),1,0)</f>
        <v/>
      </c>
      <c r="J411" s="2" t="n"/>
    </row>
    <row r="412">
      <c r="A412" s="2" t="inlineStr">
        <is>
          <t>IMP00405</t>
        </is>
      </c>
      <c r="B412" s="2" t="n">
        <v>3</v>
      </c>
      <c r="C412" s="19" t="n">
        <v>1.5145</v>
      </c>
      <c r="D412" s="29" t="n">
        <v>0</v>
      </c>
      <c r="E412" s="2" t="n">
        <v>1</v>
      </c>
      <c r="F412" s="2" t="n">
        <v>0</v>
      </c>
      <c r="G412" s="2" t="n">
        <v>0</v>
      </c>
      <c r="H412" s="30">
        <f>IF(AND(B412&gt;=5,C412&lt;&gt;"",C412&lt;0.8),1,0)</f>
        <v/>
      </c>
      <c r="I412" s="30">
        <f>IF(AND(B412&gt;=8,D412&lt;&gt;"",D412&gt;=0.25,D412&lt;=0.75),1,0)</f>
        <v/>
      </c>
      <c r="J412" s="2" t="n"/>
    </row>
    <row r="413">
      <c r="A413" s="2" t="inlineStr">
        <is>
          <t>IMP00406</t>
        </is>
      </c>
      <c r="B413" s="2" t="n">
        <v>43</v>
      </c>
      <c r="C413" s="19" t="n">
        <v>1.005</v>
      </c>
      <c r="D413" s="29" t="n">
        <v>0.186</v>
      </c>
      <c r="E413" s="2" t="n">
        <v>1</v>
      </c>
      <c r="F413" s="2" t="n">
        <v>0</v>
      </c>
      <c r="G413" s="2" t="n">
        <v>0</v>
      </c>
      <c r="H413" s="30">
        <f>IF(AND(B413&gt;=5,C413&lt;&gt;"",C413&lt;0.8),1,0)</f>
        <v/>
      </c>
      <c r="I413" s="30">
        <f>IF(AND(B413&gt;=8,D413&lt;&gt;"",D413&gt;=0.25,D413&lt;=0.75),1,0)</f>
        <v/>
      </c>
      <c r="J413" s="2" t="n"/>
    </row>
    <row r="414">
      <c r="A414" s="2" t="inlineStr">
        <is>
          <t>IMP00407</t>
        </is>
      </c>
      <c r="B414" s="2" t="n">
        <v>2</v>
      </c>
      <c r="C414" s="19" t="n">
        <v>0.969</v>
      </c>
      <c r="D414" s="29" t="n">
        <v>0</v>
      </c>
      <c r="E414" s="2" t="n">
        <v>1</v>
      </c>
      <c r="F414" s="2" t="n">
        <v>0</v>
      </c>
      <c r="G414" s="2" t="n">
        <v>0</v>
      </c>
      <c r="H414" s="30">
        <f>IF(AND(B414&gt;=5,C414&lt;&gt;"",C414&lt;0.8),1,0)</f>
        <v/>
      </c>
      <c r="I414" s="30">
        <f>IF(AND(B414&gt;=8,D414&lt;&gt;"",D414&gt;=0.25,D414&lt;=0.75),1,0)</f>
        <v/>
      </c>
      <c r="J414" s="2" t="n"/>
    </row>
    <row r="415">
      <c r="A415" s="2" t="inlineStr">
        <is>
          <t>IMP00408</t>
        </is>
      </c>
      <c r="B415" s="2" t="n">
        <v>112</v>
      </c>
      <c r="C415" s="19" t="n">
        <v>1.044</v>
      </c>
      <c r="D415" s="29" t="n">
        <v>0.0893</v>
      </c>
      <c r="E415" s="2" t="n">
        <v>1</v>
      </c>
      <c r="F415" s="2" t="n">
        <v>0</v>
      </c>
      <c r="G415" s="2" t="n">
        <v>0</v>
      </c>
      <c r="H415" s="30">
        <f>IF(AND(B415&gt;=5,C415&lt;&gt;"",C415&lt;0.8),1,0)</f>
        <v/>
      </c>
      <c r="I415" s="30">
        <f>IF(AND(B415&gt;=8,D415&lt;&gt;"",D415&gt;=0.25,D415&lt;=0.75),1,0)</f>
        <v/>
      </c>
      <c r="J415" s="2" t="n"/>
    </row>
    <row r="416">
      <c r="A416" s="2" t="inlineStr">
        <is>
          <t>IMP00409</t>
        </is>
      </c>
      <c r="B416" s="2" t="n">
        <v>137</v>
      </c>
      <c r="C416" s="19" t="n">
        <v>1.023</v>
      </c>
      <c r="D416" s="29" t="n">
        <v>0.0219</v>
      </c>
      <c r="E416" s="2" t="n">
        <v>2</v>
      </c>
      <c r="F416" s="2" t="n">
        <v>0</v>
      </c>
      <c r="G416" s="2" t="n">
        <v>0</v>
      </c>
      <c r="H416" s="30">
        <f>IF(AND(B416&gt;=5,C416&lt;&gt;"",C416&lt;0.8),1,0)</f>
        <v/>
      </c>
      <c r="I416" s="30">
        <f>IF(AND(B416&gt;=8,D416&lt;&gt;"",D416&gt;=0.25,D416&lt;=0.75),1,0)</f>
        <v/>
      </c>
      <c r="J416" s="2" t="n"/>
    </row>
    <row r="417">
      <c r="A417" s="2" t="inlineStr">
        <is>
          <t>IMP00410</t>
        </is>
      </c>
      <c r="B417" s="2" t="n">
        <v>201</v>
      </c>
      <c r="C417" s="19" t="n">
        <v>0.895</v>
      </c>
      <c r="D417" s="29" t="n">
        <v>0.09950000000000001</v>
      </c>
      <c r="E417" s="2" t="n">
        <v>1</v>
      </c>
      <c r="F417" s="2" t="n">
        <v>0</v>
      </c>
      <c r="G417" s="2" t="n">
        <v>0</v>
      </c>
      <c r="H417" s="30">
        <f>IF(AND(B417&gt;=5,C417&lt;&gt;"",C417&lt;0.8),1,0)</f>
        <v/>
      </c>
      <c r="I417" s="30">
        <f>IF(AND(B417&gt;=8,D417&lt;&gt;"",D417&gt;=0.25,D417&lt;=0.75),1,0)</f>
        <v/>
      </c>
      <c r="J417" s="2" t="n"/>
    </row>
    <row r="418">
      <c r="A418" s="2" t="inlineStr">
        <is>
          <t>IMP00411</t>
        </is>
      </c>
      <c r="B418" s="2" t="n">
        <v>15</v>
      </c>
      <c r="C418" s="19" t="n">
        <v>0.984</v>
      </c>
      <c r="D418" s="29" t="n">
        <v>0</v>
      </c>
      <c r="E418" s="2" t="n">
        <v>1</v>
      </c>
      <c r="F418" s="2" t="n">
        <v>0</v>
      </c>
      <c r="G418" s="2" t="n">
        <v>0</v>
      </c>
      <c r="H418" s="30">
        <f>IF(AND(B418&gt;=5,C418&lt;&gt;"",C418&lt;0.8),1,0)</f>
        <v/>
      </c>
      <c r="I418" s="30">
        <f>IF(AND(B418&gt;=8,D418&lt;&gt;"",D418&gt;=0.25,D418&lt;=0.75),1,0)</f>
        <v/>
      </c>
      <c r="J418" s="2" t="n"/>
    </row>
    <row r="419">
      <c r="A419" s="2" t="inlineStr">
        <is>
          <t>IMP00412</t>
        </is>
      </c>
      <c r="B419" s="2" t="n">
        <v>5</v>
      </c>
      <c r="C419" s="19" t="n">
        <v>0.969</v>
      </c>
      <c r="D419" s="29" t="n">
        <v>0</v>
      </c>
      <c r="E419" s="2" t="n">
        <v>2</v>
      </c>
      <c r="F419" s="2" t="n">
        <v>0</v>
      </c>
      <c r="G419" s="2" t="n">
        <v>0</v>
      </c>
      <c r="H419" s="30">
        <f>IF(AND(B419&gt;=5,C419&lt;&gt;"",C419&lt;0.8),1,0)</f>
        <v/>
      </c>
      <c r="I419" s="30">
        <f>IF(AND(B419&gt;=8,D419&lt;&gt;"",D419&gt;=0.25,D419&lt;=0.75),1,0)</f>
        <v/>
      </c>
      <c r="J419" s="2" t="n"/>
    </row>
    <row r="420">
      <c r="A420" s="2" t="inlineStr">
        <is>
          <t>IMP00413</t>
        </is>
      </c>
      <c r="B420" s="2" t="n">
        <v>220</v>
      </c>
      <c r="C420" s="19" t="n">
        <v>1.008</v>
      </c>
      <c r="D420" s="29" t="n">
        <v>0.0136</v>
      </c>
      <c r="E420" s="2" t="n">
        <v>1</v>
      </c>
      <c r="F420" s="2" t="n">
        <v>0</v>
      </c>
      <c r="G420" s="2" t="n">
        <v>0</v>
      </c>
      <c r="H420" s="30">
        <f>IF(AND(B420&gt;=5,C420&lt;&gt;"",C420&lt;0.8),1,0)</f>
        <v/>
      </c>
      <c r="I420" s="30">
        <f>IF(AND(B420&gt;=8,D420&lt;&gt;"",D420&gt;=0.25,D420&lt;=0.75),1,0)</f>
        <v/>
      </c>
      <c r="J420" s="2" t="n"/>
    </row>
    <row r="421">
      <c r="A421" s="2" t="inlineStr">
        <is>
          <t>IMP00414</t>
        </is>
      </c>
      <c r="B421" s="2" t="n">
        <v>0</v>
      </c>
      <c r="C421" s="19" t="n"/>
      <c r="D421" s="29" t="n"/>
      <c r="E421" s="2" t="n">
        <v>0</v>
      </c>
      <c r="F421" s="2" t="n">
        <v>0</v>
      </c>
      <c r="G421" s="2" t="n">
        <v>0</v>
      </c>
      <c r="H421" s="30">
        <f>IF(AND(B421&gt;=5,C421&lt;&gt;"",C421&lt;0.8),1,0)</f>
        <v/>
      </c>
      <c r="I421" s="30">
        <f>IF(AND(B421&gt;=8,D421&lt;&gt;"",D421&gt;=0.25,D421&lt;=0.75),1,0)</f>
        <v/>
      </c>
      <c r="J421" s="2" t="n"/>
    </row>
    <row r="422">
      <c r="A422" s="2" t="inlineStr">
        <is>
          <t>IMP00415</t>
        </is>
      </c>
      <c r="B422" s="2" t="n">
        <v>5</v>
      </c>
      <c r="C422" s="19" t="n">
        <v>1.326</v>
      </c>
      <c r="D422" s="29" t="n">
        <v>0</v>
      </c>
      <c r="E422" s="2" t="n">
        <v>1</v>
      </c>
      <c r="F422" s="2" t="n">
        <v>0</v>
      </c>
      <c r="G422" s="2" t="n">
        <v>0</v>
      </c>
      <c r="H422" s="30">
        <f>IF(AND(B422&gt;=5,C422&lt;&gt;"",C422&lt;0.8),1,0)</f>
        <v/>
      </c>
      <c r="I422" s="30">
        <f>IF(AND(B422&gt;=8,D422&lt;&gt;"",D422&gt;=0.25,D422&lt;=0.75),1,0)</f>
        <v/>
      </c>
      <c r="J422" s="2" t="n"/>
    </row>
    <row r="423">
      <c r="A423" s="2" t="inlineStr">
        <is>
          <t>IMP00416</t>
        </is>
      </c>
      <c r="B423" s="2" t="n">
        <v>0</v>
      </c>
      <c r="C423" s="19" t="n"/>
      <c r="D423" s="29" t="n"/>
      <c r="E423" s="2" t="n">
        <v>0</v>
      </c>
      <c r="F423" s="2" t="n">
        <v>0</v>
      </c>
      <c r="G423" s="2" t="n">
        <v>0</v>
      </c>
      <c r="H423" s="30">
        <f>IF(AND(B423&gt;=5,C423&lt;&gt;"",C423&lt;0.8),1,0)</f>
        <v/>
      </c>
      <c r="I423" s="30">
        <f>IF(AND(B423&gt;=8,D423&lt;&gt;"",D423&gt;=0.25,D423&lt;=0.75),1,0)</f>
        <v/>
      </c>
      <c r="J423" s="2" t="n"/>
    </row>
    <row r="424">
      <c r="A424" s="2" t="inlineStr">
        <is>
          <t>IMP00417</t>
        </is>
      </c>
      <c r="B424" s="2" t="n">
        <v>99</v>
      </c>
      <c r="C424" s="19" t="n">
        <v>1.192</v>
      </c>
      <c r="D424" s="29" t="n">
        <v>0.0101</v>
      </c>
      <c r="E424" s="2" t="n">
        <v>1</v>
      </c>
      <c r="F424" s="2" t="n">
        <v>0</v>
      </c>
      <c r="G424" s="2" t="n">
        <v>0</v>
      </c>
      <c r="H424" s="30">
        <f>IF(AND(B424&gt;=5,C424&lt;&gt;"",C424&lt;0.8),1,0)</f>
        <v/>
      </c>
      <c r="I424" s="30">
        <f>IF(AND(B424&gt;=8,D424&lt;&gt;"",D424&gt;=0.25,D424&lt;=0.75),1,0)</f>
        <v/>
      </c>
      <c r="J424" s="2" t="n"/>
    </row>
    <row r="425">
      <c r="A425" s="2" t="inlineStr">
        <is>
          <t>IMP00418</t>
        </is>
      </c>
      <c r="B425" s="2" t="n">
        <v>7</v>
      </c>
      <c r="C425" s="19" t="n">
        <v>0.987</v>
      </c>
      <c r="D425" s="29" t="n">
        <v>0</v>
      </c>
      <c r="E425" s="2" t="n">
        <v>2</v>
      </c>
      <c r="F425" s="2" t="n">
        <v>0</v>
      </c>
      <c r="G425" s="2" t="n">
        <v>0</v>
      </c>
      <c r="H425" s="30">
        <f>IF(AND(B425&gt;=5,C425&lt;&gt;"",C425&lt;0.8),1,0)</f>
        <v/>
      </c>
      <c r="I425" s="30">
        <f>IF(AND(B425&gt;=8,D425&lt;&gt;"",D425&gt;=0.25,D425&lt;=0.75),1,0)</f>
        <v/>
      </c>
      <c r="J425" s="2" t="n"/>
    </row>
    <row r="426">
      <c r="A426" s="2" t="inlineStr">
        <is>
          <t>IMP00419</t>
        </is>
      </c>
      <c r="B426" s="2" t="n">
        <v>0</v>
      </c>
      <c r="C426" s="19" t="n"/>
      <c r="D426" s="29" t="n"/>
      <c r="E426" s="2" t="n">
        <v>0</v>
      </c>
      <c r="F426" s="2" t="n">
        <v>0</v>
      </c>
      <c r="G426" s="2" t="n">
        <v>0</v>
      </c>
      <c r="H426" s="30">
        <f>IF(AND(B426&gt;=5,C426&lt;&gt;"",C426&lt;0.8),1,0)</f>
        <v/>
      </c>
      <c r="I426" s="30">
        <f>IF(AND(B426&gt;=8,D426&lt;&gt;"",D426&gt;=0.25,D426&lt;=0.75),1,0)</f>
        <v/>
      </c>
      <c r="J426" s="2" t="n"/>
    </row>
    <row r="427">
      <c r="A427" s="2" t="inlineStr">
        <is>
          <t>IMP00420</t>
        </is>
      </c>
      <c r="B427" s="2" t="n">
        <v>7</v>
      </c>
      <c r="C427" s="19" t="n">
        <v>1.267</v>
      </c>
      <c r="D427" s="29" t="n">
        <v>0</v>
      </c>
      <c r="E427" s="2" t="n">
        <v>1</v>
      </c>
      <c r="F427" s="2" t="n">
        <v>0</v>
      </c>
      <c r="G427" s="2" t="n">
        <v>0</v>
      </c>
      <c r="H427" s="30">
        <f>IF(AND(B427&gt;=5,C427&lt;&gt;"",C427&lt;0.8),1,0)</f>
        <v/>
      </c>
      <c r="I427" s="30">
        <f>IF(AND(B427&gt;=8,D427&lt;&gt;"",D427&gt;=0.25,D427&lt;=0.75),1,0)</f>
        <v/>
      </c>
      <c r="J427" s="2" t="n"/>
    </row>
    <row r="428">
      <c r="A428" s="2" t="inlineStr">
        <is>
          <t>IMP00421</t>
        </is>
      </c>
      <c r="B428" s="2" t="n">
        <v>353</v>
      </c>
      <c r="C428" s="19" t="n">
        <v>0.952</v>
      </c>
      <c r="D428" s="29" t="n">
        <v>0.0283</v>
      </c>
      <c r="E428" s="2" t="n">
        <v>1</v>
      </c>
      <c r="F428" s="2" t="n">
        <v>0</v>
      </c>
      <c r="G428" s="2" t="n">
        <v>0</v>
      </c>
      <c r="H428" s="30">
        <f>IF(AND(B428&gt;=5,C428&lt;&gt;"",C428&lt;0.8),1,0)</f>
        <v/>
      </c>
      <c r="I428" s="30">
        <f>IF(AND(B428&gt;=8,D428&lt;&gt;"",D428&gt;=0.25,D428&lt;=0.75),1,0)</f>
        <v/>
      </c>
      <c r="J428" s="2" t="n"/>
    </row>
    <row r="429">
      <c r="A429" s="2" t="inlineStr">
        <is>
          <t>IMP00422</t>
        </is>
      </c>
      <c r="B429" s="2" t="n">
        <v>3</v>
      </c>
      <c r="C429" s="19" t="n">
        <v>1.309</v>
      </c>
      <c r="D429" s="29" t="n">
        <v>0</v>
      </c>
      <c r="E429" s="2" t="n">
        <v>1</v>
      </c>
      <c r="F429" s="2" t="n">
        <v>0</v>
      </c>
      <c r="G429" s="2" t="n">
        <v>0</v>
      </c>
      <c r="H429" s="30">
        <f>IF(AND(B429&gt;=5,C429&lt;&gt;"",C429&lt;0.8),1,0)</f>
        <v/>
      </c>
      <c r="I429" s="30">
        <f>IF(AND(B429&gt;=8,D429&lt;&gt;"",D429&gt;=0.25,D429&lt;=0.75),1,0)</f>
        <v/>
      </c>
      <c r="J429" s="2" t="n"/>
    </row>
    <row r="430">
      <c r="A430" s="2" t="inlineStr">
        <is>
          <t>IMP00423</t>
        </is>
      </c>
      <c r="B430" s="2" t="n">
        <v>101</v>
      </c>
      <c r="C430" s="19" t="n">
        <v>1.1645</v>
      </c>
      <c r="D430" s="29" t="n">
        <v>0.0594</v>
      </c>
      <c r="E430" s="2" t="n">
        <v>1</v>
      </c>
      <c r="F430" s="2" t="n">
        <v>0</v>
      </c>
      <c r="G430" s="2" t="n">
        <v>0</v>
      </c>
      <c r="H430" s="30">
        <f>IF(AND(B430&gt;=5,C430&lt;&gt;"",C430&lt;0.8),1,0)</f>
        <v/>
      </c>
      <c r="I430" s="30">
        <f>IF(AND(B430&gt;=8,D430&lt;&gt;"",D430&gt;=0.25,D430&lt;=0.75),1,0)</f>
        <v/>
      </c>
      <c r="J430" s="2" t="n"/>
    </row>
    <row r="431">
      <c r="A431" s="2" t="inlineStr">
        <is>
          <t>IMP00424</t>
        </is>
      </c>
      <c r="B431" s="2" t="n">
        <v>33</v>
      </c>
      <c r="C431" s="19" t="n">
        <v>1.035</v>
      </c>
      <c r="D431" s="29" t="n">
        <v>0.0606</v>
      </c>
      <c r="E431" s="2" t="n">
        <v>1</v>
      </c>
      <c r="F431" s="2" t="n">
        <v>0</v>
      </c>
      <c r="G431" s="2" t="n">
        <v>0</v>
      </c>
      <c r="H431" s="30">
        <f>IF(AND(B431&gt;=5,C431&lt;&gt;"",C431&lt;0.8),1,0)</f>
        <v/>
      </c>
      <c r="I431" s="30">
        <f>IF(AND(B431&gt;=8,D431&lt;&gt;"",D431&gt;=0.25,D431&lt;=0.75),1,0)</f>
        <v/>
      </c>
      <c r="J431" s="2" t="n"/>
    </row>
    <row r="432">
      <c r="A432" s="2" t="inlineStr">
        <is>
          <t>IMP00425</t>
        </is>
      </c>
      <c r="B432" s="2" t="n">
        <v>3</v>
      </c>
      <c r="C432" s="19" t="n">
        <v>1.344</v>
      </c>
      <c r="D432" s="29" t="n">
        <v>0</v>
      </c>
      <c r="E432" s="2" t="n">
        <v>1</v>
      </c>
      <c r="F432" s="2" t="n">
        <v>0</v>
      </c>
      <c r="G432" s="2" t="n">
        <v>0</v>
      </c>
      <c r="H432" s="30">
        <f>IF(AND(B432&gt;=5,C432&lt;&gt;"",C432&lt;0.8),1,0)</f>
        <v/>
      </c>
      <c r="I432" s="30">
        <f>IF(AND(B432&gt;=8,D432&lt;&gt;"",D432&gt;=0.25,D432&lt;=0.75),1,0)</f>
        <v/>
      </c>
      <c r="J432" s="2" t="n"/>
    </row>
    <row r="433">
      <c r="A433" s="2" t="inlineStr">
        <is>
          <t>IMP00426</t>
        </is>
      </c>
      <c r="B433" s="2" t="n">
        <v>24</v>
      </c>
      <c r="C433" s="19" t="n">
        <v>1.039</v>
      </c>
      <c r="D433" s="29" t="n">
        <v>0.0417</v>
      </c>
      <c r="E433" s="2" t="n">
        <v>1</v>
      </c>
      <c r="F433" s="2" t="n">
        <v>0</v>
      </c>
      <c r="G433" s="2" t="n">
        <v>0</v>
      </c>
      <c r="H433" s="30">
        <f>IF(AND(B433&gt;=5,C433&lt;&gt;"",C433&lt;0.8),1,0)</f>
        <v/>
      </c>
      <c r="I433" s="30">
        <f>IF(AND(B433&gt;=8,D433&lt;&gt;"",D433&gt;=0.25,D433&lt;=0.75),1,0)</f>
        <v/>
      </c>
      <c r="J433" s="2" t="n"/>
    </row>
    <row r="434">
      <c r="A434" s="2" t="inlineStr">
        <is>
          <t>IMP00427</t>
        </is>
      </c>
      <c r="B434" s="2" t="n">
        <v>921</v>
      </c>
      <c r="C434" s="19" t="n">
        <v>1.011</v>
      </c>
      <c r="D434" s="29" t="n">
        <v>0.013</v>
      </c>
      <c r="E434" s="2" t="n">
        <v>2</v>
      </c>
      <c r="F434" s="2" t="n">
        <v>0</v>
      </c>
      <c r="G434" s="2" t="n">
        <v>0</v>
      </c>
      <c r="H434" s="30">
        <f>IF(AND(B434&gt;=5,C434&lt;&gt;"",C434&lt;0.8),1,0)</f>
        <v/>
      </c>
      <c r="I434" s="30">
        <f>IF(AND(B434&gt;=8,D434&lt;&gt;"",D434&gt;=0.25,D434&lt;=0.75),1,0)</f>
        <v/>
      </c>
      <c r="J434" s="2" t="n"/>
    </row>
    <row r="435">
      <c r="A435" s="2" t="inlineStr">
        <is>
          <t>IMP00428</t>
        </is>
      </c>
      <c r="B435" s="2" t="n">
        <v>3</v>
      </c>
      <c r="C435" s="19" t="n">
        <v>0.876</v>
      </c>
      <c r="D435" s="29" t="n">
        <v>0.3333</v>
      </c>
      <c r="E435" s="2" t="n">
        <v>1</v>
      </c>
      <c r="F435" s="2" t="n">
        <v>0</v>
      </c>
      <c r="G435" s="2" t="n">
        <v>0</v>
      </c>
      <c r="H435" s="30">
        <f>IF(AND(B435&gt;=5,C435&lt;&gt;"",C435&lt;0.8),1,0)</f>
        <v/>
      </c>
      <c r="I435" s="30">
        <f>IF(AND(B435&gt;=8,D435&lt;&gt;"",D435&gt;=0.25,D435&lt;=0.75),1,0)</f>
        <v/>
      </c>
      <c r="J435" s="2" t="n"/>
    </row>
    <row r="436">
      <c r="A436" s="2" t="inlineStr">
        <is>
          <t>IMP00429</t>
        </is>
      </c>
      <c r="B436" s="2" t="n">
        <v>13</v>
      </c>
      <c r="C436" s="19" t="n">
        <v>0.82</v>
      </c>
      <c r="D436" s="29" t="n">
        <v>0.0769</v>
      </c>
      <c r="E436" s="2" t="n">
        <v>1</v>
      </c>
      <c r="F436" s="2" t="n">
        <v>0</v>
      </c>
      <c r="G436" s="2" t="n">
        <v>0</v>
      </c>
      <c r="H436" s="30">
        <f>IF(AND(B436&gt;=5,C436&lt;&gt;"",C436&lt;0.8),1,0)</f>
        <v/>
      </c>
      <c r="I436" s="30">
        <f>IF(AND(B436&gt;=8,D436&lt;&gt;"",D436&gt;=0.25,D436&lt;=0.75),1,0)</f>
        <v/>
      </c>
      <c r="J436" s="2" t="n"/>
    </row>
    <row r="437">
      <c r="A437" s="2" t="inlineStr">
        <is>
          <t>IMP00430</t>
        </is>
      </c>
      <c r="B437" s="2" t="n">
        <v>18</v>
      </c>
      <c r="C437" s="19" t="n">
        <v>1.1975</v>
      </c>
      <c r="D437" s="29" t="n">
        <v>0</v>
      </c>
      <c r="E437" s="2" t="n">
        <v>1</v>
      </c>
      <c r="F437" s="2" t="n">
        <v>0</v>
      </c>
      <c r="G437" s="2" t="n">
        <v>0</v>
      </c>
      <c r="H437" s="30">
        <f>IF(AND(B437&gt;=5,C437&lt;&gt;"",C437&lt;0.8),1,0)</f>
        <v/>
      </c>
      <c r="I437" s="30">
        <f>IF(AND(B437&gt;=8,D437&lt;&gt;"",D437&gt;=0.25,D437&lt;=0.75),1,0)</f>
        <v/>
      </c>
      <c r="J437" s="2" t="n"/>
    </row>
    <row r="438">
      <c r="A438" s="2" t="inlineStr">
        <is>
          <t>IMP00431</t>
        </is>
      </c>
      <c r="B438" s="2" t="n">
        <v>3</v>
      </c>
      <c r="C438" s="19" t="n">
        <v>1.225</v>
      </c>
      <c r="D438" s="29" t="n">
        <v>0</v>
      </c>
      <c r="E438" s="2" t="n">
        <v>2</v>
      </c>
      <c r="F438" s="2" t="n">
        <v>0</v>
      </c>
      <c r="G438" s="2" t="n">
        <v>0</v>
      </c>
      <c r="H438" s="30">
        <f>IF(AND(B438&gt;=5,C438&lt;&gt;"",C438&lt;0.8),1,0)</f>
        <v/>
      </c>
      <c r="I438" s="30">
        <f>IF(AND(B438&gt;=8,D438&lt;&gt;"",D438&gt;=0.25,D438&lt;=0.75),1,0)</f>
        <v/>
      </c>
      <c r="J438" s="2" t="n"/>
    </row>
    <row r="439">
      <c r="A439" s="2" t="inlineStr">
        <is>
          <t>IMP00432</t>
        </is>
      </c>
      <c r="B439" s="2" t="n">
        <v>0</v>
      </c>
      <c r="C439" s="19" t="n"/>
      <c r="D439" s="29" t="n"/>
      <c r="E439" s="2" t="n">
        <v>0</v>
      </c>
      <c r="F439" s="2" t="n">
        <v>0</v>
      </c>
      <c r="G439" s="2" t="n">
        <v>0</v>
      </c>
      <c r="H439" s="30">
        <f>IF(AND(B439&gt;=5,C439&lt;&gt;"",C439&lt;0.8),1,0)</f>
        <v/>
      </c>
      <c r="I439" s="30">
        <f>IF(AND(B439&gt;=8,D439&lt;&gt;"",D439&gt;=0.25,D439&lt;=0.75),1,0)</f>
        <v/>
      </c>
      <c r="J439" s="2" t="n"/>
    </row>
    <row r="440">
      <c r="A440" s="2" t="inlineStr">
        <is>
          <t>IMP00433</t>
        </is>
      </c>
      <c r="B440" s="2" t="n">
        <v>1018</v>
      </c>
      <c r="C440" s="19" t="n">
        <v>1.001</v>
      </c>
      <c r="D440" s="29" t="n">
        <v>0.0599</v>
      </c>
      <c r="E440" s="2" t="n">
        <v>1</v>
      </c>
      <c r="F440" s="2" t="n">
        <v>0</v>
      </c>
      <c r="G440" s="2" t="n">
        <v>0</v>
      </c>
      <c r="H440" s="30">
        <f>IF(AND(B440&gt;=5,C440&lt;&gt;"",C440&lt;0.8),1,0)</f>
        <v/>
      </c>
      <c r="I440" s="30">
        <f>IF(AND(B440&gt;=8,D440&lt;&gt;"",D440&gt;=0.25,D440&lt;=0.75),1,0)</f>
        <v/>
      </c>
      <c r="J440" s="2" t="n"/>
    </row>
    <row r="441">
      <c r="A441" s="2" t="inlineStr">
        <is>
          <t>IMP00434</t>
        </is>
      </c>
      <c r="B441" s="2" t="n">
        <v>99</v>
      </c>
      <c r="C441" s="19" t="n">
        <v>0.908</v>
      </c>
      <c r="D441" s="29" t="n">
        <v>0.1414</v>
      </c>
      <c r="E441" s="2" t="n">
        <v>1</v>
      </c>
      <c r="F441" s="2" t="n">
        <v>0</v>
      </c>
      <c r="G441" s="2" t="n">
        <v>0</v>
      </c>
      <c r="H441" s="30">
        <f>IF(AND(B441&gt;=5,C441&lt;&gt;"",C441&lt;0.8),1,0)</f>
        <v/>
      </c>
      <c r="I441" s="30">
        <f>IF(AND(B441&gt;=8,D441&lt;&gt;"",D441&gt;=0.25,D441&lt;=0.75),1,0)</f>
        <v/>
      </c>
      <c r="J441" s="2" t="n"/>
    </row>
    <row r="442">
      <c r="A442" s="2" t="inlineStr">
        <is>
          <t>IMP00435</t>
        </is>
      </c>
      <c r="B442" s="2" t="n">
        <v>79</v>
      </c>
      <c r="C442" s="19" t="n">
        <v>1.0155</v>
      </c>
      <c r="D442" s="29" t="n">
        <v>0.0253</v>
      </c>
      <c r="E442" s="2" t="n">
        <v>1</v>
      </c>
      <c r="F442" s="2" t="n">
        <v>0</v>
      </c>
      <c r="G442" s="2" t="n">
        <v>0</v>
      </c>
      <c r="H442" s="30">
        <f>IF(AND(B442&gt;=5,C442&lt;&gt;"",C442&lt;0.8),1,0)</f>
        <v/>
      </c>
      <c r="I442" s="30">
        <f>IF(AND(B442&gt;=8,D442&lt;&gt;"",D442&gt;=0.25,D442&lt;=0.75),1,0)</f>
        <v/>
      </c>
      <c r="J442" s="2" t="n"/>
    </row>
    <row r="443">
      <c r="A443" s="2" t="inlineStr">
        <is>
          <t>IMP00436</t>
        </is>
      </c>
      <c r="B443" s="2" t="n">
        <v>8</v>
      </c>
      <c r="C443" s="19" t="n">
        <v>0.857</v>
      </c>
      <c r="D443" s="29" t="n">
        <v>0.25</v>
      </c>
      <c r="E443" s="2" t="n">
        <v>2</v>
      </c>
      <c r="F443" s="2" t="n">
        <v>0</v>
      </c>
      <c r="G443" s="2" t="n">
        <v>1</v>
      </c>
      <c r="H443" s="30">
        <f>IF(AND(B443&gt;=5,C443&lt;&gt;"",C443&lt;0.8),1,0)</f>
        <v/>
      </c>
      <c r="I443" s="30">
        <f>IF(AND(B443&gt;=8,D443&lt;&gt;"",D443&gt;=0.25,D443&lt;=0.75),1,0)</f>
        <v/>
      </c>
      <c r="J443" s="2" t="n"/>
    </row>
    <row r="444">
      <c r="A444" s="2" t="inlineStr">
        <is>
          <t>IMP00437</t>
        </is>
      </c>
      <c r="B444" s="2" t="n">
        <v>2</v>
      </c>
      <c r="C444" s="19" t="n">
        <v>0.9265</v>
      </c>
      <c r="D444" s="29" t="n">
        <v>0</v>
      </c>
      <c r="E444" s="2" t="n">
        <v>1</v>
      </c>
      <c r="F444" s="2" t="n">
        <v>0</v>
      </c>
      <c r="G444" s="2" t="n">
        <v>0</v>
      </c>
      <c r="H444" s="30">
        <f>IF(AND(B444&gt;=5,C444&lt;&gt;"",C444&lt;0.8),1,0)</f>
        <v/>
      </c>
      <c r="I444" s="30">
        <f>IF(AND(B444&gt;=8,D444&lt;&gt;"",D444&gt;=0.25,D444&lt;=0.75),1,0)</f>
        <v/>
      </c>
      <c r="J444" s="2" t="n"/>
    </row>
    <row r="445">
      <c r="A445" s="2" t="inlineStr">
        <is>
          <t>IMP00438</t>
        </is>
      </c>
      <c r="B445" s="2" t="n">
        <v>13</v>
      </c>
      <c r="C445" s="19" t="n">
        <v>1.188</v>
      </c>
      <c r="D445" s="29" t="n">
        <v>0</v>
      </c>
      <c r="E445" s="2" t="n">
        <v>1</v>
      </c>
      <c r="F445" s="2" t="n">
        <v>0</v>
      </c>
      <c r="G445" s="2" t="n">
        <v>0</v>
      </c>
      <c r="H445" s="30">
        <f>IF(AND(B445&gt;=5,C445&lt;&gt;"",C445&lt;0.8),1,0)</f>
        <v/>
      </c>
      <c r="I445" s="30">
        <f>IF(AND(B445&gt;=8,D445&lt;&gt;"",D445&gt;=0.25,D445&lt;=0.75),1,0)</f>
        <v/>
      </c>
      <c r="J445" s="2" t="n"/>
    </row>
    <row r="446">
      <c r="A446" s="2" t="inlineStr">
        <is>
          <t>IMP00439</t>
        </is>
      </c>
      <c r="B446" s="2" t="n">
        <v>4</v>
      </c>
      <c r="C446" s="19" t="n">
        <v>0.7365</v>
      </c>
      <c r="D446" s="29" t="n">
        <v>0.5</v>
      </c>
      <c r="E446" s="2" t="n">
        <v>1</v>
      </c>
      <c r="F446" s="2" t="n">
        <v>0</v>
      </c>
      <c r="G446" s="2" t="n">
        <v>0</v>
      </c>
      <c r="H446" s="30">
        <f>IF(AND(B446&gt;=5,C446&lt;&gt;"",C446&lt;0.8),1,0)</f>
        <v/>
      </c>
      <c r="I446" s="30">
        <f>IF(AND(B446&gt;=8,D446&lt;&gt;"",D446&gt;=0.25,D446&lt;=0.75),1,0)</f>
        <v/>
      </c>
      <c r="J446" s="2" t="n"/>
    </row>
    <row r="447">
      <c r="A447" s="2" t="inlineStr">
        <is>
          <t>IMP00440</t>
        </is>
      </c>
      <c r="B447" s="2" t="n">
        <v>3</v>
      </c>
      <c r="C447" s="19" t="n">
        <v>1.008</v>
      </c>
      <c r="D447" s="29" t="n">
        <v>0</v>
      </c>
      <c r="E447" s="2" t="n">
        <v>1</v>
      </c>
      <c r="F447" s="2" t="n">
        <v>0</v>
      </c>
      <c r="G447" s="2" t="n">
        <v>0</v>
      </c>
      <c r="H447" s="30">
        <f>IF(AND(B447&gt;=5,C447&lt;&gt;"",C447&lt;0.8),1,0)</f>
        <v/>
      </c>
      <c r="I447" s="30">
        <f>IF(AND(B447&gt;=8,D447&lt;&gt;"",D447&gt;=0.25,D447&lt;=0.75),1,0)</f>
        <v/>
      </c>
      <c r="J447" s="2" t="n"/>
    </row>
    <row r="448">
      <c r="A448" s="2" t="inlineStr">
        <is>
          <t>IMP00441</t>
        </is>
      </c>
      <c r="B448" s="2" t="n">
        <v>15</v>
      </c>
      <c r="C448" s="19" t="n">
        <v>1.274</v>
      </c>
      <c r="D448" s="29" t="n">
        <v>0</v>
      </c>
      <c r="E448" s="2" t="n">
        <v>1</v>
      </c>
      <c r="F448" s="2" t="n">
        <v>0</v>
      </c>
      <c r="G448" s="2" t="n">
        <v>0</v>
      </c>
      <c r="H448" s="30">
        <f>IF(AND(B448&gt;=5,C448&lt;&gt;"",C448&lt;0.8),1,0)</f>
        <v/>
      </c>
      <c r="I448" s="30">
        <f>IF(AND(B448&gt;=8,D448&lt;&gt;"",D448&gt;=0.25,D448&lt;=0.75),1,0)</f>
        <v/>
      </c>
      <c r="J448" s="2" t="n"/>
    </row>
    <row r="449">
      <c r="A449" s="2" t="inlineStr">
        <is>
          <t>IMP00442</t>
        </is>
      </c>
      <c r="B449" s="2" t="n">
        <v>56</v>
      </c>
      <c r="C449" s="19" t="n">
        <v>0.9185</v>
      </c>
      <c r="D449" s="29" t="n">
        <v>0.0536</v>
      </c>
      <c r="E449" s="2" t="n">
        <v>1</v>
      </c>
      <c r="F449" s="2" t="n">
        <v>0</v>
      </c>
      <c r="G449" s="2" t="n">
        <v>0</v>
      </c>
      <c r="H449" s="30">
        <f>IF(AND(B449&gt;=5,C449&lt;&gt;"",C449&lt;0.8),1,0)</f>
        <v/>
      </c>
      <c r="I449" s="30">
        <f>IF(AND(B449&gt;=8,D449&lt;&gt;"",D449&gt;=0.25,D449&lt;=0.75),1,0)</f>
        <v/>
      </c>
      <c r="J449" s="2" t="n"/>
    </row>
    <row r="450">
      <c r="A450" s="2" t="inlineStr">
        <is>
          <t>IMP00443</t>
        </is>
      </c>
      <c r="B450" s="2" t="n">
        <v>2</v>
      </c>
      <c r="C450" s="19" t="n">
        <v>0.949</v>
      </c>
      <c r="D450" s="29" t="n">
        <v>0</v>
      </c>
      <c r="E450" s="2" t="n">
        <v>1</v>
      </c>
      <c r="F450" s="2" t="n">
        <v>0</v>
      </c>
      <c r="G450" s="2" t="n">
        <v>0</v>
      </c>
      <c r="H450" s="30">
        <f>IF(AND(B450&gt;=5,C450&lt;&gt;"",C450&lt;0.8),1,0)</f>
        <v/>
      </c>
      <c r="I450" s="30">
        <f>IF(AND(B450&gt;=8,D450&lt;&gt;"",D450&gt;=0.25,D450&lt;=0.75),1,0)</f>
        <v/>
      </c>
      <c r="J450" s="2" t="n"/>
    </row>
    <row r="451">
      <c r="A451" s="2" t="inlineStr">
        <is>
          <t>IMP00444</t>
        </is>
      </c>
      <c r="B451" s="2" t="n">
        <v>0</v>
      </c>
      <c r="C451" s="19" t="n"/>
      <c r="D451" s="29" t="n"/>
      <c r="E451" s="2" t="n">
        <v>0</v>
      </c>
      <c r="F451" s="2" t="n">
        <v>0</v>
      </c>
      <c r="G451" s="2" t="n">
        <v>0</v>
      </c>
      <c r="H451" s="30">
        <f>IF(AND(B451&gt;=5,C451&lt;&gt;"",C451&lt;0.8),1,0)</f>
        <v/>
      </c>
      <c r="I451" s="30">
        <f>IF(AND(B451&gt;=8,D451&lt;&gt;"",D451&gt;=0.25,D451&lt;=0.75),1,0)</f>
        <v/>
      </c>
      <c r="J451" s="2" t="n"/>
    </row>
    <row r="452">
      <c r="A452" s="2" t="inlineStr">
        <is>
          <t>IMP00445</t>
        </is>
      </c>
      <c r="B452" s="2" t="n">
        <v>85</v>
      </c>
      <c r="C452" s="19" t="n">
        <v>1.063</v>
      </c>
      <c r="D452" s="29" t="n">
        <v>0</v>
      </c>
      <c r="E452" s="2" t="n">
        <v>2</v>
      </c>
      <c r="F452" s="2" t="n">
        <v>0</v>
      </c>
      <c r="G452" s="2" t="n">
        <v>0</v>
      </c>
      <c r="H452" s="30">
        <f>IF(AND(B452&gt;=5,C452&lt;&gt;"",C452&lt;0.8),1,0)</f>
        <v/>
      </c>
      <c r="I452" s="30">
        <f>IF(AND(B452&gt;=8,D452&lt;&gt;"",D452&gt;=0.25,D452&lt;=0.75),1,0)</f>
        <v/>
      </c>
      <c r="J452" s="2" t="n"/>
    </row>
    <row r="453">
      <c r="A453" s="2" t="inlineStr">
        <is>
          <t>IMP00446</t>
        </is>
      </c>
      <c r="B453" s="2" t="n">
        <v>3</v>
      </c>
      <c r="C453" s="19" t="n">
        <v>0.964</v>
      </c>
      <c r="D453" s="29" t="n">
        <v>0</v>
      </c>
      <c r="E453" s="2" t="n">
        <v>2</v>
      </c>
      <c r="F453" s="2" t="n">
        <v>0</v>
      </c>
      <c r="G453" s="2" t="n">
        <v>0</v>
      </c>
      <c r="H453" s="30">
        <f>IF(AND(B453&gt;=5,C453&lt;&gt;"",C453&lt;0.8),1,0)</f>
        <v/>
      </c>
      <c r="I453" s="30">
        <f>IF(AND(B453&gt;=8,D453&lt;&gt;"",D453&gt;=0.25,D453&lt;=0.75),1,0)</f>
        <v/>
      </c>
      <c r="J453" s="2" t="n"/>
    </row>
    <row r="454">
      <c r="A454" s="2" t="inlineStr">
        <is>
          <t>IMP00447</t>
        </is>
      </c>
      <c r="B454" s="2" t="n">
        <v>71</v>
      </c>
      <c r="C454" s="19" t="n">
        <v>0.962</v>
      </c>
      <c r="D454" s="29" t="n">
        <v>0.169</v>
      </c>
      <c r="E454" s="2" t="n">
        <v>1</v>
      </c>
      <c r="F454" s="2" t="n">
        <v>0</v>
      </c>
      <c r="G454" s="2" t="n">
        <v>0</v>
      </c>
      <c r="H454" s="30">
        <f>IF(AND(B454&gt;=5,C454&lt;&gt;"",C454&lt;0.8),1,0)</f>
        <v/>
      </c>
      <c r="I454" s="30">
        <f>IF(AND(B454&gt;=8,D454&lt;&gt;"",D454&gt;=0.25,D454&lt;=0.75),1,0)</f>
        <v/>
      </c>
      <c r="J454" s="2" t="n"/>
    </row>
    <row r="455">
      <c r="A455" s="2" t="inlineStr">
        <is>
          <t>IMP00448</t>
        </is>
      </c>
      <c r="B455" s="2" t="n">
        <v>194</v>
      </c>
      <c r="C455" s="19" t="n">
        <v>0.961</v>
      </c>
      <c r="D455" s="29" t="n">
        <v>0.0361</v>
      </c>
      <c r="E455" s="2" t="n">
        <v>1</v>
      </c>
      <c r="F455" s="2" t="n">
        <v>0</v>
      </c>
      <c r="G455" s="2" t="n">
        <v>0</v>
      </c>
      <c r="H455" s="30">
        <f>IF(AND(B455&gt;=5,C455&lt;&gt;"",C455&lt;0.8),1,0)</f>
        <v/>
      </c>
      <c r="I455" s="30">
        <f>IF(AND(B455&gt;=8,D455&lt;&gt;"",D455&gt;=0.25,D455&lt;=0.75),1,0)</f>
        <v/>
      </c>
      <c r="J455" s="2" t="n"/>
    </row>
    <row r="456">
      <c r="A456" s="2" t="inlineStr">
        <is>
          <t>IMP00449</t>
        </is>
      </c>
      <c r="B456" s="2" t="n">
        <v>5</v>
      </c>
      <c r="C456" s="19" t="n">
        <v>0.865</v>
      </c>
      <c r="D456" s="29" t="n">
        <v>0</v>
      </c>
      <c r="E456" s="2" t="n">
        <v>1</v>
      </c>
      <c r="F456" s="2" t="n">
        <v>0</v>
      </c>
      <c r="G456" s="2" t="n">
        <v>0</v>
      </c>
      <c r="H456" s="30">
        <f>IF(AND(B456&gt;=5,C456&lt;&gt;"",C456&lt;0.8),1,0)</f>
        <v/>
      </c>
      <c r="I456" s="30">
        <f>IF(AND(B456&gt;=8,D456&lt;&gt;"",D456&gt;=0.25,D456&lt;=0.75),1,0)</f>
        <v/>
      </c>
      <c r="J456" s="2" t="n"/>
    </row>
    <row r="457">
      <c r="A457" s="2" t="inlineStr">
        <is>
          <t>IMP00450</t>
        </is>
      </c>
      <c r="B457" s="2" t="n">
        <v>56</v>
      </c>
      <c r="C457" s="19" t="n">
        <v>0.898</v>
      </c>
      <c r="D457" s="29" t="n">
        <v>0</v>
      </c>
      <c r="E457" s="2" t="n">
        <v>1</v>
      </c>
      <c r="F457" s="2" t="n">
        <v>0</v>
      </c>
      <c r="G457" s="2" t="n">
        <v>0</v>
      </c>
      <c r="H457" s="30">
        <f>IF(AND(B457&gt;=5,C457&lt;&gt;"",C457&lt;0.8),1,0)</f>
        <v/>
      </c>
      <c r="I457" s="30">
        <f>IF(AND(B457&gt;=8,D457&lt;&gt;"",D457&gt;=0.25,D457&lt;=0.75),1,0)</f>
        <v/>
      </c>
      <c r="J457" s="2" t="n"/>
    </row>
    <row r="458">
      <c r="A458" s="2" t="inlineStr">
        <is>
          <t>IMP00451</t>
        </is>
      </c>
      <c r="B458" s="2" t="n">
        <v>36</v>
      </c>
      <c r="C458" s="19" t="n">
        <v>1.019</v>
      </c>
      <c r="D458" s="29" t="n">
        <v>0.0833</v>
      </c>
      <c r="E458" s="2" t="n">
        <v>1</v>
      </c>
      <c r="F458" s="2" t="n">
        <v>0</v>
      </c>
      <c r="G458" s="2" t="n">
        <v>0</v>
      </c>
      <c r="H458" s="30">
        <f>IF(AND(B458&gt;=5,C458&lt;&gt;"",C458&lt;0.8),1,0)</f>
        <v/>
      </c>
      <c r="I458" s="30">
        <f>IF(AND(B458&gt;=8,D458&lt;&gt;"",D458&gt;=0.25,D458&lt;=0.75),1,0)</f>
        <v/>
      </c>
      <c r="J458" s="2" t="n"/>
    </row>
    <row r="459">
      <c r="A459" s="2" t="inlineStr">
        <is>
          <t>IMP00452</t>
        </is>
      </c>
      <c r="B459" s="2" t="n">
        <v>32</v>
      </c>
      <c r="C459" s="19" t="n">
        <v>1.03</v>
      </c>
      <c r="D459" s="29" t="n">
        <v>0.0312</v>
      </c>
      <c r="E459" s="2" t="n">
        <v>2</v>
      </c>
      <c r="F459" s="2" t="n">
        <v>0</v>
      </c>
      <c r="G459" s="2" t="n">
        <v>0</v>
      </c>
      <c r="H459" s="30">
        <f>IF(AND(B459&gt;=5,C459&lt;&gt;"",C459&lt;0.8),1,0)</f>
        <v/>
      </c>
      <c r="I459" s="30">
        <f>IF(AND(B459&gt;=8,D459&lt;&gt;"",D459&gt;=0.25,D459&lt;=0.75),1,0)</f>
        <v/>
      </c>
      <c r="J459" s="2" t="n"/>
    </row>
    <row r="460">
      <c r="A460" s="2" t="inlineStr">
        <is>
          <t>IMP00453</t>
        </is>
      </c>
      <c r="B460" s="2" t="n">
        <v>117</v>
      </c>
      <c r="C460" s="19" t="n">
        <v>0.786</v>
      </c>
      <c r="D460" s="29" t="n">
        <v>0.4444</v>
      </c>
      <c r="E460" s="2" t="n">
        <v>1</v>
      </c>
      <c r="F460" s="2" t="n">
        <v>1</v>
      </c>
      <c r="G460" s="2" t="n">
        <v>1</v>
      </c>
      <c r="H460" s="30">
        <f>IF(AND(B460&gt;=5,C460&lt;&gt;"",C460&lt;0.8),1,0)</f>
        <v/>
      </c>
      <c r="I460" s="30">
        <f>IF(AND(B460&gt;=8,D460&lt;&gt;"",D460&gt;=0.25,D460&lt;=0.75),1,0)</f>
        <v/>
      </c>
      <c r="J460" s="2" t="n"/>
    </row>
    <row r="461">
      <c r="A461" s="2" t="inlineStr">
        <is>
          <t>IMP00454</t>
        </is>
      </c>
      <c r="B461" s="2" t="n">
        <v>90</v>
      </c>
      <c r="C461" s="19" t="n">
        <v>0.9155</v>
      </c>
      <c r="D461" s="29" t="n">
        <v>0.0667</v>
      </c>
      <c r="E461" s="2" t="n">
        <v>1</v>
      </c>
      <c r="F461" s="2" t="n">
        <v>0</v>
      </c>
      <c r="G461" s="2" t="n">
        <v>0</v>
      </c>
      <c r="H461" s="30">
        <f>IF(AND(B461&gt;=5,C461&lt;&gt;"",C461&lt;0.8),1,0)</f>
        <v/>
      </c>
      <c r="I461" s="30">
        <f>IF(AND(B461&gt;=8,D461&lt;&gt;"",D461&gt;=0.25,D461&lt;=0.75),1,0)</f>
        <v/>
      </c>
      <c r="J461" s="2" t="n"/>
    </row>
    <row r="462">
      <c r="A462" s="2" t="inlineStr">
        <is>
          <t>IMP00455</t>
        </is>
      </c>
      <c r="B462" s="2" t="n">
        <v>32</v>
      </c>
      <c r="C462" s="19" t="n">
        <v>1.0305</v>
      </c>
      <c r="D462" s="29" t="n">
        <v>0.0625</v>
      </c>
      <c r="E462" s="2" t="n">
        <v>1</v>
      </c>
      <c r="F462" s="2" t="n">
        <v>0</v>
      </c>
      <c r="G462" s="2" t="n">
        <v>0</v>
      </c>
      <c r="H462" s="30">
        <f>IF(AND(B462&gt;=5,C462&lt;&gt;"",C462&lt;0.8),1,0)</f>
        <v/>
      </c>
      <c r="I462" s="30">
        <f>IF(AND(B462&gt;=8,D462&lt;&gt;"",D462&gt;=0.25,D462&lt;=0.75),1,0)</f>
        <v/>
      </c>
      <c r="J462" s="2" t="n"/>
    </row>
    <row r="463">
      <c r="A463" s="2" t="inlineStr">
        <is>
          <t>IMP00456</t>
        </is>
      </c>
      <c r="B463" s="2" t="n">
        <v>0</v>
      </c>
      <c r="C463" s="19" t="n"/>
      <c r="D463" s="29" t="n"/>
      <c r="E463" s="2" t="n">
        <v>0</v>
      </c>
      <c r="F463" s="2" t="n">
        <v>0</v>
      </c>
      <c r="G463" s="2" t="n">
        <v>0</v>
      </c>
      <c r="H463" s="30">
        <f>IF(AND(B463&gt;=5,C463&lt;&gt;"",C463&lt;0.8),1,0)</f>
        <v/>
      </c>
      <c r="I463" s="30">
        <f>IF(AND(B463&gt;=8,D463&lt;&gt;"",D463&gt;=0.25,D463&lt;=0.75),1,0)</f>
        <v/>
      </c>
      <c r="J463" s="2" t="n"/>
    </row>
    <row r="464">
      <c r="A464" s="2" t="inlineStr">
        <is>
          <t>IMP00457</t>
        </is>
      </c>
      <c r="B464" s="2" t="n">
        <v>91</v>
      </c>
      <c r="C464" s="19" t="n">
        <v>0.984</v>
      </c>
      <c r="D464" s="29" t="n">
        <v>0.0769</v>
      </c>
      <c r="E464" s="2" t="n">
        <v>1</v>
      </c>
      <c r="F464" s="2" t="n">
        <v>0</v>
      </c>
      <c r="G464" s="2" t="n">
        <v>0</v>
      </c>
      <c r="H464" s="30">
        <f>IF(AND(B464&gt;=5,C464&lt;&gt;"",C464&lt;0.8),1,0)</f>
        <v/>
      </c>
      <c r="I464" s="30">
        <f>IF(AND(B464&gt;=8,D464&lt;&gt;"",D464&gt;=0.25,D464&lt;=0.75),1,0)</f>
        <v/>
      </c>
      <c r="J464" s="2" t="n"/>
    </row>
    <row r="465">
      <c r="A465" s="2" t="inlineStr">
        <is>
          <t>IMP00458</t>
        </is>
      </c>
      <c r="B465" s="2" t="n">
        <v>1</v>
      </c>
      <c r="C465" s="19" t="n">
        <v>0.853</v>
      </c>
      <c r="D465" s="29" t="n">
        <v>0</v>
      </c>
      <c r="E465" s="2" t="n">
        <v>1</v>
      </c>
      <c r="F465" s="2" t="n">
        <v>0</v>
      </c>
      <c r="G465" s="2" t="n">
        <v>0</v>
      </c>
      <c r="H465" s="30">
        <f>IF(AND(B465&gt;=5,C465&lt;&gt;"",C465&lt;0.8),1,0)</f>
        <v/>
      </c>
      <c r="I465" s="30">
        <f>IF(AND(B465&gt;=8,D465&lt;&gt;"",D465&gt;=0.25,D465&lt;=0.75),1,0)</f>
        <v/>
      </c>
      <c r="J465" s="2" t="n"/>
    </row>
    <row r="466">
      <c r="A466" s="2" t="inlineStr">
        <is>
          <t>IMP00459</t>
        </is>
      </c>
      <c r="B466" s="2" t="n">
        <v>60</v>
      </c>
      <c r="C466" s="19" t="n">
        <v>1.0485</v>
      </c>
      <c r="D466" s="29" t="n">
        <v>0.0667</v>
      </c>
      <c r="E466" s="2" t="n">
        <v>1</v>
      </c>
      <c r="F466" s="2" t="n">
        <v>0</v>
      </c>
      <c r="G466" s="2" t="n">
        <v>0</v>
      </c>
      <c r="H466" s="30">
        <f>IF(AND(B466&gt;=5,C466&lt;&gt;"",C466&lt;0.8),1,0)</f>
        <v/>
      </c>
      <c r="I466" s="30">
        <f>IF(AND(B466&gt;=8,D466&lt;&gt;"",D466&gt;=0.25,D466&lt;=0.75),1,0)</f>
        <v/>
      </c>
      <c r="J466" s="2" t="n"/>
    </row>
    <row r="467">
      <c r="A467" s="2" t="inlineStr">
        <is>
          <t>IMP00460</t>
        </is>
      </c>
      <c r="B467" s="2" t="n">
        <v>340</v>
      </c>
      <c r="C467" s="19" t="n">
        <v>0.9815</v>
      </c>
      <c r="D467" s="29" t="n">
        <v>0.0471</v>
      </c>
      <c r="E467" s="2" t="n">
        <v>1</v>
      </c>
      <c r="F467" s="2" t="n">
        <v>0</v>
      </c>
      <c r="G467" s="2" t="n">
        <v>0</v>
      </c>
      <c r="H467" s="30">
        <f>IF(AND(B467&gt;=5,C467&lt;&gt;"",C467&lt;0.8),1,0)</f>
        <v/>
      </c>
      <c r="I467" s="30">
        <f>IF(AND(B467&gt;=8,D467&lt;&gt;"",D467&gt;=0.25,D467&lt;=0.75),1,0)</f>
        <v/>
      </c>
      <c r="J467" s="2" t="n"/>
    </row>
    <row r="468">
      <c r="A468" s="2" t="inlineStr">
        <is>
          <t>IMP00461</t>
        </is>
      </c>
      <c r="B468" s="2" t="n">
        <v>6</v>
      </c>
      <c r="C468" s="19" t="n">
        <v>0.8875</v>
      </c>
      <c r="D468" s="29" t="n">
        <v>0.1667</v>
      </c>
      <c r="E468" s="2" t="n">
        <v>1</v>
      </c>
      <c r="F468" s="2" t="n">
        <v>0</v>
      </c>
      <c r="G468" s="2" t="n">
        <v>0</v>
      </c>
      <c r="H468" s="30">
        <f>IF(AND(B468&gt;=5,C468&lt;&gt;"",C468&lt;0.8),1,0)</f>
        <v/>
      </c>
      <c r="I468" s="30">
        <f>IF(AND(B468&gt;=8,D468&lt;&gt;"",D468&gt;=0.25,D468&lt;=0.75),1,0)</f>
        <v/>
      </c>
      <c r="J468" s="2" t="n"/>
    </row>
    <row r="469">
      <c r="A469" s="2" t="inlineStr">
        <is>
          <t>IMP00462</t>
        </is>
      </c>
      <c r="B469" s="2" t="n">
        <v>8</v>
      </c>
      <c r="C469" s="19" t="n">
        <v>1.126</v>
      </c>
      <c r="D469" s="29" t="n">
        <v>0</v>
      </c>
      <c r="E469" s="2" t="n">
        <v>1</v>
      </c>
      <c r="F469" s="2" t="n">
        <v>0</v>
      </c>
      <c r="G469" s="2" t="n">
        <v>0</v>
      </c>
      <c r="H469" s="30">
        <f>IF(AND(B469&gt;=5,C469&lt;&gt;"",C469&lt;0.8),1,0)</f>
        <v/>
      </c>
      <c r="I469" s="30">
        <f>IF(AND(B469&gt;=8,D469&lt;&gt;"",D469&gt;=0.25,D469&lt;=0.75),1,0)</f>
        <v/>
      </c>
      <c r="J469" s="2" t="n"/>
    </row>
    <row r="470">
      <c r="A470" s="2" t="inlineStr">
        <is>
          <t>IMP00463</t>
        </is>
      </c>
      <c r="B470" s="2" t="n">
        <v>29</v>
      </c>
      <c r="C470" s="19" t="n">
        <v>1.135</v>
      </c>
      <c r="D470" s="29" t="n">
        <v>0</v>
      </c>
      <c r="E470" s="2" t="n">
        <v>2</v>
      </c>
      <c r="F470" s="2" t="n">
        <v>0</v>
      </c>
      <c r="G470" s="2" t="n">
        <v>0</v>
      </c>
      <c r="H470" s="30">
        <f>IF(AND(B470&gt;=5,C470&lt;&gt;"",C470&lt;0.8),1,0)</f>
        <v/>
      </c>
      <c r="I470" s="30">
        <f>IF(AND(B470&gt;=8,D470&lt;&gt;"",D470&gt;=0.25,D470&lt;=0.75),1,0)</f>
        <v/>
      </c>
      <c r="J470" s="2" t="n"/>
    </row>
    <row r="471">
      <c r="A471" s="2" t="inlineStr">
        <is>
          <t>IMP00464</t>
        </is>
      </c>
      <c r="B471" s="2" t="n">
        <v>97</v>
      </c>
      <c r="C471" s="19" t="n">
        <v>1.043</v>
      </c>
      <c r="D471" s="29" t="n">
        <v>0.1031</v>
      </c>
      <c r="E471" s="2" t="n">
        <v>9</v>
      </c>
      <c r="F471" s="2" t="n">
        <v>0</v>
      </c>
      <c r="G471" s="2" t="n">
        <v>0</v>
      </c>
      <c r="H471" s="30">
        <f>IF(AND(B471&gt;=5,C471&lt;&gt;"",C471&lt;0.8),1,0)</f>
        <v/>
      </c>
      <c r="I471" s="30">
        <f>IF(AND(B471&gt;=8,D471&lt;&gt;"",D471&gt;=0.25,D471&lt;=0.75),1,0)</f>
        <v/>
      </c>
      <c r="J471" s="2" t="n"/>
    </row>
    <row r="472">
      <c r="A472" s="2" t="inlineStr">
        <is>
          <t>IMP00465</t>
        </is>
      </c>
      <c r="B472" s="2" t="n">
        <v>16</v>
      </c>
      <c r="C472" s="19" t="n">
        <v>0.863</v>
      </c>
      <c r="D472" s="29" t="n">
        <v>0.3125</v>
      </c>
      <c r="E472" s="2" t="n">
        <v>2</v>
      </c>
      <c r="F472" s="2" t="n">
        <v>0</v>
      </c>
      <c r="G472" s="2" t="n">
        <v>1</v>
      </c>
      <c r="H472" s="30">
        <f>IF(AND(B472&gt;=5,C472&lt;&gt;"",C472&lt;0.8),1,0)</f>
        <v/>
      </c>
      <c r="I472" s="30">
        <f>IF(AND(B472&gt;=8,D472&lt;&gt;"",D472&gt;=0.25,D472&lt;=0.75),1,0)</f>
        <v/>
      </c>
      <c r="J472" s="2" t="n"/>
    </row>
    <row r="473">
      <c r="A473" s="2" t="inlineStr">
        <is>
          <t>IMP00466</t>
        </is>
      </c>
      <c r="B473" s="2" t="n">
        <v>7</v>
      </c>
      <c r="C473" s="19" t="n">
        <v>0.826</v>
      </c>
      <c r="D473" s="29" t="n">
        <v>0.4286</v>
      </c>
      <c r="E473" s="2" t="n">
        <v>1</v>
      </c>
      <c r="F473" s="2" t="n">
        <v>0</v>
      </c>
      <c r="G473" s="2" t="n">
        <v>0</v>
      </c>
      <c r="H473" s="30">
        <f>IF(AND(B473&gt;=5,C473&lt;&gt;"",C473&lt;0.8),1,0)</f>
        <v/>
      </c>
      <c r="I473" s="30">
        <f>IF(AND(B473&gt;=8,D473&lt;&gt;"",D473&gt;=0.25,D473&lt;=0.75),1,0)</f>
        <v/>
      </c>
      <c r="J473" s="2" t="n"/>
    </row>
    <row r="474">
      <c r="A474" s="2" t="inlineStr">
        <is>
          <t>IMP00467</t>
        </is>
      </c>
      <c r="B474" s="2" t="n">
        <v>99</v>
      </c>
      <c r="C474" s="19" t="n">
        <v>1.019</v>
      </c>
      <c r="D474" s="29" t="n">
        <v>0.0202</v>
      </c>
      <c r="E474" s="2" t="n">
        <v>1</v>
      </c>
      <c r="F474" s="2" t="n">
        <v>0</v>
      </c>
      <c r="G474" s="2" t="n">
        <v>0</v>
      </c>
      <c r="H474" s="30">
        <f>IF(AND(B474&gt;=5,C474&lt;&gt;"",C474&lt;0.8),1,0)</f>
        <v/>
      </c>
      <c r="I474" s="30">
        <f>IF(AND(B474&gt;=8,D474&lt;&gt;"",D474&gt;=0.25,D474&lt;=0.75),1,0)</f>
        <v/>
      </c>
      <c r="J474" s="2" t="n"/>
    </row>
    <row r="475">
      <c r="A475" s="2" t="inlineStr">
        <is>
          <t>IMP00468</t>
        </is>
      </c>
      <c r="B475" s="2" t="n">
        <v>3</v>
      </c>
      <c r="C475" s="19" t="n">
        <v>1.369</v>
      </c>
      <c r="D475" s="29" t="n">
        <v>0</v>
      </c>
      <c r="E475" s="2" t="n">
        <v>1</v>
      </c>
      <c r="F475" s="2" t="n">
        <v>0</v>
      </c>
      <c r="G475" s="2" t="n">
        <v>0</v>
      </c>
      <c r="H475" s="30">
        <f>IF(AND(B475&gt;=5,C475&lt;&gt;"",C475&lt;0.8),1,0)</f>
        <v/>
      </c>
      <c r="I475" s="30">
        <f>IF(AND(B475&gt;=8,D475&lt;&gt;"",D475&gt;=0.25,D475&lt;=0.75),1,0)</f>
        <v/>
      </c>
      <c r="J475" s="2" t="n"/>
    </row>
    <row r="476">
      <c r="A476" s="2" t="inlineStr">
        <is>
          <t>IMP00469</t>
        </is>
      </c>
      <c r="B476" s="2" t="n">
        <v>42</v>
      </c>
      <c r="C476" s="19" t="n">
        <v>1.042</v>
      </c>
      <c r="D476" s="29" t="n">
        <v>0</v>
      </c>
      <c r="E476" s="2" t="n">
        <v>1</v>
      </c>
      <c r="F476" s="2" t="n">
        <v>0</v>
      </c>
      <c r="G476" s="2" t="n">
        <v>0</v>
      </c>
      <c r="H476" s="30">
        <f>IF(AND(B476&gt;=5,C476&lt;&gt;"",C476&lt;0.8),1,0)</f>
        <v/>
      </c>
      <c r="I476" s="30">
        <f>IF(AND(B476&gt;=8,D476&lt;&gt;"",D476&gt;=0.25,D476&lt;=0.75),1,0)</f>
        <v/>
      </c>
      <c r="J476" s="2" t="n"/>
    </row>
    <row r="477">
      <c r="A477" s="2" t="inlineStr">
        <is>
          <t>IMP00470</t>
        </is>
      </c>
      <c r="B477" s="2" t="n">
        <v>11</v>
      </c>
      <c r="C477" s="19" t="n">
        <v>1.064</v>
      </c>
      <c r="D477" s="29" t="n">
        <v>0.2727</v>
      </c>
      <c r="E477" s="2" t="n">
        <v>1</v>
      </c>
      <c r="F477" s="2" t="n">
        <v>0</v>
      </c>
      <c r="G477" s="2" t="n">
        <v>1</v>
      </c>
      <c r="H477" s="30">
        <f>IF(AND(B477&gt;=5,C477&lt;&gt;"",C477&lt;0.8),1,0)</f>
        <v/>
      </c>
      <c r="I477" s="30">
        <f>IF(AND(B477&gt;=8,D477&lt;&gt;"",D477&gt;=0.25,D477&lt;=0.75),1,0)</f>
        <v/>
      </c>
      <c r="J477" s="2" t="n"/>
    </row>
    <row r="478">
      <c r="A478" s="2" t="inlineStr">
        <is>
          <t>IMP00471</t>
        </is>
      </c>
      <c r="B478" s="2" t="n">
        <v>144</v>
      </c>
      <c r="C478" s="19" t="n">
        <v>0.9115</v>
      </c>
      <c r="D478" s="29" t="n">
        <v>0.09030000000000001</v>
      </c>
      <c r="E478" s="2" t="n">
        <v>3</v>
      </c>
      <c r="F478" s="2" t="n">
        <v>0</v>
      </c>
      <c r="G478" s="2" t="n">
        <v>0</v>
      </c>
      <c r="H478" s="30">
        <f>IF(AND(B478&gt;=5,C478&lt;&gt;"",C478&lt;0.8),1,0)</f>
        <v/>
      </c>
      <c r="I478" s="30">
        <f>IF(AND(B478&gt;=8,D478&lt;&gt;"",D478&gt;=0.25,D478&lt;=0.75),1,0)</f>
        <v/>
      </c>
      <c r="J478" s="2" t="n"/>
    </row>
    <row r="479">
      <c r="A479" s="2" t="inlineStr">
        <is>
          <t>IMP00472</t>
        </is>
      </c>
      <c r="B479" s="2" t="n">
        <v>19</v>
      </c>
      <c r="C479" s="19" t="n">
        <v>1.375</v>
      </c>
      <c r="D479" s="29" t="n">
        <v>0.2105</v>
      </c>
      <c r="E479" s="2" t="n">
        <v>1</v>
      </c>
      <c r="F479" s="2" t="n">
        <v>0</v>
      </c>
      <c r="G479" s="2" t="n">
        <v>0</v>
      </c>
      <c r="H479" s="30">
        <f>IF(AND(B479&gt;=5,C479&lt;&gt;"",C479&lt;0.8),1,0)</f>
        <v/>
      </c>
      <c r="I479" s="30">
        <f>IF(AND(B479&gt;=8,D479&lt;&gt;"",D479&gt;=0.25,D479&lt;=0.75),1,0)</f>
        <v/>
      </c>
      <c r="J479" s="2" t="n"/>
    </row>
    <row r="480">
      <c r="A480" s="2" t="inlineStr">
        <is>
          <t>IMP00473</t>
        </is>
      </c>
      <c r="B480" s="2" t="n">
        <v>10</v>
      </c>
      <c r="C480" s="19" t="n">
        <v>0.823</v>
      </c>
      <c r="D480" s="29" t="n">
        <v>0.4</v>
      </c>
      <c r="E480" s="2" t="n">
        <v>2</v>
      </c>
      <c r="F480" s="2" t="n">
        <v>0</v>
      </c>
      <c r="G480" s="2" t="n">
        <v>1</v>
      </c>
      <c r="H480" s="30">
        <f>IF(AND(B480&gt;=5,C480&lt;&gt;"",C480&lt;0.8),1,0)</f>
        <v/>
      </c>
      <c r="I480" s="30">
        <f>IF(AND(B480&gt;=8,D480&lt;&gt;"",D480&gt;=0.25,D480&lt;=0.75),1,0)</f>
        <v/>
      </c>
      <c r="J480" s="2" t="n"/>
    </row>
    <row r="481">
      <c r="A481" s="2" t="inlineStr">
        <is>
          <t>IMP00474</t>
        </is>
      </c>
      <c r="B481" s="2" t="n">
        <v>126</v>
      </c>
      <c r="C481" s="19" t="n">
        <v>1.157</v>
      </c>
      <c r="D481" s="29" t="n">
        <v>0</v>
      </c>
      <c r="E481" s="2" t="n">
        <v>2</v>
      </c>
      <c r="F481" s="2" t="n">
        <v>0</v>
      </c>
      <c r="G481" s="2" t="n">
        <v>0</v>
      </c>
      <c r="H481" s="30">
        <f>IF(AND(B481&gt;=5,C481&lt;&gt;"",C481&lt;0.8),1,0)</f>
        <v/>
      </c>
      <c r="I481" s="30">
        <f>IF(AND(B481&gt;=8,D481&lt;&gt;"",D481&gt;=0.25,D481&lt;=0.75),1,0)</f>
        <v/>
      </c>
      <c r="J481" s="2" t="n"/>
    </row>
    <row r="482">
      <c r="A482" s="2" t="inlineStr">
        <is>
          <t>IMP00475</t>
        </is>
      </c>
      <c r="B482" s="2" t="n">
        <v>4</v>
      </c>
      <c r="C482" s="19" t="n">
        <v>0.9885</v>
      </c>
      <c r="D482" s="29" t="n">
        <v>0</v>
      </c>
      <c r="E482" s="2" t="n">
        <v>1</v>
      </c>
      <c r="F482" s="2" t="n">
        <v>0</v>
      </c>
      <c r="G482" s="2" t="n">
        <v>0</v>
      </c>
      <c r="H482" s="30">
        <f>IF(AND(B482&gt;=5,C482&lt;&gt;"",C482&lt;0.8),1,0)</f>
        <v/>
      </c>
      <c r="I482" s="30">
        <f>IF(AND(B482&gt;=8,D482&lt;&gt;"",D482&gt;=0.25,D482&lt;=0.75),1,0)</f>
        <v/>
      </c>
      <c r="J482" s="2" t="n"/>
    </row>
    <row r="483">
      <c r="A483" s="2" t="inlineStr">
        <is>
          <t>IMP00476</t>
        </is>
      </c>
      <c r="B483" s="2" t="n">
        <v>3</v>
      </c>
      <c r="C483" s="19" t="n">
        <v>1.301</v>
      </c>
      <c r="D483" s="29" t="n">
        <v>0</v>
      </c>
      <c r="E483" s="2" t="n">
        <v>1</v>
      </c>
      <c r="F483" s="2" t="n">
        <v>0</v>
      </c>
      <c r="G483" s="2" t="n">
        <v>0</v>
      </c>
      <c r="H483" s="30">
        <f>IF(AND(B483&gt;=5,C483&lt;&gt;"",C483&lt;0.8),1,0)</f>
        <v/>
      </c>
      <c r="I483" s="30">
        <f>IF(AND(B483&gt;=8,D483&lt;&gt;"",D483&gt;=0.25,D483&lt;=0.75),1,0)</f>
        <v/>
      </c>
      <c r="J483" s="2" t="n"/>
    </row>
    <row r="484">
      <c r="A484" s="2" t="inlineStr">
        <is>
          <t>IMP00477</t>
        </is>
      </c>
      <c r="B484" s="2" t="n">
        <v>49</v>
      </c>
      <c r="C484" s="19" t="n">
        <v>0.8120000000000001</v>
      </c>
      <c r="D484" s="29" t="n">
        <v>0.2245</v>
      </c>
      <c r="E484" s="2" t="n">
        <v>1</v>
      </c>
      <c r="F484" s="2" t="n">
        <v>0</v>
      </c>
      <c r="G484" s="2" t="n">
        <v>0</v>
      </c>
      <c r="H484" s="30">
        <f>IF(AND(B484&gt;=5,C484&lt;&gt;"",C484&lt;0.8),1,0)</f>
        <v/>
      </c>
      <c r="I484" s="30">
        <f>IF(AND(B484&gt;=8,D484&lt;&gt;"",D484&gt;=0.25,D484&lt;=0.75),1,0)</f>
        <v/>
      </c>
      <c r="J484" s="2" t="n"/>
    </row>
    <row r="485">
      <c r="A485" s="2" t="inlineStr">
        <is>
          <t>IMP00478</t>
        </is>
      </c>
      <c r="B485" s="2" t="n">
        <v>17</v>
      </c>
      <c r="C485" s="19" t="n">
        <v>0.822</v>
      </c>
      <c r="D485" s="29" t="n">
        <v>0.4706</v>
      </c>
      <c r="E485" s="2" t="n">
        <v>2</v>
      </c>
      <c r="F485" s="2" t="n">
        <v>0</v>
      </c>
      <c r="G485" s="2" t="n">
        <v>1</v>
      </c>
      <c r="H485" s="30">
        <f>IF(AND(B485&gt;=5,C485&lt;&gt;"",C485&lt;0.8),1,0)</f>
        <v/>
      </c>
      <c r="I485" s="30">
        <f>IF(AND(B485&gt;=8,D485&lt;&gt;"",D485&gt;=0.25,D485&lt;=0.75),1,0)</f>
        <v/>
      </c>
      <c r="J485" s="2" t="n"/>
    </row>
    <row r="486">
      <c r="A486" s="2" t="inlineStr">
        <is>
          <t>IMP00479</t>
        </is>
      </c>
      <c r="B486" s="2" t="n">
        <v>50</v>
      </c>
      <c r="C486" s="19" t="n">
        <v>1.2955</v>
      </c>
      <c r="D486" s="29" t="n">
        <v>0</v>
      </c>
      <c r="E486" s="2" t="n">
        <v>1</v>
      </c>
      <c r="F486" s="2" t="n">
        <v>0</v>
      </c>
      <c r="G486" s="2" t="n">
        <v>0</v>
      </c>
      <c r="H486" s="30">
        <f>IF(AND(B486&gt;=5,C486&lt;&gt;"",C486&lt;0.8),1,0)</f>
        <v/>
      </c>
      <c r="I486" s="30">
        <f>IF(AND(B486&gt;=8,D486&lt;&gt;"",D486&gt;=0.25,D486&lt;=0.75),1,0)</f>
        <v/>
      </c>
      <c r="J486" s="2" t="n"/>
    </row>
    <row r="487">
      <c r="A487" s="2" t="inlineStr">
        <is>
          <t>IMP00480</t>
        </is>
      </c>
      <c r="B487" s="2" t="n">
        <v>34</v>
      </c>
      <c r="C487" s="19" t="n">
        <v>1.0615</v>
      </c>
      <c r="D487" s="29" t="n">
        <v>0.0882</v>
      </c>
      <c r="E487" s="2" t="n">
        <v>1</v>
      </c>
      <c r="F487" s="2" t="n">
        <v>0</v>
      </c>
      <c r="G487" s="2" t="n">
        <v>0</v>
      </c>
      <c r="H487" s="30">
        <f>IF(AND(B487&gt;=5,C487&lt;&gt;"",C487&lt;0.8),1,0)</f>
        <v/>
      </c>
      <c r="I487" s="30">
        <f>IF(AND(B487&gt;=8,D487&lt;&gt;"",D487&gt;=0.25,D487&lt;=0.75),1,0)</f>
        <v/>
      </c>
      <c r="J487" s="2" t="n"/>
    </row>
    <row r="488">
      <c r="A488" s="2" t="inlineStr">
        <is>
          <t>IMP00481</t>
        </is>
      </c>
      <c r="B488" s="2" t="n">
        <v>716</v>
      </c>
      <c r="C488" s="19" t="n">
        <v>1.0115</v>
      </c>
      <c r="D488" s="29" t="n">
        <v>0.0042</v>
      </c>
      <c r="E488" s="2" t="n">
        <v>1</v>
      </c>
      <c r="F488" s="2" t="n">
        <v>0</v>
      </c>
      <c r="G488" s="2" t="n">
        <v>0</v>
      </c>
      <c r="H488" s="30">
        <f>IF(AND(B488&gt;=5,C488&lt;&gt;"",C488&lt;0.8),1,0)</f>
        <v/>
      </c>
      <c r="I488" s="30">
        <f>IF(AND(B488&gt;=8,D488&lt;&gt;"",D488&gt;=0.25,D488&lt;=0.75),1,0)</f>
        <v/>
      </c>
      <c r="J488" s="2" t="n"/>
    </row>
    <row r="489">
      <c r="A489" s="2" t="inlineStr">
        <is>
          <t>IMP00482</t>
        </is>
      </c>
      <c r="B489" s="2" t="n">
        <v>1</v>
      </c>
      <c r="C489" s="19" t="n">
        <v>0.775</v>
      </c>
      <c r="D489" s="29" t="n">
        <v>0</v>
      </c>
      <c r="E489" s="2" t="n">
        <v>2</v>
      </c>
      <c r="F489" s="2" t="n">
        <v>0</v>
      </c>
      <c r="G489" s="2" t="n">
        <v>0</v>
      </c>
      <c r="H489" s="30">
        <f>IF(AND(B489&gt;=5,C489&lt;&gt;"",C489&lt;0.8),1,0)</f>
        <v/>
      </c>
      <c r="I489" s="30">
        <f>IF(AND(B489&gt;=8,D489&lt;&gt;"",D489&gt;=0.25,D489&lt;=0.75),1,0)</f>
        <v/>
      </c>
      <c r="J489" s="2" t="n"/>
    </row>
    <row r="490">
      <c r="A490" s="2" t="inlineStr">
        <is>
          <t>IMP00483</t>
        </is>
      </c>
      <c r="B490" s="2" t="n">
        <v>0</v>
      </c>
      <c r="C490" s="19" t="n"/>
      <c r="D490" s="29" t="n"/>
      <c r="E490" s="2" t="n">
        <v>0</v>
      </c>
      <c r="F490" s="2" t="n">
        <v>0</v>
      </c>
      <c r="G490" s="2" t="n">
        <v>0</v>
      </c>
      <c r="H490" s="30">
        <f>IF(AND(B490&gt;=5,C490&lt;&gt;"",C490&lt;0.8),1,0)</f>
        <v/>
      </c>
      <c r="I490" s="30">
        <f>IF(AND(B490&gt;=8,D490&lt;&gt;"",D490&gt;=0.25,D490&lt;=0.75),1,0)</f>
        <v/>
      </c>
      <c r="J490" s="2" t="n"/>
    </row>
    <row r="491">
      <c r="A491" s="2" t="inlineStr">
        <is>
          <t>IMP00484</t>
        </is>
      </c>
      <c r="B491" s="2" t="n">
        <v>1</v>
      </c>
      <c r="C491" s="19" t="n">
        <v>1.022</v>
      </c>
      <c r="D491" s="29" t="n">
        <v>0</v>
      </c>
      <c r="E491" s="2" t="n">
        <v>2</v>
      </c>
      <c r="F491" s="2" t="n">
        <v>0</v>
      </c>
      <c r="G491" s="2" t="n">
        <v>0</v>
      </c>
      <c r="H491" s="30">
        <f>IF(AND(B491&gt;=5,C491&lt;&gt;"",C491&lt;0.8),1,0)</f>
        <v/>
      </c>
      <c r="I491" s="30">
        <f>IF(AND(B491&gt;=8,D491&lt;&gt;"",D491&gt;=0.25,D491&lt;=0.75),1,0)</f>
        <v/>
      </c>
      <c r="J491" s="2" t="n"/>
    </row>
    <row r="492">
      <c r="A492" s="2" t="inlineStr">
        <is>
          <t>IMP00485</t>
        </is>
      </c>
      <c r="B492" s="2" t="n">
        <v>25</v>
      </c>
      <c r="C492" s="19" t="n">
        <v>0.922</v>
      </c>
      <c r="D492" s="29" t="n">
        <v>0.12</v>
      </c>
      <c r="E492" s="2" t="n">
        <v>1</v>
      </c>
      <c r="F492" s="2" t="n">
        <v>0</v>
      </c>
      <c r="G492" s="2" t="n">
        <v>0</v>
      </c>
      <c r="H492" s="30">
        <f>IF(AND(B492&gt;=5,C492&lt;&gt;"",C492&lt;0.8),1,0)</f>
        <v/>
      </c>
      <c r="I492" s="30">
        <f>IF(AND(B492&gt;=8,D492&lt;&gt;"",D492&gt;=0.25,D492&lt;=0.75),1,0)</f>
        <v/>
      </c>
      <c r="J492" s="2" t="n"/>
    </row>
    <row r="493">
      <c r="A493" s="2" t="inlineStr">
        <is>
          <t>IMP00486</t>
        </is>
      </c>
      <c r="B493" s="2" t="n">
        <v>97</v>
      </c>
      <c r="C493" s="19" t="n">
        <v>1.016</v>
      </c>
      <c r="D493" s="29" t="n">
        <v>0.0103</v>
      </c>
      <c r="E493" s="2" t="n">
        <v>1</v>
      </c>
      <c r="F493" s="2" t="n">
        <v>0</v>
      </c>
      <c r="G493" s="2" t="n">
        <v>0</v>
      </c>
      <c r="H493" s="30">
        <f>IF(AND(B493&gt;=5,C493&lt;&gt;"",C493&lt;0.8),1,0)</f>
        <v/>
      </c>
      <c r="I493" s="30">
        <f>IF(AND(B493&gt;=8,D493&lt;&gt;"",D493&gt;=0.25,D493&lt;=0.75),1,0)</f>
        <v/>
      </c>
      <c r="J493" s="2" t="n"/>
    </row>
    <row r="494">
      <c r="A494" s="2" t="inlineStr">
        <is>
          <t>IMP00487</t>
        </is>
      </c>
      <c r="B494" s="2" t="n">
        <v>24</v>
      </c>
      <c r="C494" s="19" t="n">
        <v>0.9705</v>
      </c>
      <c r="D494" s="29" t="n">
        <v>0</v>
      </c>
      <c r="E494" s="2" t="n">
        <v>13</v>
      </c>
      <c r="F494" s="2" t="n">
        <v>0</v>
      </c>
      <c r="G494" s="2" t="n">
        <v>0</v>
      </c>
      <c r="H494" s="30">
        <f>IF(AND(B494&gt;=5,C494&lt;&gt;"",C494&lt;0.8),1,0)</f>
        <v/>
      </c>
      <c r="I494" s="30">
        <f>IF(AND(B494&gt;=8,D494&lt;&gt;"",D494&gt;=0.25,D494&lt;=0.75),1,0)</f>
        <v/>
      </c>
      <c r="J494" s="2" t="n"/>
    </row>
    <row r="495">
      <c r="A495" s="2" t="inlineStr">
        <is>
          <t>IMP00488</t>
        </is>
      </c>
      <c r="B495" s="2" t="n">
        <v>4</v>
      </c>
      <c r="C495" s="19" t="n">
        <v>1.044</v>
      </c>
      <c r="D495" s="29" t="n">
        <v>0</v>
      </c>
      <c r="E495" s="2" t="n">
        <v>1</v>
      </c>
      <c r="F495" s="2" t="n">
        <v>0</v>
      </c>
      <c r="G495" s="2" t="n">
        <v>0</v>
      </c>
      <c r="H495" s="30">
        <f>IF(AND(B495&gt;=5,C495&lt;&gt;"",C495&lt;0.8),1,0)</f>
        <v/>
      </c>
      <c r="I495" s="30">
        <f>IF(AND(B495&gt;=8,D495&lt;&gt;"",D495&gt;=0.25,D495&lt;=0.75),1,0)</f>
        <v/>
      </c>
      <c r="J495" s="2" t="n"/>
    </row>
    <row r="496">
      <c r="A496" s="2" t="inlineStr">
        <is>
          <t>IMP00489</t>
        </is>
      </c>
      <c r="B496" s="2" t="n">
        <v>8</v>
      </c>
      <c r="C496" s="19" t="n">
        <v>1.4505</v>
      </c>
      <c r="D496" s="29" t="n">
        <v>0</v>
      </c>
      <c r="E496" s="2" t="n">
        <v>1</v>
      </c>
      <c r="F496" s="2" t="n">
        <v>0</v>
      </c>
      <c r="G496" s="2" t="n">
        <v>0</v>
      </c>
      <c r="H496" s="30">
        <f>IF(AND(B496&gt;=5,C496&lt;&gt;"",C496&lt;0.8),1,0)</f>
        <v/>
      </c>
      <c r="I496" s="30">
        <f>IF(AND(B496&gt;=8,D496&lt;&gt;"",D496&gt;=0.25,D496&lt;=0.75),1,0)</f>
        <v/>
      </c>
      <c r="J496" s="2" t="n"/>
    </row>
    <row r="497">
      <c r="A497" s="2" t="inlineStr">
        <is>
          <t>IMP00490</t>
        </is>
      </c>
      <c r="B497" s="2" t="n">
        <v>362</v>
      </c>
      <c r="C497" s="19" t="n">
        <v>0.9675</v>
      </c>
      <c r="D497" s="29" t="n">
        <v>0.1823</v>
      </c>
      <c r="E497" s="2" t="n">
        <v>2</v>
      </c>
      <c r="F497" s="2" t="n">
        <v>0</v>
      </c>
      <c r="G497" s="2" t="n">
        <v>0</v>
      </c>
      <c r="H497" s="30">
        <f>IF(AND(B497&gt;=5,C497&lt;&gt;"",C497&lt;0.8),1,0)</f>
        <v/>
      </c>
      <c r="I497" s="30">
        <f>IF(AND(B497&gt;=8,D497&lt;&gt;"",D497&gt;=0.25,D497&lt;=0.75),1,0)</f>
        <v/>
      </c>
      <c r="J497" s="2" t="n"/>
    </row>
    <row r="498">
      <c r="A498" s="2" t="inlineStr">
        <is>
          <t>IMP00491</t>
        </is>
      </c>
      <c r="B498" s="2" t="n">
        <v>1</v>
      </c>
      <c r="C498" s="19" t="n">
        <v>1.308</v>
      </c>
      <c r="D498" s="29" t="n">
        <v>0</v>
      </c>
      <c r="E498" s="2" t="n">
        <v>2</v>
      </c>
      <c r="F498" s="2" t="n">
        <v>0</v>
      </c>
      <c r="G498" s="2" t="n">
        <v>0</v>
      </c>
      <c r="H498" s="30">
        <f>IF(AND(B498&gt;=5,C498&lt;&gt;"",C498&lt;0.8),1,0)</f>
        <v/>
      </c>
      <c r="I498" s="30">
        <f>IF(AND(B498&gt;=8,D498&lt;&gt;"",D498&gt;=0.25,D498&lt;=0.75),1,0)</f>
        <v/>
      </c>
      <c r="J498" s="2" t="n"/>
    </row>
    <row r="499">
      <c r="A499" s="2" t="inlineStr">
        <is>
          <t>IMP00492</t>
        </is>
      </c>
      <c r="B499" s="2" t="n">
        <v>37</v>
      </c>
      <c r="C499" s="19" t="n">
        <v>1.01</v>
      </c>
      <c r="D499" s="29" t="n">
        <v>0</v>
      </c>
      <c r="E499" s="2" t="n">
        <v>1</v>
      </c>
      <c r="F499" s="2" t="n">
        <v>0</v>
      </c>
      <c r="G499" s="2" t="n">
        <v>0</v>
      </c>
      <c r="H499" s="30">
        <f>IF(AND(B499&gt;=5,C499&lt;&gt;"",C499&lt;0.8),1,0)</f>
        <v/>
      </c>
      <c r="I499" s="30">
        <f>IF(AND(B499&gt;=8,D499&lt;&gt;"",D499&gt;=0.25,D499&lt;=0.75),1,0)</f>
        <v/>
      </c>
      <c r="J499" s="2" t="n"/>
    </row>
    <row r="500">
      <c r="A500" s="2" t="inlineStr">
        <is>
          <t>IMP00493</t>
        </is>
      </c>
      <c r="B500" s="2" t="n">
        <v>2</v>
      </c>
      <c r="C500" s="19" t="n">
        <v>0.786</v>
      </c>
      <c r="D500" s="29" t="n">
        <v>0.5</v>
      </c>
      <c r="E500" s="2" t="n">
        <v>1</v>
      </c>
      <c r="F500" s="2" t="n">
        <v>0</v>
      </c>
      <c r="G500" s="2" t="n">
        <v>0</v>
      </c>
      <c r="H500" s="30">
        <f>IF(AND(B500&gt;=5,C500&lt;&gt;"",C500&lt;0.8),1,0)</f>
        <v/>
      </c>
      <c r="I500" s="30">
        <f>IF(AND(B500&gt;=8,D500&lt;&gt;"",D500&gt;=0.25,D500&lt;=0.75),1,0)</f>
        <v/>
      </c>
      <c r="J500" s="2" t="n"/>
    </row>
    <row r="501">
      <c r="A501" s="2" t="inlineStr">
        <is>
          <t>IMP00494</t>
        </is>
      </c>
      <c r="B501" s="2" t="n">
        <v>130</v>
      </c>
      <c r="C501" s="19" t="n">
        <v>1.011</v>
      </c>
      <c r="D501" s="29" t="n">
        <v>0.0385</v>
      </c>
      <c r="E501" s="2" t="n">
        <v>1</v>
      </c>
      <c r="F501" s="2" t="n">
        <v>0</v>
      </c>
      <c r="G501" s="2" t="n">
        <v>0</v>
      </c>
      <c r="H501" s="30">
        <f>IF(AND(B501&gt;=5,C501&lt;&gt;"",C501&lt;0.8),1,0)</f>
        <v/>
      </c>
      <c r="I501" s="30">
        <f>IF(AND(B501&gt;=8,D501&lt;&gt;"",D501&gt;=0.25,D501&lt;=0.75),1,0)</f>
        <v/>
      </c>
      <c r="J501" s="2" t="n"/>
    </row>
    <row r="502">
      <c r="A502" s="2" t="inlineStr">
        <is>
          <t>IMP00495</t>
        </is>
      </c>
      <c r="B502" s="2" t="n">
        <v>118</v>
      </c>
      <c r="C502" s="19" t="n">
        <v>1.013</v>
      </c>
      <c r="D502" s="29" t="n">
        <v>0.07630000000000001</v>
      </c>
      <c r="E502" s="2" t="n">
        <v>2</v>
      </c>
      <c r="F502" s="2" t="n">
        <v>0</v>
      </c>
      <c r="G502" s="2" t="n">
        <v>0</v>
      </c>
      <c r="H502" s="30">
        <f>IF(AND(B502&gt;=5,C502&lt;&gt;"",C502&lt;0.8),1,0)</f>
        <v/>
      </c>
      <c r="I502" s="30">
        <f>IF(AND(B502&gt;=8,D502&lt;&gt;"",D502&gt;=0.25,D502&lt;=0.75),1,0)</f>
        <v/>
      </c>
      <c r="J502" s="2" t="n"/>
    </row>
    <row r="503">
      <c r="A503" s="2" t="inlineStr">
        <is>
          <t>IMP00496</t>
        </is>
      </c>
      <c r="B503" s="2" t="n">
        <v>4</v>
      </c>
      <c r="C503" s="19" t="n">
        <v>1.363</v>
      </c>
      <c r="D503" s="29" t="n">
        <v>0</v>
      </c>
      <c r="E503" s="2" t="n">
        <v>1</v>
      </c>
      <c r="F503" s="2" t="n">
        <v>0</v>
      </c>
      <c r="G503" s="2" t="n">
        <v>0</v>
      </c>
      <c r="H503" s="30">
        <f>IF(AND(B503&gt;=5,C503&lt;&gt;"",C503&lt;0.8),1,0)</f>
        <v/>
      </c>
      <c r="I503" s="30">
        <f>IF(AND(B503&gt;=8,D503&lt;&gt;"",D503&gt;=0.25,D503&lt;=0.75),1,0)</f>
        <v/>
      </c>
      <c r="J503" s="2" t="n"/>
    </row>
    <row r="504">
      <c r="A504" s="2" t="inlineStr">
        <is>
          <t>IMP00497</t>
        </is>
      </c>
      <c r="B504" s="2" t="n">
        <v>2</v>
      </c>
      <c r="C504" s="19" t="n">
        <v>1.122</v>
      </c>
      <c r="D504" s="29" t="n">
        <v>0</v>
      </c>
      <c r="E504" s="2" t="n">
        <v>1</v>
      </c>
      <c r="F504" s="2" t="n">
        <v>0</v>
      </c>
      <c r="G504" s="2" t="n">
        <v>0</v>
      </c>
      <c r="H504" s="30">
        <f>IF(AND(B504&gt;=5,C504&lt;&gt;"",C504&lt;0.8),1,0)</f>
        <v/>
      </c>
      <c r="I504" s="30">
        <f>IF(AND(B504&gt;=8,D504&lt;&gt;"",D504&gt;=0.25,D504&lt;=0.75),1,0)</f>
        <v/>
      </c>
      <c r="J504" s="2" t="n"/>
    </row>
    <row r="505">
      <c r="A505" s="2" t="inlineStr">
        <is>
          <t>IMP00498</t>
        </is>
      </c>
      <c r="B505" s="2" t="n">
        <v>0</v>
      </c>
      <c r="C505" s="19" t="n"/>
      <c r="D505" s="29" t="n"/>
      <c r="E505" s="2" t="n">
        <v>0</v>
      </c>
      <c r="F505" s="2" t="n">
        <v>0</v>
      </c>
      <c r="G505" s="2" t="n">
        <v>0</v>
      </c>
      <c r="H505" s="30">
        <f>IF(AND(B505&gt;=5,C505&lt;&gt;"",C505&lt;0.8),1,0)</f>
        <v/>
      </c>
      <c r="I505" s="30">
        <f>IF(AND(B505&gt;=8,D505&lt;&gt;"",D505&gt;=0.25,D505&lt;=0.75),1,0)</f>
        <v/>
      </c>
      <c r="J505" s="2" t="n"/>
    </row>
    <row r="506">
      <c r="A506" s="2" t="inlineStr">
        <is>
          <t>IMP00499</t>
        </is>
      </c>
      <c r="B506" s="2" t="n">
        <v>41</v>
      </c>
      <c r="C506" s="19" t="n">
        <v>1.07</v>
      </c>
      <c r="D506" s="29" t="n">
        <v>0</v>
      </c>
      <c r="E506" s="2" t="n">
        <v>1</v>
      </c>
      <c r="F506" s="2" t="n">
        <v>0</v>
      </c>
      <c r="G506" s="2" t="n">
        <v>0</v>
      </c>
      <c r="H506" s="30">
        <f>IF(AND(B506&gt;=5,C506&lt;&gt;"",C506&lt;0.8),1,0)</f>
        <v/>
      </c>
      <c r="I506" s="30">
        <f>IF(AND(B506&gt;=8,D506&lt;&gt;"",D506&gt;=0.25,D506&lt;=0.75),1,0)</f>
        <v/>
      </c>
      <c r="J506" s="2" t="n"/>
    </row>
    <row r="507">
      <c r="A507" s="2" t="inlineStr">
        <is>
          <t>IMP00500</t>
        </is>
      </c>
      <c r="B507" s="2" t="n">
        <v>44</v>
      </c>
      <c r="C507" s="19" t="n">
        <v>1.0995</v>
      </c>
      <c r="D507" s="29" t="n">
        <v>0.1136</v>
      </c>
      <c r="E507" s="2" t="n">
        <v>1</v>
      </c>
      <c r="F507" s="2" t="n">
        <v>0</v>
      </c>
      <c r="G507" s="2" t="n">
        <v>0</v>
      </c>
      <c r="H507" s="30">
        <f>IF(AND(B507&gt;=5,C507&lt;&gt;"",C507&lt;0.8),1,0)</f>
        <v/>
      </c>
      <c r="I507" s="30">
        <f>IF(AND(B507&gt;=8,D507&lt;&gt;"",D507&gt;=0.25,D507&lt;=0.75),1,0)</f>
        <v/>
      </c>
      <c r="J507" s="2" t="n"/>
    </row>
    <row r="508">
      <c r="A508" s="2" t="inlineStr">
        <is>
          <t>IMP00501</t>
        </is>
      </c>
      <c r="B508" s="2" t="n">
        <v>28</v>
      </c>
      <c r="C508" s="19" t="n">
        <v>1.305</v>
      </c>
      <c r="D508" s="29" t="n">
        <v>0.07140000000000001</v>
      </c>
      <c r="E508" s="2" t="n">
        <v>2</v>
      </c>
      <c r="F508" s="2" t="n">
        <v>0</v>
      </c>
      <c r="G508" s="2" t="n">
        <v>0</v>
      </c>
      <c r="H508" s="30">
        <f>IF(AND(B508&gt;=5,C508&lt;&gt;"",C508&lt;0.8),1,0)</f>
        <v/>
      </c>
      <c r="I508" s="30">
        <f>IF(AND(B508&gt;=8,D508&lt;&gt;"",D508&gt;=0.25,D508&lt;=0.75),1,0)</f>
        <v/>
      </c>
      <c r="J508" s="2" t="n"/>
    </row>
    <row r="509">
      <c r="A509" s="2" t="inlineStr">
        <is>
          <t>IMP00502</t>
        </is>
      </c>
      <c r="B509" s="2" t="n">
        <v>0</v>
      </c>
      <c r="C509" s="19" t="n"/>
      <c r="D509" s="29" t="n"/>
      <c r="E509" s="2" t="n">
        <v>0</v>
      </c>
      <c r="F509" s="2" t="n">
        <v>0</v>
      </c>
      <c r="G509" s="2" t="n">
        <v>0</v>
      </c>
      <c r="H509" s="30">
        <f>IF(AND(B509&gt;=5,C509&lt;&gt;"",C509&lt;0.8),1,0)</f>
        <v/>
      </c>
      <c r="I509" s="30">
        <f>IF(AND(B509&gt;=8,D509&lt;&gt;"",D509&gt;=0.25,D509&lt;=0.75),1,0)</f>
        <v/>
      </c>
      <c r="J509" s="2" t="n"/>
    </row>
    <row r="510">
      <c r="A510" s="2" t="inlineStr">
        <is>
          <t>IMP00503</t>
        </is>
      </c>
      <c r="B510" s="2" t="n">
        <v>173</v>
      </c>
      <c r="C510" s="19" t="n">
        <v>1.068</v>
      </c>
      <c r="D510" s="29" t="n">
        <v>0.0058</v>
      </c>
      <c r="E510" s="2" t="n">
        <v>1</v>
      </c>
      <c r="F510" s="2" t="n">
        <v>0</v>
      </c>
      <c r="G510" s="2" t="n">
        <v>0</v>
      </c>
      <c r="H510" s="30">
        <f>IF(AND(B510&gt;=5,C510&lt;&gt;"",C510&lt;0.8),1,0)</f>
        <v/>
      </c>
      <c r="I510" s="30">
        <f>IF(AND(B510&gt;=8,D510&lt;&gt;"",D510&gt;=0.25,D510&lt;=0.75),1,0)</f>
        <v/>
      </c>
      <c r="J510" s="2" t="n"/>
    </row>
    <row r="511">
      <c r="A511" s="2" t="inlineStr">
        <is>
          <t>IMP00504</t>
        </is>
      </c>
      <c r="B511" s="2" t="n">
        <v>11</v>
      </c>
      <c r="C511" s="19" t="n">
        <v>1.417</v>
      </c>
      <c r="D511" s="29" t="n">
        <v>0</v>
      </c>
      <c r="E511" s="2" t="n">
        <v>4</v>
      </c>
      <c r="F511" s="2" t="n">
        <v>0</v>
      </c>
      <c r="G511" s="2" t="n">
        <v>0</v>
      </c>
      <c r="H511" s="30">
        <f>IF(AND(B511&gt;=5,C511&lt;&gt;"",C511&lt;0.8),1,0)</f>
        <v/>
      </c>
      <c r="I511" s="30">
        <f>IF(AND(B511&gt;=8,D511&lt;&gt;"",D511&gt;=0.25,D511&lt;=0.75),1,0)</f>
        <v/>
      </c>
      <c r="J511" s="2" t="n"/>
    </row>
    <row r="512">
      <c r="A512" s="2" t="inlineStr">
        <is>
          <t>IMP00505</t>
        </is>
      </c>
      <c r="B512" s="2" t="n">
        <v>5</v>
      </c>
      <c r="C512" s="19" t="n">
        <v>1.31</v>
      </c>
      <c r="D512" s="29" t="n">
        <v>0</v>
      </c>
      <c r="E512" s="2" t="n">
        <v>1</v>
      </c>
      <c r="F512" s="2" t="n">
        <v>0</v>
      </c>
      <c r="G512" s="2" t="n">
        <v>0</v>
      </c>
      <c r="H512" s="30">
        <f>IF(AND(B512&gt;=5,C512&lt;&gt;"",C512&lt;0.8),1,0)</f>
        <v/>
      </c>
      <c r="I512" s="30">
        <f>IF(AND(B512&gt;=8,D512&lt;&gt;"",D512&gt;=0.25,D512&lt;=0.75),1,0)</f>
        <v/>
      </c>
      <c r="J512" s="2" t="n"/>
    </row>
    <row r="513">
      <c r="A513" s="2" t="inlineStr">
        <is>
          <t>IMP00506</t>
        </is>
      </c>
      <c r="B513" s="2" t="n">
        <v>40</v>
      </c>
      <c r="C513" s="19" t="n">
        <v>1.015</v>
      </c>
      <c r="D513" s="29" t="n">
        <v>0.175</v>
      </c>
      <c r="E513" s="2" t="n">
        <v>1</v>
      </c>
      <c r="F513" s="2" t="n">
        <v>0</v>
      </c>
      <c r="G513" s="2" t="n">
        <v>0</v>
      </c>
      <c r="H513" s="30">
        <f>IF(AND(B513&gt;=5,C513&lt;&gt;"",C513&lt;0.8),1,0)</f>
        <v/>
      </c>
      <c r="I513" s="30">
        <f>IF(AND(B513&gt;=8,D513&lt;&gt;"",D513&gt;=0.25,D513&lt;=0.75),1,0)</f>
        <v/>
      </c>
      <c r="J513" s="2" t="n"/>
    </row>
    <row r="514">
      <c r="A514" s="2" t="inlineStr">
        <is>
          <t>IMP00507</t>
        </is>
      </c>
      <c r="B514" s="2" t="n">
        <v>233</v>
      </c>
      <c r="C514" s="19" t="n">
        <v>0.988</v>
      </c>
      <c r="D514" s="29" t="n">
        <v>0.0987</v>
      </c>
      <c r="E514" s="2" t="n">
        <v>1</v>
      </c>
      <c r="F514" s="2" t="n">
        <v>0</v>
      </c>
      <c r="G514" s="2" t="n">
        <v>0</v>
      </c>
      <c r="H514" s="30">
        <f>IF(AND(B514&gt;=5,C514&lt;&gt;"",C514&lt;0.8),1,0)</f>
        <v/>
      </c>
      <c r="I514" s="30">
        <f>IF(AND(B514&gt;=8,D514&lt;&gt;"",D514&gt;=0.25,D514&lt;=0.75),1,0)</f>
        <v/>
      </c>
      <c r="J514" s="2" t="n"/>
    </row>
    <row r="515">
      <c r="A515" s="2" t="inlineStr">
        <is>
          <t>IMP00508</t>
        </is>
      </c>
      <c r="B515" s="2" t="n">
        <v>8</v>
      </c>
      <c r="C515" s="19" t="n">
        <v>0.968</v>
      </c>
      <c r="D515" s="29" t="n">
        <v>0.25</v>
      </c>
      <c r="E515" s="2" t="n">
        <v>1</v>
      </c>
      <c r="F515" s="2" t="n">
        <v>0</v>
      </c>
      <c r="G515" s="2" t="n">
        <v>1</v>
      </c>
      <c r="H515" s="30">
        <f>IF(AND(B515&gt;=5,C515&lt;&gt;"",C515&lt;0.8),1,0)</f>
        <v/>
      </c>
      <c r="I515" s="30">
        <f>IF(AND(B515&gt;=8,D515&lt;&gt;"",D515&gt;=0.25,D515&lt;=0.75),1,0)</f>
        <v/>
      </c>
      <c r="J515" s="2" t="n"/>
    </row>
    <row r="516">
      <c r="A516" s="2" t="inlineStr">
        <is>
          <t>IMP00509</t>
        </is>
      </c>
      <c r="B516" s="2" t="n">
        <v>285</v>
      </c>
      <c r="C516" s="19" t="n">
        <v>1.27</v>
      </c>
      <c r="D516" s="29" t="n">
        <v>0.0035</v>
      </c>
      <c r="E516" s="2" t="n">
        <v>1</v>
      </c>
      <c r="F516" s="2" t="n">
        <v>0</v>
      </c>
      <c r="G516" s="2" t="n">
        <v>0</v>
      </c>
      <c r="H516" s="30">
        <f>IF(AND(B516&gt;=5,C516&lt;&gt;"",C516&lt;0.8),1,0)</f>
        <v/>
      </c>
      <c r="I516" s="30">
        <f>IF(AND(B516&gt;=8,D516&lt;&gt;"",D516&gt;=0.25,D516&lt;=0.75),1,0)</f>
        <v/>
      </c>
      <c r="J516" s="2" t="n"/>
    </row>
    <row r="517">
      <c r="A517" s="2" t="inlineStr">
        <is>
          <t>IMP00510</t>
        </is>
      </c>
      <c r="B517" s="2" t="n">
        <v>32</v>
      </c>
      <c r="C517" s="19" t="n">
        <v>0.883</v>
      </c>
      <c r="D517" s="29" t="n">
        <v>0.25</v>
      </c>
      <c r="E517" s="2" t="n">
        <v>1</v>
      </c>
      <c r="F517" s="2" t="n">
        <v>0</v>
      </c>
      <c r="G517" s="2" t="n">
        <v>1</v>
      </c>
      <c r="H517" s="30">
        <f>IF(AND(B517&gt;=5,C517&lt;&gt;"",C517&lt;0.8),1,0)</f>
        <v/>
      </c>
      <c r="I517" s="30">
        <f>IF(AND(B517&gt;=8,D517&lt;&gt;"",D517&gt;=0.25,D517&lt;=0.75),1,0)</f>
        <v/>
      </c>
      <c r="J517" s="2" t="n"/>
    </row>
    <row r="518">
      <c r="A518" s="2" t="inlineStr">
        <is>
          <t>IMP00511</t>
        </is>
      </c>
      <c r="B518" s="2" t="n">
        <v>7</v>
      </c>
      <c r="C518" s="19" t="n">
        <v>1.126</v>
      </c>
      <c r="D518" s="29" t="n">
        <v>0</v>
      </c>
      <c r="E518" s="2" t="n">
        <v>1</v>
      </c>
      <c r="F518" s="2" t="n">
        <v>0</v>
      </c>
      <c r="G518" s="2" t="n">
        <v>0</v>
      </c>
      <c r="H518" s="30">
        <f>IF(AND(B518&gt;=5,C518&lt;&gt;"",C518&lt;0.8),1,0)</f>
        <v/>
      </c>
      <c r="I518" s="30">
        <f>IF(AND(B518&gt;=8,D518&lt;&gt;"",D518&gt;=0.25,D518&lt;=0.75),1,0)</f>
        <v/>
      </c>
      <c r="J518" s="2" t="n"/>
    </row>
    <row r="519">
      <c r="A519" s="2" t="inlineStr">
        <is>
          <t>IMP00512</t>
        </is>
      </c>
      <c r="B519" s="2" t="n">
        <v>95</v>
      </c>
      <c r="C519" s="19" t="n">
        <v>0.9795</v>
      </c>
      <c r="D519" s="29" t="n">
        <v>0.1368</v>
      </c>
      <c r="E519" s="2" t="n">
        <v>1</v>
      </c>
      <c r="F519" s="2" t="n">
        <v>0</v>
      </c>
      <c r="G519" s="2" t="n">
        <v>0</v>
      </c>
      <c r="H519" s="30">
        <f>IF(AND(B519&gt;=5,C519&lt;&gt;"",C519&lt;0.8),1,0)</f>
        <v/>
      </c>
      <c r="I519" s="30">
        <f>IF(AND(B519&gt;=8,D519&lt;&gt;"",D519&gt;=0.25,D519&lt;=0.75),1,0)</f>
        <v/>
      </c>
      <c r="J519" s="2" t="n"/>
    </row>
    <row r="520">
      <c r="A520" s="2" t="inlineStr">
        <is>
          <t>IMP00513</t>
        </is>
      </c>
      <c r="B520" s="2" t="n">
        <v>56</v>
      </c>
      <c r="C520" s="19" t="n">
        <v>1.203</v>
      </c>
      <c r="D520" s="29" t="n">
        <v>0.0179</v>
      </c>
      <c r="E520" s="2" t="n">
        <v>1</v>
      </c>
      <c r="F520" s="2" t="n">
        <v>0</v>
      </c>
      <c r="G520" s="2" t="n">
        <v>0</v>
      </c>
      <c r="H520" s="30">
        <f>IF(AND(B520&gt;=5,C520&lt;&gt;"",C520&lt;0.8),1,0)</f>
        <v/>
      </c>
      <c r="I520" s="30">
        <f>IF(AND(B520&gt;=8,D520&lt;&gt;"",D520&gt;=0.25,D520&lt;=0.75),1,0)</f>
        <v/>
      </c>
      <c r="J520" s="2" t="n"/>
    </row>
    <row r="521">
      <c r="A521" s="2" t="inlineStr">
        <is>
          <t>IMP00514</t>
        </is>
      </c>
      <c r="B521" s="2" t="n">
        <v>0</v>
      </c>
      <c r="C521" s="19" t="n"/>
      <c r="D521" s="29" t="n"/>
      <c r="E521" s="2" t="n">
        <v>0</v>
      </c>
      <c r="F521" s="2" t="n">
        <v>0</v>
      </c>
      <c r="G521" s="2" t="n">
        <v>0</v>
      </c>
      <c r="H521" s="30">
        <f>IF(AND(B521&gt;=5,C521&lt;&gt;"",C521&lt;0.8),1,0)</f>
        <v/>
      </c>
      <c r="I521" s="30">
        <f>IF(AND(B521&gt;=8,D521&lt;&gt;"",D521&gt;=0.25,D521&lt;=0.75),1,0)</f>
        <v/>
      </c>
      <c r="J521" s="2" t="n"/>
    </row>
    <row r="522">
      <c r="A522" s="2" t="inlineStr">
        <is>
          <t>IMP00515</t>
        </is>
      </c>
      <c r="B522" s="2" t="n">
        <v>0</v>
      </c>
      <c r="C522" s="19" t="n"/>
      <c r="D522" s="29" t="n"/>
      <c r="E522" s="2" t="n">
        <v>0</v>
      </c>
      <c r="F522" s="2" t="n">
        <v>0</v>
      </c>
      <c r="G522" s="2" t="n">
        <v>0</v>
      </c>
      <c r="H522" s="30">
        <f>IF(AND(B522&gt;=5,C522&lt;&gt;"",C522&lt;0.8),1,0)</f>
        <v/>
      </c>
      <c r="I522" s="30">
        <f>IF(AND(B522&gt;=8,D522&lt;&gt;"",D522&gt;=0.25,D522&lt;=0.75),1,0)</f>
        <v/>
      </c>
      <c r="J522" s="2" t="n"/>
    </row>
    <row r="523">
      <c r="A523" s="2" t="inlineStr">
        <is>
          <t>IMP00516</t>
        </is>
      </c>
      <c r="B523" s="2" t="n">
        <v>5</v>
      </c>
      <c r="C523" s="19" t="n">
        <v>0.973</v>
      </c>
      <c r="D523" s="29" t="n">
        <v>0</v>
      </c>
      <c r="E523" s="2" t="n">
        <v>1</v>
      </c>
      <c r="F523" s="2" t="n">
        <v>0</v>
      </c>
      <c r="G523" s="2" t="n">
        <v>0</v>
      </c>
      <c r="H523" s="30">
        <f>IF(AND(B523&gt;=5,C523&lt;&gt;"",C523&lt;0.8),1,0)</f>
        <v/>
      </c>
      <c r="I523" s="30">
        <f>IF(AND(B523&gt;=8,D523&lt;&gt;"",D523&gt;=0.25,D523&lt;=0.75),1,0)</f>
        <v/>
      </c>
      <c r="J523" s="2" t="n"/>
    </row>
    <row r="524">
      <c r="A524" s="2" t="inlineStr">
        <is>
          <t>IMP00517</t>
        </is>
      </c>
      <c r="B524" s="2" t="n">
        <v>47</v>
      </c>
      <c r="C524" s="19" t="n">
        <v>1.133</v>
      </c>
      <c r="D524" s="29" t="n">
        <v>0</v>
      </c>
      <c r="E524" s="2" t="n">
        <v>1</v>
      </c>
      <c r="F524" s="2" t="n">
        <v>0</v>
      </c>
      <c r="G524" s="2" t="n">
        <v>0</v>
      </c>
      <c r="H524" s="30">
        <f>IF(AND(B524&gt;=5,C524&lt;&gt;"",C524&lt;0.8),1,0)</f>
        <v/>
      </c>
      <c r="I524" s="30">
        <f>IF(AND(B524&gt;=8,D524&lt;&gt;"",D524&gt;=0.25,D524&lt;=0.75),1,0)</f>
        <v/>
      </c>
      <c r="J524" s="2" t="n"/>
    </row>
    <row r="525">
      <c r="A525" s="2" t="inlineStr">
        <is>
          <t>IMP00518</t>
        </is>
      </c>
      <c r="B525" s="2" t="n">
        <v>248</v>
      </c>
      <c r="C525" s="19" t="n">
        <v>1.004</v>
      </c>
      <c r="D525" s="29" t="n">
        <v>0.0565</v>
      </c>
      <c r="E525" s="2" t="n">
        <v>1</v>
      </c>
      <c r="F525" s="2" t="n">
        <v>0</v>
      </c>
      <c r="G525" s="2" t="n">
        <v>0</v>
      </c>
      <c r="H525" s="30">
        <f>IF(AND(B525&gt;=5,C525&lt;&gt;"",C525&lt;0.8),1,0)</f>
        <v/>
      </c>
      <c r="I525" s="30">
        <f>IF(AND(B525&gt;=8,D525&lt;&gt;"",D525&gt;=0.25,D525&lt;=0.75),1,0)</f>
        <v/>
      </c>
      <c r="J525" s="2" t="n"/>
    </row>
    <row r="526">
      <c r="A526" s="2" t="inlineStr">
        <is>
          <t>IMP00519</t>
        </is>
      </c>
      <c r="B526" s="2" t="n">
        <v>106</v>
      </c>
      <c r="C526" s="19" t="n">
        <v>0.919</v>
      </c>
      <c r="D526" s="29" t="n">
        <v>0.0566</v>
      </c>
      <c r="E526" s="2" t="n">
        <v>3</v>
      </c>
      <c r="F526" s="2" t="n">
        <v>0</v>
      </c>
      <c r="G526" s="2" t="n">
        <v>0</v>
      </c>
      <c r="H526" s="30">
        <f>IF(AND(B526&gt;=5,C526&lt;&gt;"",C526&lt;0.8),1,0)</f>
        <v/>
      </c>
      <c r="I526" s="30">
        <f>IF(AND(B526&gt;=8,D526&lt;&gt;"",D526&gt;=0.25,D526&lt;=0.75),1,0)</f>
        <v/>
      </c>
      <c r="J526" s="2" t="n"/>
    </row>
    <row r="527">
      <c r="A527" s="2" t="inlineStr">
        <is>
          <t>IMP00520</t>
        </is>
      </c>
      <c r="B527" s="2" t="n">
        <v>44</v>
      </c>
      <c r="C527" s="19" t="n">
        <v>0.8745000000000001</v>
      </c>
      <c r="D527" s="29" t="n">
        <v>0.09089999999999999</v>
      </c>
      <c r="E527" s="2" t="n">
        <v>2</v>
      </c>
      <c r="F527" s="2" t="n">
        <v>0</v>
      </c>
      <c r="G527" s="2" t="n">
        <v>0</v>
      </c>
      <c r="H527" s="30">
        <f>IF(AND(B527&gt;=5,C527&lt;&gt;"",C527&lt;0.8),1,0)</f>
        <v/>
      </c>
      <c r="I527" s="30">
        <f>IF(AND(B527&gt;=8,D527&lt;&gt;"",D527&gt;=0.25,D527&lt;=0.75),1,0)</f>
        <v/>
      </c>
      <c r="J527" s="2" t="n"/>
    </row>
    <row r="528">
      <c r="A528" s="2" t="inlineStr">
        <is>
          <t>IMP00521</t>
        </is>
      </c>
      <c r="B528" s="2" t="n">
        <v>1</v>
      </c>
      <c r="C528" s="19" t="n">
        <v>1.038</v>
      </c>
      <c r="D528" s="29" t="n">
        <v>0</v>
      </c>
      <c r="E528" s="2" t="n">
        <v>1</v>
      </c>
      <c r="F528" s="2" t="n">
        <v>0</v>
      </c>
      <c r="G528" s="2" t="n">
        <v>0</v>
      </c>
      <c r="H528" s="30">
        <f>IF(AND(B528&gt;=5,C528&lt;&gt;"",C528&lt;0.8),1,0)</f>
        <v/>
      </c>
      <c r="I528" s="30">
        <f>IF(AND(B528&gt;=8,D528&lt;&gt;"",D528&gt;=0.25,D528&lt;=0.75),1,0)</f>
        <v/>
      </c>
      <c r="J528" s="2" t="n"/>
    </row>
    <row r="529">
      <c r="A529" s="2" t="inlineStr">
        <is>
          <t>IMP00522</t>
        </is>
      </c>
      <c r="B529" s="2" t="n">
        <v>27</v>
      </c>
      <c r="C529" s="19" t="n">
        <v>0.965</v>
      </c>
      <c r="D529" s="29" t="n">
        <v>0.0741</v>
      </c>
      <c r="E529" s="2" t="n">
        <v>1</v>
      </c>
      <c r="F529" s="2" t="n">
        <v>0</v>
      </c>
      <c r="G529" s="2" t="n">
        <v>0</v>
      </c>
      <c r="H529" s="30">
        <f>IF(AND(B529&gt;=5,C529&lt;&gt;"",C529&lt;0.8),1,0)</f>
        <v/>
      </c>
      <c r="I529" s="30">
        <f>IF(AND(B529&gt;=8,D529&lt;&gt;"",D529&gt;=0.25,D529&lt;=0.75),1,0)</f>
        <v/>
      </c>
      <c r="J529" s="2" t="n"/>
    </row>
    <row r="530">
      <c r="A530" s="2" t="inlineStr">
        <is>
          <t>IMP00523</t>
        </is>
      </c>
      <c r="B530" s="2" t="n">
        <v>41</v>
      </c>
      <c r="C530" s="19" t="n">
        <v>1.082</v>
      </c>
      <c r="D530" s="29" t="n">
        <v>0.0732</v>
      </c>
      <c r="E530" s="2" t="n">
        <v>2</v>
      </c>
      <c r="F530" s="2" t="n">
        <v>0</v>
      </c>
      <c r="G530" s="2" t="n">
        <v>0</v>
      </c>
      <c r="H530" s="30">
        <f>IF(AND(B530&gt;=5,C530&lt;&gt;"",C530&lt;0.8),1,0)</f>
        <v/>
      </c>
      <c r="I530" s="30">
        <f>IF(AND(B530&gt;=8,D530&lt;&gt;"",D530&gt;=0.25,D530&lt;=0.75),1,0)</f>
        <v/>
      </c>
      <c r="J530" s="2" t="n"/>
    </row>
    <row r="531">
      <c r="A531" s="2" t="inlineStr">
        <is>
          <t>IMP00524</t>
        </is>
      </c>
      <c r="B531" s="2" t="n">
        <v>1</v>
      </c>
      <c r="C531" s="19" t="n">
        <v>1.629</v>
      </c>
      <c r="D531" s="29" t="n">
        <v>0</v>
      </c>
      <c r="E531" s="2" t="n">
        <v>1</v>
      </c>
      <c r="F531" s="2" t="n">
        <v>0</v>
      </c>
      <c r="G531" s="2" t="n">
        <v>0</v>
      </c>
      <c r="H531" s="30">
        <f>IF(AND(B531&gt;=5,C531&lt;&gt;"",C531&lt;0.8),1,0)</f>
        <v/>
      </c>
      <c r="I531" s="30">
        <f>IF(AND(B531&gt;=8,D531&lt;&gt;"",D531&gt;=0.25,D531&lt;=0.75),1,0)</f>
        <v/>
      </c>
      <c r="J531" s="2" t="n"/>
    </row>
    <row r="532">
      <c r="A532" s="2" t="inlineStr">
        <is>
          <t>IMP00525</t>
        </is>
      </c>
      <c r="B532" s="2" t="n">
        <v>16</v>
      </c>
      <c r="C532" s="19" t="n">
        <v>1.171</v>
      </c>
      <c r="D532" s="29" t="n">
        <v>0.0625</v>
      </c>
      <c r="E532" s="2" t="n">
        <v>1</v>
      </c>
      <c r="F532" s="2" t="n">
        <v>0</v>
      </c>
      <c r="G532" s="2" t="n">
        <v>0</v>
      </c>
      <c r="H532" s="30">
        <f>IF(AND(B532&gt;=5,C532&lt;&gt;"",C532&lt;0.8),1,0)</f>
        <v/>
      </c>
      <c r="I532" s="30">
        <f>IF(AND(B532&gt;=8,D532&lt;&gt;"",D532&gt;=0.25,D532&lt;=0.75),1,0)</f>
        <v/>
      </c>
      <c r="J532" s="2" t="n"/>
    </row>
    <row r="533">
      <c r="A533" s="2" t="inlineStr">
        <is>
          <t>IMP00526</t>
        </is>
      </c>
      <c r="B533" s="2" t="n">
        <v>0</v>
      </c>
      <c r="C533" s="19" t="n"/>
      <c r="D533" s="29" t="n"/>
      <c r="E533" s="2" t="n">
        <v>0</v>
      </c>
      <c r="F533" s="2" t="n">
        <v>0</v>
      </c>
      <c r="G533" s="2" t="n">
        <v>0</v>
      </c>
      <c r="H533" s="30">
        <f>IF(AND(B533&gt;=5,C533&lt;&gt;"",C533&lt;0.8),1,0)</f>
        <v/>
      </c>
      <c r="I533" s="30">
        <f>IF(AND(B533&gt;=8,D533&lt;&gt;"",D533&gt;=0.25,D533&lt;=0.75),1,0)</f>
        <v/>
      </c>
      <c r="J533" s="2" t="n"/>
    </row>
    <row r="534">
      <c r="A534" s="2" t="inlineStr">
        <is>
          <t>IMP00527</t>
        </is>
      </c>
      <c r="B534" s="2" t="n">
        <v>2</v>
      </c>
      <c r="C534" s="19" t="n">
        <v>1.18</v>
      </c>
      <c r="D534" s="29" t="n">
        <v>0</v>
      </c>
      <c r="E534" s="2" t="n">
        <v>1</v>
      </c>
      <c r="F534" s="2" t="n">
        <v>0</v>
      </c>
      <c r="G534" s="2" t="n">
        <v>0</v>
      </c>
      <c r="H534" s="30">
        <f>IF(AND(B534&gt;=5,C534&lt;&gt;"",C534&lt;0.8),1,0)</f>
        <v/>
      </c>
      <c r="I534" s="30">
        <f>IF(AND(B534&gt;=8,D534&lt;&gt;"",D534&gt;=0.25,D534&lt;=0.75),1,0)</f>
        <v/>
      </c>
      <c r="J534" s="2" t="n"/>
    </row>
    <row r="535">
      <c r="A535" s="2" t="inlineStr">
        <is>
          <t>IMP00528</t>
        </is>
      </c>
      <c r="B535" s="2" t="n">
        <v>264</v>
      </c>
      <c r="C535" s="19" t="n">
        <v>0.9005</v>
      </c>
      <c r="D535" s="29" t="n">
        <v>0.1402</v>
      </c>
      <c r="E535" s="2" t="n">
        <v>2</v>
      </c>
      <c r="F535" s="2" t="n">
        <v>0</v>
      </c>
      <c r="G535" s="2" t="n">
        <v>0</v>
      </c>
      <c r="H535" s="30">
        <f>IF(AND(B535&gt;=5,C535&lt;&gt;"",C535&lt;0.8),1,0)</f>
        <v/>
      </c>
      <c r="I535" s="30">
        <f>IF(AND(B535&gt;=8,D535&lt;&gt;"",D535&gt;=0.25,D535&lt;=0.75),1,0)</f>
        <v/>
      </c>
      <c r="J535" s="2" t="n"/>
    </row>
    <row r="536">
      <c r="A536" s="2" t="inlineStr">
        <is>
          <t>IMP00529</t>
        </is>
      </c>
      <c r="B536" s="2" t="n">
        <v>6</v>
      </c>
      <c r="C536" s="19" t="n">
        <v>1.139</v>
      </c>
      <c r="D536" s="29" t="n">
        <v>0</v>
      </c>
      <c r="E536" s="2" t="n">
        <v>1</v>
      </c>
      <c r="F536" s="2" t="n">
        <v>0</v>
      </c>
      <c r="G536" s="2" t="n">
        <v>0</v>
      </c>
      <c r="H536" s="30">
        <f>IF(AND(B536&gt;=5,C536&lt;&gt;"",C536&lt;0.8),1,0)</f>
        <v/>
      </c>
      <c r="I536" s="30">
        <f>IF(AND(B536&gt;=8,D536&lt;&gt;"",D536&gt;=0.25,D536&lt;=0.75),1,0)</f>
        <v/>
      </c>
      <c r="J536" s="2" t="n"/>
    </row>
    <row r="537">
      <c r="A537" s="2" t="inlineStr">
        <is>
          <t>IMP00530</t>
        </is>
      </c>
      <c r="B537" s="2" t="n">
        <v>2</v>
      </c>
      <c r="C537" s="19" t="n">
        <v>1.0035</v>
      </c>
      <c r="D537" s="29" t="n">
        <v>0</v>
      </c>
      <c r="E537" s="2" t="n">
        <v>1</v>
      </c>
      <c r="F537" s="2" t="n">
        <v>0</v>
      </c>
      <c r="G537" s="2" t="n">
        <v>0</v>
      </c>
      <c r="H537" s="30">
        <f>IF(AND(B537&gt;=5,C537&lt;&gt;"",C537&lt;0.8),1,0)</f>
        <v/>
      </c>
      <c r="I537" s="30">
        <f>IF(AND(B537&gt;=8,D537&lt;&gt;"",D537&gt;=0.25,D537&lt;=0.75),1,0)</f>
        <v/>
      </c>
      <c r="J537" s="2" t="n"/>
    </row>
    <row r="538">
      <c r="A538" s="2" t="inlineStr">
        <is>
          <t>IMP00531</t>
        </is>
      </c>
      <c r="B538" s="2" t="n">
        <v>47</v>
      </c>
      <c r="C538" s="19" t="n">
        <v>1</v>
      </c>
      <c r="D538" s="29" t="n">
        <v>0</v>
      </c>
      <c r="E538" s="2" t="n">
        <v>2</v>
      </c>
      <c r="F538" s="2" t="n">
        <v>0</v>
      </c>
      <c r="G538" s="2" t="n">
        <v>0</v>
      </c>
      <c r="H538" s="30">
        <f>IF(AND(B538&gt;=5,C538&lt;&gt;"",C538&lt;0.8),1,0)</f>
        <v/>
      </c>
      <c r="I538" s="30">
        <f>IF(AND(B538&gt;=8,D538&lt;&gt;"",D538&gt;=0.25,D538&lt;=0.75),1,0)</f>
        <v/>
      </c>
      <c r="J538" s="2" t="n"/>
    </row>
    <row r="539">
      <c r="A539" s="2" t="inlineStr">
        <is>
          <t>IMP00532</t>
        </is>
      </c>
      <c r="B539" s="2" t="n">
        <v>1</v>
      </c>
      <c r="C539" s="19" t="n">
        <v>0.83</v>
      </c>
      <c r="D539" s="29" t="n">
        <v>0</v>
      </c>
      <c r="E539" s="2" t="n">
        <v>1</v>
      </c>
      <c r="F539" s="2" t="n">
        <v>0</v>
      </c>
      <c r="G539" s="2" t="n">
        <v>0</v>
      </c>
      <c r="H539" s="30">
        <f>IF(AND(B539&gt;=5,C539&lt;&gt;"",C539&lt;0.8),1,0)</f>
        <v/>
      </c>
      <c r="I539" s="30">
        <f>IF(AND(B539&gt;=8,D539&lt;&gt;"",D539&gt;=0.25,D539&lt;=0.75),1,0)</f>
        <v/>
      </c>
      <c r="J539" s="2" t="n"/>
    </row>
    <row r="540">
      <c r="A540" s="2" t="inlineStr">
        <is>
          <t>IMP00533</t>
        </is>
      </c>
      <c r="B540" s="2" t="n">
        <v>105</v>
      </c>
      <c r="C540" s="19" t="n">
        <v>0.963</v>
      </c>
      <c r="D540" s="29" t="n">
        <v>0.2286</v>
      </c>
      <c r="E540" s="2" t="n">
        <v>3</v>
      </c>
      <c r="F540" s="2" t="n">
        <v>0</v>
      </c>
      <c r="G540" s="2" t="n">
        <v>0</v>
      </c>
      <c r="H540" s="30">
        <f>IF(AND(B540&gt;=5,C540&lt;&gt;"",C540&lt;0.8),1,0)</f>
        <v/>
      </c>
      <c r="I540" s="30">
        <f>IF(AND(B540&gt;=8,D540&lt;&gt;"",D540&gt;=0.25,D540&lt;=0.75),1,0)</f>
        <v/>
      </c>
      <c r="J540" s="2" t="n"/>
    </row>
    <row r="541">
      <c r="A541" s="2" t="inlineStr">
        <is>
          <t>IMP00534</t>
        </is>
      </c>
      <c r="B541" s="2" t="n">
        <v>107</v>
      </c>
      <c r="C541" s="19" t="n">
        <v>1.014</v>
      </c>
      <c r="D541" s="29" t="n">
        <v>0.1776</v>
      </c>
      <c r="E541" s="2" t="n">
        <v>2</v>
      </c>
      <c r="F541" s="2" t="n">
        <v>0</v>
      </c>
      <c r="G541" s="2" t="n">
        <v>0</v>
      </c>
      <c r="H541" s="30">
        <f>IF(AND(B541&gt;=5,C541&lt;&gt;"",C541&lt;0.8),1,0)</f>
        <v/>
      </c>
      <c r="I541" s="30">
        <f>IF(AND(B541&gt;=8,D541&lt;&gt;"",D541&gt;=0.25,D541&lt;=0.75),1,0)</f>
        <v/>
      </c>
      <c r="J541" s="2" t="n"/>
    </row>
    <row r="542">
      <c r="A542" s="2" t="inlineStr">
        <is>
          <t>IMP00535</t>
        </is>
      </c>
      <c r="B542" s="2" t="n">
        <v>41</v>
      </c>
      <c r="C542" s="19" t="n">
        <v>1.018</v>
      </c>
      <c r="D542" s="29" t="n">
        <v>0.0732</v>
      </c>
      <c r="E542" s="2" t="n">
        <v>1</v>
      </c>
      <c r="F542" s="2" t="n">
        <v>0</v>
      </c>
      <c r="G542" s="2" t="n">
        <v>0</v>
      </c>
      <c r="H542" s="30">
        <f>IF(AND(B542&gt;=5,C542&lt;&gt;"",C542&lt;0.8),1,0)</f>
        <v/>
      </c>
      <c r="I542" s="30">
        <f>IF(AND(B542&gt;=8,D542&lt;&gt;"",D542&gt;=0.25,D542&lt;=0.75),1,0)</f>
        <v/>
      </c>
      <c r="J542" s="2" t="n"/>
    </row>
    <row r="543">
      <c r="A543" s="2" t="inlineStr">
        <is>
          <t>IMP00536</t>
        </is>
      </c>
      <c r="B543" s="2" t="n">
        <v>552</v>
      </c>
      <c r="C543" s="19" t="n">
        <v>0.9885</v>
      </c>
      <c r="D543" s="29" t="n">
        <v>0.0417</v>
      </c>
      <c r="E543" s="2" t="n">
        <v>1</v>
      </c>
      <c r="F543" s="2" t="n">
        <v>0</v>
      </c>
      <c r="G543" s="2" t="n">
        <v>0</v>
      </c>
      <c r="H543" s="30">
        <f>IF(AND(B543&gt;=5,C543&lt;&gt;"",C543&lt;0.8),1,0)</f>
        <v/>
      </c>
      <c r="I543" s="30">
        <f>IF(AND(B543&gt;=8,D543&lt;&gt;"",D543&gt;=0.25,D543&lt;=0.75),1,0)</f>
        <v/>
      </c>
      <c r="J543" s="2" t="n"/>
    </row>
    <row r="544">
      <c r="A544" s="2" t="inlineStr">
        <is>
          <t>IMP00537</t>
        </is>
      </c>
      <c r="B544" s="2" t="n">
        <v>0</v>
      </c>
      <c r="C544" s="19" t="n"/>
      <c r="D544" s="29" t="n"/>
      <c r="E544" s="2" t="n">
        <v>0</v>
      </c>
      <c r="F544" s="2" t="n">
        <v>0</v>
      </c>
      <c r="G544" s="2" t="n">
        <v>0</v>
      </c>
      <c r="H544" s="30">
        <f>IF(AND(B544&gt;=5,C544&lt;&gt;"",C544&lt;0.8),1,0)</f>
        <v/>
      </c>
      <c r="I544" s="30">
        <f>IF(AND(B544&gt;=8,D544&lt;&gt;"",D544&gt;=0.25,D544&lt;=0.75),1,0)</f>
        <v/>
      </c>
      <c r="J544" s="2" t="n"/>
    </row>
    <row r="545">
      <c r="A545" s="2" t="inlineStr">
        <is>
          <t>IMP00538</t>
        </is>
      </c>
      <c r="B545" s="2" t="n">
        <v>30</v>
      </c>
      <c r="C545" s="19" t="n">
        <v>1.0665</v>
      </c>
      <c r="D545" s="29" t="n">
        <v>0</v>
      </c>
      <c r="E545" s="2" t="n">
        <v>2</v>
      </c>
      <c r="F545" s="2" t="n">
        <v>0</v>
      </c>
      <c r="G545" s="2" t="n">
        <v>0</v>
      </c>
      <c r="H545" s="30">
        <f>IF(AND(B545&gt;=5,C545&lt;&gt;"",C545&lt;0.8),1,0)</f>
        <v/>
      </c>
      <c r="I545" s="30">
        <f>IF(AND(B545&gt;=8,D545&lt;&gt;"",D545&gt;=0.25,D545&lt;=0.75),1,0)</f>
        <v/>
      </c>
      <c r="J545" s="2" t="n"/>
    </row>
    <row r="546">
      <c r="A546" s="2" t="inlineStr">
        <is>
          <t>IMP00539</t>
        </is>
      </c>
      <c r="B546" s="2" t="n">
        <v>4</v>
      </c>
      <c r="C546" s="19" t="n">
        <v>0.724</v>
      </c>
      <c r="D546" s="29" t="n">
        <v>0.75</v>
      </c>
      <c r="E546" s="2" t="n">
        <v>2</v>
      </c>
      <c r="F546" s="2" t="n">
        <v>0</v>
      </c>
      <c r="G546" s="2" t="n">
        <v>0</v>
      </c>
      <c r="H546" s="30">
        <f>IF(AND(B546&gt;=5,C546&lt;&gt;"",C546&lt;0.8),1,0)</f>
        <v/>
      </c>
      <c r="I546" s="30">
        <f>IF(AND(B546&gt;=8,D546&lt;&gt;"",D546&gt;=0.25,D546&lt;=0.75),1,0)</f>
        <v/>
      </c>
      <c r="J546" s="2" t="n"/>
    </row>
    <row r="547">
      <c r="A547" s="2" t="inlineStr">
        <is>
          <t>IMP00540</t>
        </is>
      </c>
      <c r="B547" s="2" t="n">
        <v>15</v>
      </c>
      <c r="C547" s="19" t="n">
        <v>0.9955000000000001</v>
      </c>
      <c r="D547" s="29" t="n">
        <v>0.0667</v>
      </c>
      <c r="E547" s="2" t="n">
        <v>1</v>
      </c>
      <c r="F547" s="2" t="n">
        <v>0</v>
      </c>
      <c r="G547" s="2" t="n">
        <v>0</v>
      </c>
      <c r="H547" s="30">
        <f>IF(AND(B547&gt;=5,C547&lt;&gt;"",C547&lt;0.8),1,0)</f>
        <v/>
      </c>
      <c r="I547" s="30">
        <f>IF(AND(B547&gt;=8,D547&lt;&gt;"",D547&gt;=0.25,D547&lt;=0.75),1,0)</f>
        <v/>
      </c>
      <c r="J547" s="2" t="n"/>
    </row>
    <row r="548">
      <c r="A548" s="2" t="inlineStr">
        <is>
          <t>IMP00541</t>
        </is>
      </c>
      <c r="B548" s="2" t="n">
        <v>10</v>
      </c>
      <c r="C548" s="19" t="n">
        <v>1.055</v>
      </c>
      <c r="D548" s="29" t="n">
        <v>0</v>
      </c>
      <c r="E548" s="2" t="n">
        <v>3</v>
      </c>
      <c r="F548" s="2" t="n">
        <v>0</v>
      </c>
      <c r="G548" s="2" t="n">
        <v>0</v>
      </c>
      <c r="H548" s="30">
        <f>IF(AND(B548&gt;=5,C548&lt;&gt;"",C548&lt;0.8),1,0)</f>
        <v/>
      </c>
      <c r="I548" s="30">
        <f>IF(AND(B548&gt;=8,D548&lt;&gt;"",D548&gt;=0.25,D548&lt;=0.75),1,0)</f>
        <v/>
      </c>
      <c r="J548" s="2" t="n"/>
    </row>
    <row r="549">
      <c r="A549" s="2" t="inlineStr">
        <is>
          <t>IMP00542</t>
        </is>
      </c>
      <c r="B549" s="2" t="n">
        <v>12</v>
      </c>
      <c r="C549" s="19" t="n">
        <v>0.8645</v>
      </c>
      <c r="D549" s="29" t="n">
        <v>0.0833</v>
      </c>
      <c r="E549" s="2" t="n">
        <v>1</v>
      </c>
      <c r="F549" s="2" t="n">
        <v>0</v>
      </c>
      <c r="G549" s="2" t="n">
        <v>0</v>
      </c>
      <c r="H549" s="30">
        <f>IF(AND(B549&gt;=5,C549&lt;&gt;"",C549&lt;0.8),1,0)</f>
        <v/>
      </c>
      <c r="I549" s="30">
        <f>IF(AND(B549&gt;=8,D549&lt;&gt;"",D549&gt;=0.25,D549&lt;=0.75),1,0)</f>
        <v/>
      </c>
      <c r="J549" s="2" t="n"/>
    </row>
    <row r="550">
      <c r="A550" s="2" t="inlineStr">
        <is>
          <t>IMP00543</t>
        </is>
      </c>
      <c r="B550" s="2" t="n">
        <v>0</v>
      </c>
      <c r="C550" s="19" t="n"/>
      <c r="D550" s="29" t="n"/>
      <c r="E550" s="2" t="n">
        <v>0</v>
      </c>
      <c r="F550" s="2" t="n">
        <v>0</v>
      </c>
      <c r="G550" s="2" t="n">
        <v>0</v>
      </c>
      <c r="H550" s="30">
        <f>IF(AND(B550&gt;=5,C550&lt;&gt;"",C550&lt;0.8),1,0)</f>
        <v/>
      </c>
      <c r="I550" s="30">
        <f>IF(AND(B550&gt;=8,D550&lt;&gt;"",D550&gt;=0.25,D550&lt;=0.75),1,0)</f>
        <v/>
      </c>
      <c r="J550" s="2" t="n"/>
    </row>
    <row r="551">
      <c r="A551" s="2" t="inlineStr">
        <is>
          <t>IMP00544</t>
        </is>
      </c>
      <c r="B551" s="2" t="n">
        <v>15</v>
      </c>
      <c r="C551" s="19" t="n">
        <v>1.177</v>
      </c>
      <c r="D551" s="29" t="n">
        <v>0.1333</v>
      </c>
      <c r="E551" s="2" t="n">
        <v>1</v>
      </c>
      <c r="F551" s="2" t="n">
        <v>0</v>
      </c>
      <c r="G551" s="2" t="n">
        <v>0</v>
      </c>
      <c r="H551" s="30">
        <f>IF(AND(B551&gt;=5,C551&lt;&gt;"",C551&lt;0.8),1,0)</f>
        <v/>
      </c>
      <c r="I551" s="30">
        <f>IF(AND(B551&gt;=8,D551&lt;&gt;"",D551&gt;=0.25,D551&lt;=0.75),1,0)</f>
        <v/>
      </c>
      <c r="J551" s="2" t="n"/>
    </row>
    <row r="552">
      <c r="A552" s="2" t="inlineStr">
        <is>
          <t>IMP00545</t>
        </is>
      </c>
      <c r="B552" s="2" t="n">
        <v>84</v>
      </c>
      <c r="C552" s="19" t="n">
        <v>0.7215</v>
      </c>
      <c r="D552" s="29" t="n">
        <v>0.5952</v>
      </c>
      <c r="E552" s="2" t="n">
        <v>2</v>
      </c>
      <c r="F552" s="2" t="n">
        <v>1</v>
      </c>
      <c r="G552" s="2" t="n">
        <v>1</v>
      </c>
      <c r="H552" s="30">
        <f>IF(AND(B552&gt;=5,C552&lt;&gt;"",C552&lt;0.8),1,0)</f>
        <v/>
      </c>
      <c r="I552" s="30">
        <f>IF(AND(B552&gt;=8,D552&lt;&gt;"",D552&gt;=0.25,D552&lt;=0.75),1,0)</f>
        <v/>
      </c>
      <c r="J552" s="2" t="n"/>
    </row>
    <row r="553">
      <c r="A553" s="2" t="inlineStr">
        <is>
          <t>IMP00546</t>
        </is>
      </c>
      <c r="B553" s="2" t="n">
        <v>13</v>
      </c>
      <c r="C553" s="19" t="n">
        <v>1.047</v>
      </c>
      <c r="D553" s="29" t="n">
        <v>0</v>
      </c>
      <c r="E553" s="2" t="n">
        <v>1</v>
      </c>
      <c r="F553" s="2" t="n">
        <v>0</v>
      </c>
      <c r="G553" s="2" t="n">
        <v>0</v>
      </c>
      <c r="H553" s="30">
        <f>IF(AND(B553&gt;=5,C553&lt;&gt;"",C553&lt;0.8),1,0)</f>
        <v/>
      </c>
      <c r="I553" s="30">
        <f>IF(AND(B553&gt;=8,D553&lt;&gt;"",D553&gt;=0.25,D553&lt;=0.75),1,0)</f>
        <v/>
      </c>
      <c r="J553" s="2" t="n"/>
    </row>
    <row r="554">
      <c r="A554" s="2" t="inlineStr">
        <is>
          <t>IMP00547</t>
        </is>
      </c>
      <c r="B554" s="2" t="n">
        <v>3</v>
      </c>
      <c r="C554" s="19" t="n">
        <v>0.963</v>
      </c>
      <c r="D554" s="29" t="n">
        <v>0</v>
      </c>
      <c r="E554" s="2" t="n">
        <v>1</v>
      </c>
      <c r="F554" s="2" t="n">
        <v>0</v>
      </c>
      <c r="G554" s="2" t="n">
        <v>0</v>
      </c>
      <c r="H554" s="30">
        <f>IF(AND(B554&gt;=5,C554&lt;&gt;"",C554&lt;0.8),1,0)</f>
        <v/>
      </c>
      <c r="I554" s="30">
        <f>IF(AND(B554&gt;=8,D554&lt;&gt;"",D554&gt;=0.25,D554&lt;=0.75),1,0)</f>
        <v/>
      </c>
      <c r="J554" s="2" t="n"/>
    </row>
    <row r="555">
      <c r="A555" s="2" t="inlineStr">
        <is>
          <t>IMP00548</t>
        </is>
      </c>
      <c r="B555" s="2" t="n">
        <v>377</v>
      </c>
      <c r="C555" s="19" t="n">
        <v>1</v>
      </c>
      <c r="D555" s="29" t="n">
        <v>0.0849</v>
      </c>
      <c r="E555" s="2" t="n">
        <v>1</v>
      </c>
      <c r="F555" s="2" t="n">
        <v>0</v>
      </c>
      <c r="G555" s="2" t="n">
        <v>0</v>
      </c>
      <c r="H555" s="30">
        <f>IF(AND(B555&gt;=5,C555&lt;&gt;"",C555&lt;0.8),1,0)</f>
        <v/>
      </c>
      <c r="I555" s="30">
        <f>IF(AND(B555&gt;=8,D555&lt;&gt;"",D555&gt;=0.25,D555&lt;=0.75),1,0)</f>
        <v/>
      </c>
      <c r="J555" s="2" t="n"/>
    </row>
    <row r="556">
      <c r="A556" s="2" t="inlineStr">
        <is>
          <t>IMP00549</t>
        </is>
      </c>
      <c r="B556" s="2" t="n">
        <v>178</v>
      </c>
      <c r="C556" s="19" t="n">
        <v>1.0225</v>
      </c>
      <c r="D556" s="29" t="n">
        <v>0.0169</v>
      </c>
      <c r="E556" s="2" t="n">
        <v>1</v>
      </c>
      <c r="F556" s="2" t="n">
        <v>0</v>
      </c>
      <c r="G556" s="2" t="n">
        <v>0</v>
      </c>
      <c r="H556" s="30">
        <f>IF(AND(B556&gt;=5,C556&lt;&gt;"",C556&lt;0.8),1,0)</f>
        <v/>
      </c>
      <c r="I556" s="30">
        <f>IF(AND(B556&gt;=8,D556&lt;&gt;"",D556&gt;=0.25,D556&lt;=0.75),1,0)</f>
        <v/>
      </c>
      <c r="J556" s="2" t="n"/>
    </row>
    <row r="557">
      <c r="A557" s="2" t="inlineStr">
        <is>
          <t>IMP00550</t>
        </is>
      </c>
      <c r="B557" s="2" t="n">
        <v>10</v>
      </c>
      <c r="C557" s="19" t="n">
        <v>1.024</v>
      </c>
      <c r="D557" s="29" t="n">
        <v>0.3</v>
      </c>
      <c r="E557" s="2" t="n">
        <v>2</v>
      </c>
      <c r="F557" s="2" t="n">
        <v>0</v>
      </c>
      <c r="G557" s="2" t="n">
        <v>1</v>
      </c>
      <c r="H557" s="30">
        <f>IF(AND(B557&gt;=5,C557&lt;&gt;"",C557&lt;0.8),1,0)</f>
        <v/>
      </c>
      <c r="I557" s="30">
        <f>IF(AND(B557&gt;=8,D557&lt;&gt;"",D557&gt;=0.25,D557&lt;=0.75),1,0)</f>
        <v/>
      </c>
      <c r="J557" s="2" t="n"/>
    </row>
    <row r="558">
      <c r="A558" s="2" t="inlineStr">
        <is>
          <t>IMP00551</t>
        </is>
      </c>
      <c r="B558" s="2" t="n">
        <v>96</v>
      </c>
      <c r="C558" s="19" t="n">
        <v>0.8685</v>
      </c>
      <c r="D558" s="29" t="n">
        <v>0.2917</v>
      </c>
      <c r="E558" s="2" t="n">
        <v>1</v>
      </c>
      <c r="F558" s="2" t="n">
        <v>0</v>
      </c>
      <c r="G558" s="2" t="n">
        <v>1</v>
      </c>
      <c r="H558" s="30">
        <f>IF(AND(B558&gt;=5,C558&lt;&gt;"",C558&lt;0.8),1,0)</f>
        <v/>
      </c>
      <c r="I558" s="30">
        <f>IF(AND(B558&gt;=8,D558&lt;&gt;"",D558&gt;=0.25,D558&lt;=0.75),1,0)</f>
        <v/>
      </c>
      <c r="J558" s="2" t="n"/>
    </row>
    <row r="559">
      <c r="A559" s="2" t="inlineStr">
        <is>
          <t>IMP00552</t>
        </is>
      </c>
      <c r="B559" s="2" t="n">
        <v>931</v>
      </c>
      <c r="C559" s="19" t="n">
        <v>0.972</v>
      </c>
      <c r="D559" s="29" t="n">
        <v>0.1461</v>
      </c>
      <c r="E559" s="2" t="n">
        <v>1</v>
      </c>
      <c r="F559" s="2" t="n">
        <v>0</v>
      </c>
      <c r="G559" s="2" t="n">
        <v>0</v>
      </c>
      <c r="H559" s="30">
        <f>IF(AND(B559&gt;=5,C559&lt;&gt;"",C559&lt;0.8),1,0)</f>
        <v/>
      </c>
      <c r="I559" s="30">
        <f>IF(AND(B559&gt;=8,D559&lt;&gt;"",D559&gt;=0.25,D559&lt;=0.75),1,0)</f>
        <v/>
      </c>
      <c r="J559" s="2" t="n"/>
    </row>
    <row r="560">
      <c r="A560" s="2" t="inlineStr">
        <is>
          <t>IMP00553</t>
        </is>
      </c>
      <c r="B560" s="2" t="n">
        <v>17</v>
      </c>
      <c r="C560" s="19" t="n">
        <v>1.019</v>
      </c>
      <c r="D560" s="29" t="n">
        <v>0.1176</v>
      </c>
      <c r="E560" s="2" t="n">
        <v>1</v>
      </c>
      <c r="F560" s="2" t="n">
        <v>0</v>
      </c>
      <c r="G560" s="2" t="n">
        <v>0</v>
      </c>
      <c r="H560" s="30">
        <f>IF(AND(B560&gt;=5,C560&lt;&gt;"",C560&lt;0.8),1,0)</f>
        <v/>
      </c>
      <c r="I560" s="30">
        <f>IF(AND(B560&gt;=8,D560&lt;&gt;"",D560&gt;=0.25,D560&lt;=0.75),1,0)</f>
        <v/>
      </c>
      <c r="J560" s="2" t="n"/>
    </row>
    <row r="561">
      <c r="A561" s="2" t="inlineStr">
        <is>
          <t>IMP00554</t>
        </is>
      </c>
      <c r="B561" s="2" t="n">
        <v>0</v>
      </c>
      <c r="C561" s="19" t="n"/>
      <c r="D561" s="29" t="n"/>
      <c r="E561" s="2" t="n">
        <v>0</v>
      </c>
      <c r="F561" s="2" t="n">
        <v>0</v>
      </c>
      <c r="G561" s="2" t="n">
        <v>0</v>
      </c>
      <c r="H561" s="30">
        <f>IF(AND(B561&gt;=5,C561&lt;&gt;"",C561&lt;0.8),1,0)</f>
        <v/>
      </c>
      <c r="I561" s="30">
        <f>IF(AND(B561&gt;=8,D561&lt;&gt;"",D561&gt;=0.25,D561&lt;=0.75),1,0)</f>
        <v/>
      </c>
      <c r="J561" s="2" t="n"/>
    </row>
    <row r="562">
      <c r="A562" s="2" t="inlineStr">
        <is>
          <t>IMP00555</t>
        </is>
      </c>
      <c r="B562" s="2" t="n">
        <v>104</v>
      </c>
      <c r="C562" s="19" t="n">
        <v>1.341</v>
      </c>
      <c r="D562" s="29" t="n">
        <v>0</v>
      </c>
      <c r="E562" s="2" t="n">
        <v>2</v>
      </c>
      <c r="F562" s="2" t="n">
        <v>0</v>
      </c>
      <c r="G562" s="2" t="n">
        <v>0</v>
      </c>
      <c r="H562" s="30">
        <f>IF(AND(B562&gt;=5,C562&lt;&gt;"",C562&lt;0.8),1,0)</f>
        <v/>
      </c>
      <c r="I562" s="30">
        <f>IF(AND(B562&gt;=8,D562&lt;&gt;"",D562&gt;=0.25,D562&lt;=0.75),1,0)</f>
        <v/>
      </c>
      <c r="J562" s="2" t="n"/>
    </row>
    <row r="563">
      <c r="A563" s="2" t="inlineStr">
        <is>
          <t>IMP00556</t>
        </is>
      </c>
      <c r="B563" s="2" t="n">
        <v>1</v>
      </c>
      <c r="C563" s="19" t="n">
        <v>1.463</v>
      </c>
      <c r="D563" s="29" t="n">
        <v>0</v>
      </c>
      <c r="E563" s="2" t="n">
        <v>1</v>
      </c>
      <c r="F563" s="2" t="n">
        <v>0</v>
      </c>
      <c r="G563" s="2" t="n">
        <v>0</v>
      </c>
      <c r="H563" s="30">
        <f>IF(AND(B563&gt;=5,C563&lt;&gt;"",C563&lt;0.8),1,0)</f>
        <v/>
      </c>
      <c r="I563" s="30">
        <f>IF(AND(B563&gt;=8,D563&lt;&gt;"",D563&gt;=0.25,D563&lt;=0.75),1,0)</f>
        <v/>
      </c>
      <c r="J563" s="2" t="n"/>
    </row>
    <row r="564">
      <c r="A564" s="2" t="inlineStr">
        <is>
          <t>IMP00557</t>
        </is>
      </c>
      <c r="B564" s="2" t="n">
        <v>146</v>
      </c>
      <c r="C564" s="19" t="n">
        <v>0.9419999999999999</v>
      </c>
      <c r="D564" s="29" t="n">
        <v>0.1507</v>
      </c>
      <c r="E564" s="2" t="n">
        <v>1</v>
      </c>
      <c r="F564" s="2" t="n">
        <v>0</v>
      </c>
      <c r="G564" s="2" t="n">
        <v>0</v>
      </c>
      <c r="H564" s="30">
        <f>IF(AND(B564&gt;=5,C564&lt;&gt;"",C564&lt;0.8),1,0)</f>
        <v/>
      </c>
      <c r="I564" s="30">
        <f>IF(AND(B564&gt;=8,D564&lt;&gt;"",D564&gt;=0.25,D564&lt;=0.75),1,0)</f>
        <v/>
      </c>
      <c r="J564" s="2" t="n"/>
    </row>
    <row r="565">
      <c r="A565" s="2" t="inlineStr">
        <is>
          <t>IMP00558</t>
        </is>
      </c>
      <c r="B565" s="2" t="n">
        <v>503</v>
      </c>
      <c r="C565" s="19" t="n">
        <v>1.003</v>
      </c>
      <c r="D565" s="29" t="n">
        <v>0.006</v>
      </c>
      <c r="E565" s="2" t="n">
        <v>2</v>
      </c>
      <c r="F565" s="2" t="n">
        <v>0</v>
      </c>
      <c r="G565" s="2" t="n">
        <v>0</v>
      </c>
      <c r="H565" s="30">
        <f>IF(AND(B565&gt;=5,C565&lt;&gt;"",C565&lt;0.8),1,0)</f>
        <v/>
      </c>
      <c r="I565" s="30">
        <f>IF(AND(B565&gt;=8,D565&lt;&gt;"",D565&gt;=0.25,D565&lt;=0.75),1,0)</f>
        <v/>
      </c>
      <c r="J565" s="2" t="n"/>
    </row>
    <row r="566">
      <c r="A566" s="2" t="inlineStr">
        <is>
          <t>IMP00559</t>
        </is>
      </c>
      <c r="B566" s="2" t="n">
        <v>18</v>
      </c>
      <c r="C566" s="19" t="n">
        <v>1.106</v>
      </c>
      <c r="D566" s="29" t="n">
        <v>0.0556</v>
      </c>
      <c r="E566" s="2" t="n">
        <v>1</v>
      </c>
      <c r="F566" s="2" t="n">
        <v>0</v>
      </c>
      <c r="G566" s="2" t="n">
        <v>0</v>
      </c>
      <c r="H566" s="30">
        <f>IF(AND(B566&gt;=5,C566&lt;&gt;"",C566&lt;0.8),1,0)</f>
        <v/>
      </c>
      <c r="I566" s="30">
        <f>IF(AND(B566&gt;=8,D566&lt;&gt;"",D566&gt;=0.25,D566&lt;=0.75),1,0)</f>
        <v/>
      </c>
      <c r="J566" s="2" t="n"/>
    </row>
    <row r="567">
      <c r="A567" s="2" t="inlineStr">
        <is>
          <t>IMP00560</t>
        </is>
      </c>
      <c r="B567" s="2" t="n">
        <v>133</v>
      </c>
      <c r="C567" s="19" t="n">
        <v>0.975</v>
      </c>
      <c r="D567" s="29" t="n">
        <v>0.1128</v>
      </c>
      <c r="E567" s="2" t="n">
        <v>1</v>
      </c>
      <c r="F567" s="2" t="n">
        <v>0</v>
      </c>
      <c r="G567" s="2" t="n">
        <v>0</v>
      </c>
      <c r="H567" s="30">
        <f>IF(AND(B567&gt;=5,C567&lt;&gt;"",C567&lt;0.8),1,0)</f>
        <v/>
      </c>
      <c r="I567" s="30">
        <f>IF(AND(B567&gt;=8,D567&lt;&gt;"",D567&gt;=0.25,D567&lt;=0.75),1,0)</f>
        <v/>
      </c>
      <c r="J567" s="2" t="n"/>
    </row>
    <row r="568">
      <c r="A568" s="2" t="inlineStr">
        <is>
          <t>IMP00561</t>
        </is>
      </c>
      <c r="B568" s="2" t="n">
        <v>16</v>
      </c>
      <c r="C568" s="19" t="n">
        <v>1.0345</v>
      </c>
      <c r="D568" s="29" t="n">
        <v>0.0625</v>
      </c>
      <c r="E568" s="2" t="n">
        <v>1</v>
      </c>
      <c r="F568" s="2" t="n">
        <v>0</v>
      </c>
      <c r="G568" s="2" t="n">
        <v>0</v>
      </c>
      <c r="H568" s="30">
        <f>IF(AND(B568&gt;=5,C568&lt;&gt;"",C568&lt;0.8),1,0)</f>
        <v/>
      </c>
      <c r="I568" s="30">
        <f>IF(AND(B568&gt;=8,D568&lt;&gt;"",D568&gt;=0.25,D568&lt;=0.75),1,0)</f>
        <v/>
      </c>
      <c r="J568" s="2" t="n"/>
    </row>
    <row r="569">
      <c r="A569" s="2" t="inlineStr">
        <is>
          <t>IMP00562</t>
        </is>
      </c>
      <c r="B569" s="2" t="n">
        <v>1</v>
      </c>
      <c r="C569" s="19" t="n"/>
      <c r="D569" s="29" t="n">
        <v>0</v>
      </c>
      <c r="E569" s="2" t="n">
        <v>1</v>
      </c>
      <c r="F569" s="2" t="n">
        <v>0</v>
      </c>
      <c r="G569" s="2" t="n">
        <v>0</v>
      </c>
      <c r="H569" s="30">
        <f>IF(AND(B569&gt;=5,C569&lt;&gt;"",C569&lt;0.8),1,0)</f>
        <v/>
      </c>
      <c r="I569" s="30">
        <f>IF(AND(B569&gt;=8,D569&lt;&gt;"",D569&gt;=0.25,D569&lt;=0.75),1,0)</f>
        <v/>
      </c>
      <c r="J569" s="2" t="n"/>
    </row>
    <row r="570">
      <c r="A570" s="2" t="inlineStr">
        <is>
          <t>IMP00563</t>
        </is>
      </c>
      <c r="B570" s="2" t="n">
        <v>3</v>
      </c>
      <c r="C570" s="19" t="n">
        <v>0.913</v>
      </c>
      <c r="D570" s="29" t="n">
        <v>0</v>
      </c>
      <c r="E570" s="2" t="n">
        <v>1</v>
      </c>
      <c r="F570" s="2" t="n">
        <v>0</v>
      </c>
      <c r="G570" s="2" t="n">
        <v>0</v>
      </c>
      <c r="H570" s="30">
        <f>IF(AND(B570&gt;=5,C570&lt;&gt;"",C570&lt;0.8),1,0)</f>
        <v/>
      </c>
      <c r="I570" s="30">
        <f>IF(AND(B570&gt;=8,D570&lt;&gt;"",D570&gt;=0.25,D570&lt;=0.75),1,0)</f>
        <v/>
      </c>
      <c r="J570" s="2" t="n"/>
    </row>
    <row r="571">
      <c r="A571" s="2" t="inlineStr">
        <is>
          <t>IMP00564</t>
        </is>
      </c>
      <c r="B571" s="2" t="n">
        <v>23</v>
      </c>
      <c r="C571" s="19" t="n">
        <v>0.9320000000000001</v>
      </c>
      <c r="D571" s="29" t="n">
        <v>0.2174</v>
      </c>
      <c r="E571" s="2" t="n">
        <v>1</v>
      </c>
      <c r="F571" s="2" t="n">
        <v>0</v>
      </c>
      <c r="G571" s="2" t="n">
        <v>0</v>
      </c>
      <c r="H571" s="30">
        <f>IF(AND(B571&gt;=5,C571&lt;&gt;"",C571&lt;0.8),1,0)</f>
        <v/>
      </c>
      <c r="I571" s="30">
        <f>IF(AND(B571&gt;=8,D571&lt;&gt;"",D571&gt;=0.25,D571&lt;=0.75),1,0)</f>
        <v/>
      </c>
      <c r="J571" s="2" t="n"/>
    </row>
    <row r="572">
      <c r="A572" s="2" t="inlineStr">
        <is>
          <t>IMP00565</t>
        </is>
      </c>
      <c r="B572" s="2" t="n">
        <v>7</v>
      </c>
      <c r="C572" s="19" t="n">
        <v>0.927</v>
      </c>
      <c r="D572" s="29" t="n">
        <v>0</v>
      </c>
      <c r="E572" s="2" t="n">
        <v>1</v>
      </c>
      <c r="F572" s="2" t="n">
        <v>0</v>
      </c>
      <c r="G572" s="2" t="n">
        <v>0</v>
      </c>
      <c r="H572" s="30">
        <f>IF(AND(B572&gt;=5,C572&lt;&gt;"",C572&lt;0.8),1,0)</f>
        <v/>
      </c>
      <c r="I572" s="30">
        <f>IF(AND(B572&gt;=8,D572&lt;&gt;"",D572&gt;=0.25,D572&lt;=0.75),1,0)</f>
        <v/>
      </c>
      <c r="J572" s="2" t="n"/>
    </row>
    <row r="573">
      <c r="A573" s="2" t="inlineStr">
        <is>
          <t>IMP00566</t>
        </is>
      </c>
      <c r="B573" s="2" t="n">
        <v>303</v>
      </c>
      <c r="C573" s="19" t="n">
        <v>0.9925</v>
      </c>
      <c r="D573" s="29" t="n">
        <v>0.0297</v>
      </c>
      <c r="E573" s="2" t="n">
        <v>2</v>
      </c>
      <c r="F573" s="2" t="n">
        <v>0</v>
      </c>
      <c r="G573" s="2" t="n">
        <v>0</v>
      </c>
      <c r="H573" s="30">
        <f>IF(AND(B573&gt;=5,C573&lt;&gt;"",C573&lt;0.8),1,0)</f>
        <v/>
      </c>
      <c r="I573" s="30">
        <f>IF(AND(B573&gt;=8,D573&lt;&gt;"",D573&gt;=0.25,D573&lt;=0.75),1,0)</f>
        <v/>
      </c>
      <c r="J573" s="2" t="n"/>
    </row>
    <row r="574">
      <c r="A574" s="2" t="inlineStr">
        <is>
          <t>IMP00567</t>
        </is>
      </c>
      <c r="B574" s="2" t="n">
        <v>36</v>
      </c>
      <c r="C574" s="19" t="n">
        <v>0.996</v>
      </c>
      <c r="D574" s="29" t="n">
        <v>0.0556</v>
      </c>
      <c r="E574" s="2" t="n">
        <v>2</v>
      </c>
      <c r="F574" s="2" t="n">
        <v>0</v>
      </c>
      <c r="G574" s="2" t="n">
        <v>0</v>
      </c>
      <c r="H574" s="30">
        <f>IF(AND(B574&gt;=5,C574&lt;&gt;"",C574&lt;0.8),1,0)</f>
        <v/>
      </c>
      <c r="I574" s="30">
        <f>IF(AND(B574&gt;=8,D574&lt;&gt;"",D574&gt;=0.25,D574&lt;=0.75),1,0)</f>
        <v/>
      </c>
      <c r="J574" s="2" t="n"/>
    </row>
    <row r="575">
      <c r="A575" s="2" t="inlineStr">
        <is>
          <t>IMP00568</t>
        </is>
      </c>
      <c r="B575" s="2" t="n">
        <v>48</v>
      </c>
      <c r="C575" s="19" t="n">
        <v>1.0295</v>
      </c>
      <c r="D575" s="29" t="n">
        <v>0.0208</v>
      </c>
      <c r="E575" s="2" t="n">
        <v>1</v>
      </c>
      <c r="F575" s="2" t="n">
        <v>0</v>
      </c>
      <c r="G575" s="2" t="n">
        <v>0</v>
      </c>
      <c r="H575" s="30">
        <f>IF(AND(B575&gt;=5,C575&lt;&gt;"",C575&lt;0.8),1,0)</f>
        <v/>
      </c>
      <c r="I575" s="30">
        <f>IF(AND(B575&gt;=8,D575&lt;&gt;"",D575&gt;=0.25,D575&lt;=0.75),1,0)</f>
        <v/>
      </c>
      <c r="J575" s="2" t="n"/>
    </row>
    <row r="576">
      <c r="A576" s="2" t="inlineStr">
        <is>
          <t>IMP00569</t>
        </is>
      </c>
      <c r="B576" s="2" t="n">
        <v>40</v>
      </c>
      <c r="C576" s="19" t="n">
        <v>1.148</v>
      </c>
      <c r="D576" s="29" t="n">
        <v>0.05</v>
      </c>
      <c r="E576" s="2" t="n">
        <v>1</v>
      </c>
      <c r="F576" s="2" t="n">
        <v>0</v>
      </c>
      <c r="G576" s="2" t="n">
        <v>0</v>
      </c>
      <c r="H576" s="30">
        <f>IF(AND(B576&gt;=5,C576&lt;&gt;"",C576&lt;0.8),1,0)</f>
        <v/>
      </c>
      <c r="I576" s="30">
        <f>IF(AND(B576&gt;=8,D576&lt;&gt;"",D576&gt;=0.25,D576&lt;=0.75),1,0)</f>
        <v/>
      </c>
      <c r="J576" s="2" t="n"/>
    </row>
    <row r="577">
      <c r="A577" s="2" t="inlineStr">
        <is>
          <t>IMP00570</t>
        </is>
      </c>
      <c r="B577" s="2" t="n">
        <v>0</v>
      </c>
      <c r="C577" s="19" t="n"/>
      <c r="D577" s="29" t="n"/>
      <c r="E577" s="2" t="n">
        <v>0</v>
      </c>
      <c r="F577" s="2" t="n">
        <v>0</v>
      </c>
      <c r="G577" s="2" t="n">
        <v>0</v>
      </c>
      <c r="H577" s="30">
        <f>IF(AND(B577&gt;=5,C577&lt;&gt;"",C577&lt;0.8),1,0)</f>
        <v/>
      </c>
      <c r="I577" s="30">
        <f>IF(AND(B577&gt;=8,D577&lt;&gt;"",D577&gt;=0.25,D577&lt;=0.75),1,0)</f>
        <v/>
      </c>
      <c r="J577" s="2" t="n"/>
    </row>
    <row r="578">
      <c r="A578" s="2" t="inlineStr">
        <is>
          <t>IMP00571</t>
        </is>
      </c>
      <c r="B578" s="2" t="n">
        <v>8</v>
      </c>
      <c r="C578" s="19" t="n">
        <v>0.8905</v>
      </c>
      <c r="D578" s="29" t="n">
        <v>0</v>
      </c>
      <c r="E578" s="2" t="n">
        <v>1</v>
      </c>
      <c r="F578" s="2" t="n">
        <v>0</v>
      </c>
      <c r="G578" s="2" t="n">
        <v>0</v>
      </c>
      <c r="H578" s="30">
        <f>IF(AND(B578&gt;=5,C578&lt;&gt;"",C578&lt;0.8),1,0)</f>
        <v/>
      </c>
      <c r="I578" s="30">
        <f>IF(AND(B578&gt;=8,D578&lt;&gt;"",D578&gt;=0.25,D578&lt;=0.75),1,0)</f>
        <v/>
      </c>
      <c r="J578" s="2" t="n"/>
    </row>
    <row r="579">
      <c r="A579" s="2" t="inlineStr">
        <is>
          <t>IMP00572</t>
        </is>
      </c>
      <c r="B579" s="2" t="n">
        <v>1</v>
      </c>
      <c r="C579" s="19" t="n">
        <v>1.198</v>
      </c>
      <c r="D579" s="29" t="n">
        <v>0</v>
      </c>
      <c r="E579" s="2" t="n">
        <v>1</v>
      </c>
      <c r="F579" s="2" t="n">
        <v>0</v>
      </c>
      <c r="G579" s="2" t="n">
        <v>0</v>
      </c>
      <c r="H579" s="30">
        <f>IF(AND(B579&gt;=5,C579&lt;&gt;"",C579&lt;0.8),1,0)</f>
        <v/>
      </c>
      <c r="I579" s="30">
        <f>IF(AND(B579&gt;=8,D579&lt;&gt;"",D579&gt;=0.25,D579&lt;=0.75),1,0)</f>
        <v/>
      </c>
      <c r="J579" s="2" t="n"/>
    </row>
    <row r="580">
      <c r="A580" s="2" t="inlineStr">
        <is>
          <t>IMP00573</t>
        </is>
      </c>
      <c r="B580" s="2" t="n">
        <v>403</v>
      </c>
      <c r="C580" s="19" t="n">
        <v>1.025</v>
      </c>
      <c r="D580" s="29" t="n">
        <v>0.0124</v>
      </c>
      <c r="E580" s="2" t="n">
        <v>2</v>
      </c>
      <c r="F580" s="2" t="n">
        <v>0</v>
      </c>
      <c r="G580" s="2" t="n">
        <v>0</v>
      </c>
      <c r="H580" s="30">
        <f>IF(AND(B580&gt;=5,C580&lt;&gt;"",C580&lt;0.8),1,0)</f>
        <v/>
      </c>
      <c r="I580" s="30">
        <f>IF(AND(B580&gt;=8,D580&lt;&gt;"",D580&gt;=0.25,D580&lt;=0.75),1,0)</f>
        <v/>
      </c>
      <c r="J580" s="2" t="n"/>
    </row>
    <row r="581">
      <c r="A581" s="2" t="inlineStr">
        <is>
          <t>IMP00574</t>
        </is>
      </c>
      <c r="B581" s="2" t="n">
        <v>35</v>
      </c>
      <c r="C581" s="19" t="n">
        <v>0.8159999999999999</v>
      </c>
      <c r="D581" s="29" t="n">
        <v>0.4</v>
      </c>
      <c r="E581" s="2" t="n">
        <v>2</v>
      </c>
      <c r="F581" s="2" t="n">
        <v>0</v>
      </c>
      <c r="G581" s="2" t="n">
        <v>1</v>
      </c>
      <c r="H581" s="30">
        <f>IF(AND(B581&gt;=5,C581&lt;&gt;"",C581&lt;0.8),1,0)</f>
        <v/>
      </c>
      <c r="I581" s="30">
        <f>IF(AND(B581&gt;=8,D581&lt;&gt;"",D581&gt;=0.25,D581&lt;=0.75),1,0)</f>
        <v/>
      </c>
      <c r="J581" s="2" t="n"/>
    </row>
    <row r="582">
      <c r="A582" s="2" t="inlineStr">
        <is>
          <t>IMP00575</t>
        </is>
      </c>
      <c r="B582" s="2" t="n">
        <v>1</v>
      </c>
      <c r="C582" s="19" t="n">
        <v>0.841</v>
      </c>
      <c r="D582" s="29" t="n">
        <v>0</v>
      </c>
      <c r="E582" s="2" t="n">
        <v>1</v>
      </c>
      <c r="F582" s="2" t="n">
        <v>0</v>
      </c>
      <c r="G582" s="2" t="n">
        <v>0</v>
      </c>
      <c r="H582" s="30">
        <f>IF(AND(B582&gt;=5,C582&lt;&gt;"",C582&lt;0.8),1,0)</f>
        <v/>
      </c>
      <c r="I582" s="30">
        <f>IF(AND(B582&gt;=8,D582&lt;&gt;"",D582&gt;=0.25,D582&lt;=0.75),1,0)</f>
        <v/>
      </c>
      <c r="J582" s="2" t="n"/>
    </row>
    <row r="583">
      <c r="A583" s="2" t="inlineStr">
        <is>
          <t>IMP00576</t>
        </is>
      </c>
      <c r="B583" s="2" t="n">
        <v>42</v>
      </c>
      <c r="C583" s="19" t="n">
        <v>0.9485</v>
      </c>
      <c r="D583" s="29" t="n">
        <v>0.09520000000000001</v>
      </c>
      <c r="E583" s="2" t="n">
        <v>1</v>
      </c>
      <c r="F583" s="2" t="n">
        <v>0</v>
      </c>
      <c r="G583" s="2" t="n">
        <v>0</v>
      </c>
      <c r="H583" s="30">
        <f>IF(AND(B583&gt;=5,C583&lt;&gt;"",C583&lt;0.8),1,0)</f>
        <v/>
      </c>
      <c r="I583" s="30">
        <f>IF(AND(B583&gt;=8,D583&lt;&gt;"",D583&gt;=0.25,D583&lt;=0.75),1,0)</f>
        <v/>
      </c>
      <c r="J583" s="2" t="n"/>
    </row>
    <row r="584">
      <c r="A584" s="2" t="inlineStr">
        <is>
          <t>IMP00577</t>
        </is>
      </c>
      <c r="B584" s="2" t="n">
        <v>58</v>
      </c>
      <c r="C584" s="19" t="n">
        <v>0.91</v>
      </c>
      <c r="D584" s="29" t="n">
        <v>0.0345</v>
      </c>
      <c r="E584" s="2" t="n">
        <v>1</v>
      </c>
      <c r="F584" s="2" t="n">
        <v>0</v>
      </c>
      <c r="G584" s="2" t="n">
        <v>0</v>
      </c>
      <c r="H584" s="30">
        <f>IF(AND(B584&gt;=5,C584&lt;&gt;"",C584&lt;0.8),1,0)</f>
        <v/>
      </c>
      <c r="I584" s="30">
        <f>IF(AND(B584&gt;=8,D584&lt;&gt;"",D584&gt;=0.25,D584&lt;=0.75),1,0)</f>
        <v/>
      </c>
      <c r="J584" s="2" t="n"/>
    </row>
    <row r="585">
      <c r="A585" s="2" t="inlineStr">
        <is>
          <t>IMP00578</t>
        </is>
      </c>
      <c r="B585" s="2" t="n">
        <v>4</v>
      </c>
      <c r="C585" s="19" t="n">
        <v>1.355</v>
      </c>
      <c r="D585" s="29" t="n">
        <v>0</v>
      </c>
      <c r="E585" s="2" t="n">
        <v>2</v>
      </c>
      <c r="F585" s="2" t="n">
        <v>0</v>
      </c>
      <c r="G585" s="2" t="n">
        <v>0</v>
      </c>
      <c r="H585" s="30">
        <f>IF(AND(B585&gt;=5,C585&lt;&gt;"",C585&lt;0.8),1,0)</f>
        <v/>
      </c>
      <c r="I585" s="30">
        <f>IF(AND(B585&gt;=8,D585&lt;&gt;"",D585&gt;=0.25,D585&lt;=0.75),1,0)</f>
        <v/>
      </c>
      <c r="J585" s="2" t="n"/>
    </row>
    <row r="586">
      <c r="A586" s="2" t="inlineStr">
        <is>
          <t>IMP00579</t>
        </is>
      </c>
      <c r="B586" s="2" t="n">
        <v>5</v>
      </c>
      <c r="C586" s="19" t="n">
        <v>1.569</v>
      </c>
      <c r="D586" s="29" t="n">
        <v>0</v>
      </c>
      <c r="E586" s="2" t="n">
        <v>1</v>
      </c>
      <c r="F586" s="2" t="n">
        <v>0</v>
      </c>
      <c r="G586" s="2" t="n">
        <v>0</v>
      </c>
      <c r="H586" s="30">
        <f>IF(AND(B586&gt;=5,C586&lt;&gt;"",C586&lt;0.8),1,0)</f>
        <v/>
      </c>
      <c r="I586" s="30">
        <f>IF(AND(B586&gt;=8,D586&lt;&gt;"",D586&gt;=0.25,D586&lt;=0.75),1,0)</f>
        <v/>
      </c>
      <c r="J586" s="2" t="n"/>
    </row>
    <row r="587">
      <c r="A587" s="2" t="inlineStr">
        <is>
          <t>IMP00580</t>
        </is>
      </c>
      <c r="B587" s="2" t="n">
        <v>7</v>
      </c>
      <c r="C587" s="19" t="n">
        <v>0.885</v>
      </c>
      <c r="D587" s="29" t="n">
        <v>0.1429</v>
      </c>
      <c r="E587" s="2" t="n">
        <v>1</v>
      </c>
      <c r="F587" s="2" t="n">
        <v>0</v>
      </c>
      <c r="G587" s="2" t="n">
        <v>0</v>
      </c>
      <c r="H587" s="30">
        <f>IF(AND(B587&gt;=5,C587&lt;&gt;"",C587&lt;0.8),1,0)</f>
        <v/>
      </c>
      <c r="I587" s="30">
        <f>IF(AND(B587&gt;=8,D587&lt;&gt;"",D587&gt;=0.25,D587&lt;=0.75),1,0)</f>
        <v/>
      </c>
      <c r="J587" s="2" t="n"/>
    </row>
    <row r="588">
      <c r="A588" s="2" t="inlineStr">
        <is>
          <t>IMP00581</t>
        </is>
      </c>
      <c r="B588" s="2" t="n">
        <v>63</v>
      </c>
      <c r="C588" s="19" t="n">
        <v>0.995</v>
      </c>
      <c r="D588" s="29" t="n">
        <v>0.0159</v>
      </c>
      <c r="E588" s="2" t="n">
        <v>1</v>
      </c>
      <c r="F588" s="2" t="n">
        <v>0</v>
      </c>
      <c r="G588" s="2" t="n">
        <v>0</v>
      </c>
      <c r="H588" s="30">
        <f>IF(AND(B588&gt;=5,C588&lt;&gt;"",C588&lt;0.8),1,0)</f>
        <v/>
      </c>
      <c r="I588" s="30">
        <f>IF(AND(B588&gt;=8,D588&lt;&gt;"",D588&gt;=0.25,D588&lt;=0.75),1,0)</f>
        <v/>
      </c>
      <c r="J588" s="2" t="n"/>
    </row>
    <row r="589">
      <c r="A589" s="2" t="inlineStr">
        <is>
          <t>IMP00582</t>
        </is>
      </c>
      <c r="B589" s="2" t="n">
        <v>2</v>
      </c>
      <c r="C589" s="19" t="n">
        <v>1.02</v>
      </c>
      <c r="D589" s="29" t="n">
        <v>0.5</v>
      </c>
      <c r="E589" s="2" t="n">
        <v>1</v>
      </c>
      <c r="F589" s="2" t="n">
        <v>0</v>
      </c>
      <c r="G589" s="2" t="n">
        <v>0</v>
      </c>
      <c r="H589" s="30">
        <f>IF(AND(B589&gt;=5,C589&lt;&gt;"",C589&lt;0.8),1,0)</f>
        <v/>
      </c>
      <c r="I589" s="30">
        <f>IF(AND(B589&gt;=8,D589&lt;&gt;"",D589&gt;=0.25,D589&lt;=0.75),1,0)</f>
        <v/>
      </c>
      <c r="J589" s="2" t="n"/>
    </row>
    <row r="590">
      <c r="A590" s="2" t="inlineStr">
        <is>
          <t>IMP00583</t>
        </is>
      </c>
      <c r="B590" s="2" t="n">
        <v>287</v>
      </c>
      <c r="C590" s="19" t="n">
        <v>1.002</v>
      </c>
      <c r="D590" s="29" t="n">
        <v>0.06270000000000001</v>
      </c>
      <c r="E590" s="2" t="n">
        <v>1</v>
      </c>
      <c r="F590" s="2" t="n">
        <v>0</v>
      </c>
      <c r="G590" s="2" t="n">
        <v>0</v>
      </c>
      <c r="H590" s="30">
        <f>IF(AND(B590&gt;=5,C590&lt;&gt;"",C590&lt;0.8),1,0)</f>
        <v/>
      </c>
      <c r="I590" s="30">
        <f>IF(AND(B590&gt;=8,D590&lt;&gt;"",D590&gt;=0.25,D590&lt;=0.75),1,0)</f>
        <v/>
      </c>
      <c r="J590" s="2" t="n"/>
    </row>
    <row r="591">
      <c r="A591" s="2" t="inlineStr">
        <is>
          <t>IMP00584</t>
        </is>
      </c>
      <c r="B591" s="2" t="n">
        <v>0</v>
      </c>
      <c r="C591" s="19" t="n"/>
      <c r="D591" s="29" t="n"/>
      <c r="E591" s="2" t="n">
        <v>0</v>
      </c>
      <c r="F591" s="2" t="n">
        <v>0</v>
      </c>
      <c r="G591" s="2" t="n">
        <v>0</v>
      </c>
      <c r="H591" s="30">
        <f>IF(AND(B591&gt;=5,C591&lt;&gt;"",C591&lt;0.8),1,0)</f>
        <v/>
      </c>
      <c r="I591" s="30">
        <f>IF(AND(B591&gt;=8,D591&lt;&gt;"",D591&gt;=0.25,D591&lt;=0.75),1,0)</f>
        <v/>
      </c>
      <c r="J591" s="2" t="n"/>
    </row>
    <row r="592">
      <c r="A592" s="2" t="inlineStr">
        <is>
          <t>IMP00585</t>
        </is>
      </c>
      <c r="B592" s="2" t="n">
        <v>1</v>
      </c>
      <c r="C592" s="19" t="n">
        <v>0.931</v>
      </c>
      <c r="D592" s="29" t="n">
        <v>0</v>
      </c>
      <c r="E592" s="2" t="n">
        <v>1</v>
      </c>
      <c r="F592" s="2" t="n">
        <v>0</v>
      </c>
      <c r="G592" s="2" t="n">
        <v>0</v>
      </c>
      <c r="H592" s="30">
        <f>IF(AND(B592&gt;=5,C592&lt;&gt;"",C592&lt;0.8),1,0)</f>
        <v/>
      </c>
      <c r="I592" s="30">
        <f>IF(AND(B592&gt;=8,D592&lt;&gt;"",D592&gt;=0.25,D592&lt;=0.75),1,0)</f>
        <v/>
      </c>
      <c r="J592" s="2" t="n"/>
    </row>
    <row r="593">
      <c r="A593" s="2" t="inlineStr">
        <is>
          <t>IMP00586</t>
        </is>
      </c>
      <c r="B593" s="2" t="n">
        <v>0</v>
      </c>
      <c r="C593" s="19" t="n"/>
      <c r="D593" s="29" t="n"/>
      <c r="E593" s="2" t="n">
        <v>0</v>
      </c>
      <c r="F593" s="2" t="n">
        <v>0</v>
      </c>
      <c r="G593" s="2" t="n">
        <v>0</v>
      </c>
      <c r="H593" s="30">
        <f>IF(AND(B593&gt;=5,C593&lt;&gt;"",C593&lt;0.8),1,0)</f>
        <v/>
      </c>
      <c r="I593" s="30">
        <f>IF(AND(B593&gt;=8,D593&lt;&gt;"",D593&gt;=0.25,D593&lt;=0.75),1,0)</f>
        <v/>
      </c>
      <c r="J593" s="2" t="n"/>
    </row>
    <row r="594">
      <c r="A594" s="2" t="inlineStr">
        <is>
          <t>IMP00587</t>
        </is>
      </c>
      <c r="B594" s="2" t="n">
        <v>29</v>
      </c>
      <c r="C594" s="19" t="n">
        <v>1.007</v>
      </c>
      <c r="D594" s="29" t="n">
        <v>0.0345</v>
      </c>
      <c r="E594" s="2" t="n">
        <v>1</v>
      </c>
      <c r="F594" s="2" t="n">
        <v>0</v>
      </c>
      <c r="G594" s="2" t="n">
        <v>0</v>
      </c>
      <c r="H594" s="30">
        <f>IF(AND(B594&gt;=5,C594&lt;&gt;"",C594&lt;0.8),1,0)</f>
        <v/>
      </c>
      <c r="I594" s="30">
        <f>IF(AND(B594&gt;=8,D594&lt;&gt;"",D594&gt;=0.25,D594&lt;=0.75),1,0)</f>
        <v/>
      </c>
      <c r="J594" s="2" t="n"/>
    </row>
    <row r="595">
      <c r="A595" s="2" t="inlineStr">
        <is>
          <t>IMP00588</t>
        </is>
      </c>
      <c r="B595" s="2" t="n">
        <v>68</v>
      </c>
      <c r="C595" s="19" t="n">
        <v>0.9565</v>
      </c>
      <c r="D595" s="29" t="n">
        <v>0.0441</v>
      </c>
      <c r="E595" s="2" t="n">
        <v>1</v>
      </c>
      <c r="F595" s="2" t="n">
        <v>0</v>
      </c>
      <c r="G595" s="2" t="n">
        <v>0</v>
      </c>
      <c r="H595" s="30">
        <f>IF(AND(B595&gt;=5,C595&lt;&gt;"",C595&lt;0.8),1,0)</f>
        <v/>
      </c>
      <c r="I595" s="30">
        <f>IF(AND(B595&gt;=8,D595&lt;&gt;"",D595&gt;=0.25,D595&lt;=0.75),1,0)</f>
        <v/>
      </c>
      <c r="J595" s="2" t="n"/>
    </row>
    <row r="596">
      <c r="A596" s="2" t="inlineStr">
        <is>
          <t>IMP00589</t>
        </is>
      </c>
      <c r="B596" s="2" t="n">
        <v>15</v>
      </c>
      <c r="C596" s="19" t="n">
        <v>0.907</v>
      </c>
      <c r="D596" s="29" t="n">
        <v>0.2</v>
      </c>
      <c r="E596" s="2" t="n">
        <v>1</v>
      </c>
      <c r="F596" s="2" t="n">
        <v>0</v>
      </c>
      <c r="G596" s="2" t="n">
        <v>0</v>
      </c>
      <c r="H596" s="30">
        <f>IF(AND(B596&gt;=5,C596&lt;&gt;"",C596&lt;0.8),1,0)</f>
        <v/>
      </c>
      <c r="I596" s="30">
        <f>IF(AND(B596&gt;=8,D596&lt;&gt;"",D596&gt;=0.25,D596&lt;=0.75),1,0)</f>
        <v/>
      </c>
      <c r="J596" s="2" t="n"/>
    </row>
    <row r="597">
      <c r="A597" s="2" t="inlineStr">
        <is>
          <t>IMP00590</t>
        </is>
      </c>
      <c r="B597" s="2" t="n">
        <v>38</v>
      </c>
      <c r="C597" s="19" t="n">
        <v>0.9115</v>
      </c>
      <c r="D597" s="29" t="n">
        <v>0.2632</v>
      </c>
      <c r="E597" s="2" t="n">
        <v>1</v>
      </c>
      <c r="F597" s="2" t="n">
        <v>0</v>
      </c>
      <c r="G597" s="2" t="n">
        <v>1</v>
      </c>
      <c r="H597" s="30">
        <f>IF(AND(B597&gt;=5,C597&lt;&gt;"",C597&lt;0.8),1,0)</f>
        <v/>
      </c>
      <c r="I597" s="30">
        <f>IF(AND(B597&gt;=8,D597&lt;&gt;"",D597&gt;=0.25,D597&lt;=0.75),1,0)</f>
        <v/>
      </c>
      <c r="J597" s="2" t="n"/>
    </row>
    <row r="598">
      <c r="A598" s="2" t="inlineStr">
        <is>
          <t>IMP00591</t>
        </is>
      </c>
      <c r="B598" s="2" t="n">
        <v>629</v>
      </c>
      <c r="C598" s="19" t="n">
        <v>0.989</v>
      </c>
      <c r="D598" s="29" t="n">
        <v>0.097</v>
      </c>
      <c r="E598" s="2" t="n">
        <v>1</v>
      </c>
      <c r="F598" s="2" t="n">
        <v>0</v>
      </c>
      <c r="G598" s="2" t="n">
        <v>0</v>
      </c>
      <c r="H598" s="30">
        <f>IF(AND(B598&gt;=5,C598&lt;&gt;"",C598&lt;0.8),1,0)</f>
        <v/>
      </c>
      <c r="I598" s="30">
        <f>IF(AND(B598&gt;=8,D598&lt;&gt;"",D598&gt;=0.25,D598&lt;=0.75),1,0)</f>
        <v/>
      </c>
      <c r="J598" s="2" t="n"/>
    </row>
    <row r="599">
      <c r="A599" s="2" t="inlineStr">
        <is>
          <t>IMP00592</t>
        </is>
      </c>
      <c r="B599" s="2" t="n">
        <v>86</v>
      </c>
      <c r="C599" s="19" t="n">
        <v>0.7625</v>
      </c>
      <c r="D599" s="29" t="n">
        <v>0.4535</v>
      </c>
      <c r="E599" s="2" t="n">
        <v>1</v>
      </c>
      <c r="F599" s="2" t="n">
        <v>1</v>
      </c>
      <c r="G599" s="2" t="n">
        <v>1</v>
      </c>
      <c r="H599" s="30">
        <f>IF(AND(B599&gt;=5,C599&lt;&gt;"",C599&lt;0.8),1,0)</f>
        <v/>
      </c>
      <c r="I599" s="30">
        <f>IF(AND(B599&gt;=8,D599&lt;&gt;"",D599&gt;=0.25,D599&lt;=0.75),1,0)</f>
        <v/>
      </c>
      <c r="J599" s="2" t="n"/>
    </row>
    <row r="600">
      <c r="A600" s="2" t="inlineStr">
        <is>
          <t>IMP00593</t>
        </is>
      </c>
      <c r="B600" s="2" t="n">
        <v>91</v>
      </c>
      <c r="C600" s="19" t="n">
        <v>0.9375</v>
      </c>
      <c r="D600" s="29" t="n">
        <v>0.0659</v>
      </c>
      <c r="E600" s="2" t="n">
        <v>1</v>
      </c>
      <c r="F600" s="2" t="n">
        <v>0</v>
      </c>
      <c r="G600" s="2" t="n">
        <v>0</v>
      </c>
      <c r="H600" s="30">
        <f>IF(AND(B600&gt;=5,C600&lt;&gt;"",C600&lt;0.8),1,0)</f>
        <v/>
      </c>
      <c r="I600" s="30">
        <f>IF(AND(B600&gt;=8,D600&lt;&gt;"",D600&gt;=0.25,D600&lt;=0.75),1,0)</f>
        <v/>
      </c>
      <c r="J600" s="2" t="n"/>
    </row>
    <row r="601">
      <c r="A601" s="2" t="inlineStr">
        <is>
          <t>IMP00594</t>
        </is>
      </c>
      <c r="B601" s="2" t="n">
        <v>6</v>
      </c>
      <c r="C601" s="19" t="n">
        <v>1.037</v>
      </c>
      <c r="D601" s="29" t="n">
        <v>0</v>
      </c>
      <c r="E601" s="2" t="n">
        <v>2</v>
      </c>
      <c r="F601" s="2" t="n">
        <v>0</v>
      </c>
      <c r="G601" s="2" t="n">
        <v>0</v>
      </c>
      <c r="H601" s="30">
        <f>IF(AND(B601&gt;=5,C601&lt;&gt;"",C601&lt;0.8),1,0)</f>
        <v/>
      </c>
      <c r="I601" s="30">
        <f>IF(AND(B601&gt;=8,D601&lt;&gt;"",D601&gt;=0.25,D601&lt;=0.75),1,0)</f>
        <v/>
      </c>
      <c r="J601" s="2" t="n"/>
    </row>
    <row r="602">
      <c r="A602" s="2" t="inlineStr">
        <is>
          <t>IMP00595</t>
        </is>
      </c>
      <c r="B602" s="2" t="n">
        <v>512</v>
      </c>
      <c r="C602" s="19" t="n">
        <v>1</v>
      </c>
      <c r="D602" s="29" t="n">
        <v>0.0059</v>
      </c>
      <c r="E602" s="2" t="n">
        <v>1</v>
      </c>
      <c r="F602" s="2" t="n">
        <v>0</v>
      </c>
      <c r="G602" s="2" t="n">
        <v>0</v>
      </c>
      <c r="H602" s="30">
        <f>IF(AND(B602&gt;=5,C602&lt;&gt;"",C602&lt;0.8),1,0)</f>
        <v/>
      </c>
      <c r="I602" s="30">
        <f>IF(AND(B602&gt;=8,D602&lt;&gt;"",D602&gt;=0.25,D602&lt;=0.75),1,0)</f>
        <v/>
      </c>
      <c r="J602" s="2" t="n"/>
    </row>
    <row r="603">
      <c r="A603" s="2" t="inlineStr">
        <is>
          <t>IMP00596</t>
        </is>
      </c>
      <c r="B603" s="2" t="n">
        <v>36</v>
      </c>
      <c r="C603" s="19" t="n">
        <v>1.139</v>
      </c>
      <c r="D603" s="29" t="n">
        <v>0.0278</v>
      </c>
      <c r="E603" s="2" t="n">
        <v>2</v>
      </c>
      <c r="F603" s="2" t="n">
        <v>0</v>
      </c>
      <c r="G603" s="2" t="n">
        <v>0</v>
      </c>
      <c r="H603" s="30">
        <f>IF(AND(B603&gt;=5,C603&lt;&gt;"",C603&lt;0.8),1,0)</f>
        <v/>
      </c>
      <c r="I603" s="30">
        <f>IF(AND(B603&gt;=8,D603&lt;&gt;"",D603&gt;=0.25,D603&lt;=0.75),1,0)</f>
        <v/>
      </c>
      <c r="J603" s="2" t="n"/>
    </row>
    <row r="604">
      <c r="A604" s="2" t="inlineStr">
        <is>
          <t>IMP00597</t>
        </is>
      </c>
      <c r="B604" s="2" t="n">
        <v>0</v>
      </c>
      <c r="C604" s="19" t="n"/>
      <c r="D604" s="29" t="n"/>
      <c r="E604" s="2" t="n">
        <v>0</v>
      </c>
      <c r="F604" s="2" t="n">
        <v>0</v>
      </c>
      <c r="G604" s="2" t="n">
        <v>0</v>
      </c>
      <c r="H604" s="30">
        <f>IF(AND(B604&gt;=5,C604&lt;&gt;"",C604&lt;0.8),1,0)</f>
        <v/>
      </c>
      <c r="I604" s="30">
        <f>IF(AND(B604&gt;=8,D604&lt;&gt;"",D604&gt;=0.25,D604&lt;=0.75),1,0)</f>
        <v/>
      </c>
      <c r="J604" s="2" t="n"/>
    </row>
    <row r="605">
      <c r="A605" s="2" t="inlineStr">
        <is>
          <t>IMP00598</t>
        </is>
      </c>
      <c r="B605" s="2" t="n">
        <v>0</v>
      </c>
      <c r="C605" s="19" t="n"/>
      <c r="D605" s="29" t="n"/>
      <c r="E605" s="2" t="n">
        <v>0</v>
      </c>
      <c r="F605" s="2" t="n">
        <v>0</v>
      </c>
      <c r="G605" s="2" t="n">
        <v>0</v>
      </c>
      <c r="H605" s="30">
        <f>IF(AND(B605&gt;=5,C605&lt;&gt;"",C605&lt;0.8),1,0)</f>
        <v/>
      </c>
      <c r="I605" s="30">
        <f>IF(AND(B605&gt;=8,D605&lt;&gt;"",D605&gt;=0.25,D605&lt;=0.75),1,0)</f>
        <v/>
      </c>
      <c r="J605" s="2" t="n"/>
    </row>
    <row r="606">
      <c r="A606" s="2" t="inlineStr">
        <is>
          <t>IMP00599</t>
        </is>
      </c>
      <c r="B606" s="2" t="n">
        <v>0</v>
      </c>
      <c r="C606" s="19" t="n"/>
      <c r="D606" s="29" t="n"/>
      <c r="E606" s="2" t="n">
        <v>0</v>
      </c>
      <c r="F606" s="2" t="n">
        <v>0</v>
      </c>
      <c r="G606" s="2" t="n">
        <v>0</v>
      </c>
      <c r="H606" s="30">
        <f>IF(AND(B606&gt;=5,C606&lt;&gt;"",C606&lt;0.8),1,0)</f>
        <v/>
      </c>
      <c r="I606" s="30">
        <f>IF(AND(B606&gt;=8,D606&lt;&gt;"",D606&gt;=0.25,D606&lt;=0.75),1,0)</f>
        <v/>
      </c>
      <c r="J606" s="2" t="n"/>
    </row>
    <row r="607">
      <c r="A607" s="2" t="inlineStr">
        <is>
          <t>IMP00600</t>
        </is>
      </c>
      <c r="B607" s="2" t="n">
        <v>50</v>
      </c>
      <c r="C607" s="19" t="n">
        <v>0.944</v>
      </c>
      <c r="D607" s="29" t="n">
        <v>0.04</v>
      </c>
      <c r="E607" s="2" t="n">
        <v>2</v>
      </c>
      <c r="F607" s="2" t="n">
        <v>0</v>
      </c>
      <c r="G607" s="2" t="n">
        <v>0</v>
      </c>
      <c r="H607" s="30">
        <f>IF(AND(B607&gt;=5,C607&lt;&gt;"",C607&lt;0.8),1,0)</f>
        <v/>
      </c>
      <c r="I607" s="30">
        <f>IF(AND(B607&gt;=8,D607&lt;&gt;"",D607&gt;=0.25,D607&lt;=0.75),1,0)</f>
        <v/>
      </c>
      <c r="J607" s="2" t="n"/>
    </row>
    <row r="608">
      <c r="A608" s="2" t="inlineStr">
        <is>
          <t>IMP00601</t>
        </is>
      </c>
      <c r="B608" s="2" t="n">
        <v>528</v>
      </c>
      <c r="C608" s="19" t="n">
        <v>0.966</v>
      </c>
      <c r="D608" s="29" t="n">
        <v>0.053</v>
      </c>
      <c r="E608" s="2" t="n">
        <v>1</v>
      </c>
      <c r="F608" s="2" t="n">
        <v>0</v>
      </c>
      <c r="G608" s="2" t="n">
        <v>0</v>
      </c>
      <c r="H608" s="30">
        <f>IF(AND(B608&gt;=5,C608&lt;&gt;"",C608&lt;0.8),1,0)</f>
        <v/>
      </c>
      <c r="I608" s="30">
        <f>IF(AND(B608&gt;=8,D608&lt;&gt;"",D608&gt;=0.25,D608&lt;=0.75),1,0)</f>
        <v/>
      </c>
      <c r="J608" s="2" t="n"/>
    </row>
    <row r="609">
      <c r="A609" s="2" t="inlineStr">
        <is>
          <t>IMP00602</t>
        </is>
      </c>
      <c r="B609" s="2" t="n">
        <v>15</v>
      </c>
      <c r="C609" s="19" t="n">
        <v>0.885</v>
      </c>
      <c r="D609" s="29" t="n">
        <v>0.1333</v>
      </c>
      <c r="E609" s="2" t="n">
        <v>1</v>
      </c>
      <c r="F609" s="2" t="n">
        <v>0</v>
      </c>
      <c r="G609" s="2" t="n">
        <v>0</v>
      </c>
      <c r="H609" s="30">
        <f>IF(AND(B609&gt;=5,C609&lt;&gt;"",C609&lt;0.8),1,0)</f>
        <v/>
      </c>
      <c r="I609" s="30">
        <f>IF(AND(B609&gt;=8,D609&lt;&gt;"",D609&gt;=0.25,D609&lt;=0.75),1,0)</f>
        <v/>
      </c>
      <c r="J609" s="2" t="n"/>
    </row>
    <row r="610">
      <c r="A610" s="2" t="inlineStr">
        <is>
          <t>IMP00603</t>
        </is>
      </c>
      <c r="B610" s="2" t="n">
        <v>14</v>
      </c>
      <c r="C610" s="19" t="n">
        <v>1.003</v>
      </c>
      <c r="D610" s="29" t="n">
        <v>0.3571</v>
      </c>
      <c r="E610" s="2" t="n">
        <v>2</v>
      </c>
      <c r="F610" s="2" t="n">
        <v>0</v>
      </c>
      <c r="G610" s="2" t="n">
        <v>1</v>
      </c>
      <c r="H610" s="30">
        <f>IF(AND(B610&gt;=5,C610&lt;&gt;"",C610&lt;0.8),1,0)</f>
        <v/>
      </c>
      <c r="I610" s="30">
        <f>IF(AND(B610&gt;=8,D610&lt;&gt;"",D610&gt;=0.25,D610&lt;=0.75),1,0)</f>
        <v/>
      </c>
      <c r="J610" s="2" t="n"/>
    </row>
    <row r="611">
      <c r="A611" s="2" t="inlineStr">
        <is>
          <t>IMP00604</t>
        </is>
      </c>
      <c r="B611" s="2" t="n">
        <v>107</v>
      </c>
      <c r="C611" s="19" t="n">
        <v>0.882</v>
      </c>
      <c r="D611" s="29" t="n">
        <v>0.1308</v>
      </c>
      <c r="E611" s="2" t="n">
        <v>1</v>
      </c>
      <c r="F611" s="2" t="n">
        <v>0</v>
      </c>
      <c r="G611" s="2" t="n">
        <v>0</v>
      </c>
      <c r="H611" s="30">
        <f>IF(AND(B611&gt;=5,C611&lt;&gt;"",C611&lt;0.8),1,0)</f>
        <v/>
      </c>
      <c r="I611" s="30">
        <f>IF(AND(B611&gt;=8,D611&lt;&gt;"",D611&gt;=0.25,D611&lt;=0.75),1,0)</f>
        <v/>
      </c>
      <c r="J611" s="2" t="n"/>
    </row>
    <row r="612">
      <c r="A612" s="2" t="inlineStr">
        <is>
          <t>IMP00605</t>
        </is>
      </c>
      <c r="B612" s="2" t="n">
        <v>188</v>
      </c>
      <c r="C612" s="19" t="n">
        <v>0.966</v>
      </c>
      <c r="D612" s="29" t="n">
        <v>0.1543</v>
      </c>
      <c r="E612" s="2" t="n">
        <v>2</v>
      </c>
      <c r="F612" s="2" t="n">
        <v>0</v>
      </c>
      <c r="G612" s="2" t="n">
        <v>0</v>
      </c>
      <c r="H612" s="30">
        <f>IF(AND(B612&gt;=5,C612&lt;&gt;"",C612&lt;0.8),1,0)</f>
        <v/>
      </c>
      <c r="I612" s="30">
        <f>IF(AND(B612&gt;=8,D612&lt;&gt;"",D612&gt;=0.25,D612&lt;=0.75),1,0)</f>
        <v/>
      </c>
      <c r="J612" s="2" t="n"/>
    </row>
    <row r="613">
      <c r="A613" s="2" t="inlineStr">
        <is>
          <t>IMP00606</t>
        </is>
      </c>
      <c r="B613" s="2" t="n">
        <v>5</v>
      </c>
      <c r="C613" s="19" t="n">
        <v>1.149</v>
      </c>
      <c r="D613" s="29" t="n">
        <v>0</v>
      </c>
      <c r="E613" s="2" t="n">
        <v>1</v>
      </c>
      <c r="F613" s="2" t="n">
        <v>0</v>
      </c>
      <c r="G613" s="2" t="n">
        <v>0</v>
      </c>
      <c r="H613" s="30">
        <f>IF(AND(B613&gt;=5,C613&lt;&gt;"",C613&lt;0.8),1,0)</f>
        <v/>
      </c>
      <c r="I613" s="30">
        <f>IF(AND(B613&gt;=8,D613&lt;&gt;"",D613&gt;=0.25,D613&lt;=0.75),1,0)</f>
        <v/>
      </c>
      <c r="J613" s="2" t="n"/>
    </row>
    <row r="614">
      <c r="A614" s="2" t="inlineStr">
        <is>
          <t>IMP00607</t>
        </is>
      </c>
      <c r="B614" s="2" t="n">
        <v>21</v>
      </c>
      <c r="C614" s="19" t="n">
        <v>1.043</v>
      </c>
      <c r="D614" s="29" t="n">
        <v>0.0476</v>
      </c>
      <c r="E614" s="2" t="n">
        <v>1</v>
      </c>
      <c r="F614" s="2" t="n">
        <v>0</v>
      </c>
      <c r="G614" s="2" t="n">
        <v>0</v>
      </c>
      <c r="H614" s="30">
        <f>IF(AND(B614&gt;=5,C614&lt;&gt;"",C614&lt;0.8),1,0)</f>
        <v/>
      </c>
      <c r="I614" s="30">
        <f>IF(AND(B614&gt;=8,D614&lt;&gt;"",D614&gt;=0.25,D614&lt;=0.75),1,0)</f>
        <v/>
      </c>
      <c r="J614" s="2" t="n"/>
    </row>
    <row r="615">
      <c r="A615" s="2" t="inlineStr">
        <is>
          <t>IMP00608</t>
        </is>
      </c>
      <c r="B615" s="2" t="n">
        <v>34</v>
      </c>
      <c r="C615" s="19" t="n">
        <v>0.9265</v>
      </c>
      <c r="D615" s="29" t="n">
        <v>0.0588</v>
      </c>
      <c r="E615" s="2" t="n">
        <v>1</v>
      </c>
      <c r="F615" s="2" t="n">
        <v>0</v>
      </c>
      <c r="G615" s="2" t="n">
        <v>0</v>
      </c>
      <c r="H615" s="30">
        <f>IF(AND(B615&gt;=5,C615&lt;&gt;"",C615&lt;0.8),1,0)</f>
        <v/>
      </c>
      <c r="I615" s="30">
        <f>IF(AND(B615&gt;=8,D615&lt;&gt;"",D615&gt;=0.25,D615&lt;=0.75),1,0)</f>
        <v/>
      </c>
      <c r="J615" s="2" t="n"/>
    </row>
    <row r="616">
      <c r="A616" s="2" t="inlineStr">
        <is>
          <t>IMP00609</t>
        </is>
      </c>
      <c r="B616" s="2" t="n">
        <v>289</v>
      </c>
      <c r="C616" s="19" t="n">
        <v>0.9419999999999999</v>
      </c>
      <c r="D616" s="29" t="n">
        <v>0.1522</v>
      </c>
      <c r="E616" s="2" t="n">
        <v>2</v>
      </c>
      <c r="F616" s="2" t="n">
        <v>0</v>
      </c>
      <c r="G616" s="2" t="n">
        <v>0</v>
      </c>
      <c r="H616" s="30">
        <f>IF(AND(B616&gt;=5,C616&lt;&gt;"",C616&lt;0.8),1,0)</f>
        <v/>
      </c>
      <c r="I616" s="30">
        <f>IF(AND(B616&gt;=8,D616&lt;&gt;"",D616&gt;=0.25,D616&lt;=0.75),1,0)</f>
        <v/>
      </c>
      <c r="J616" s="2" t="n"/>
    </row>
    <row r="617">
      <c r="A617" s="2" t="inlineStr">
        <is>
          <t>IMP00610</t>
        </is>
      </c>
      <c r="B617" s="2" t="n">
        <v>16</v>
      </c>
      <c r="C617" s="19" t="n">
        <v>0.897</v>
      </c>
      <c r="D617" s="29" t="n">
        <v>0.125</v>
      </c>
      <c r="E617" s="2" t="n">
        <v>1</v>
      </c>
      <c r="F617" s="2" t="n">
        <v>0</v>
      </c>
      <c r="G617" s="2" t="n">
        <v>0</v>
      </c>
      <c r="H617" s="30">
        <f>IF(AND(B617&gt;=5,C617&lt;&gt;"",C617&lt;0.8),1,0)</f>
        <v/>
      </c>
      <c r="I617" s="30">
        <f>IF(AND(B617&gt;=8,D617&lt;&gt;"",D617&gt;=0.25,D617&lt;=0.75),1,0)</f>
        <v/>
      </c>
      <c r="J617" s="2" t="n"/>
    </row>
    <row r="618">
      <c r="A618" s="2" t="inlineStr">
        <is>
          <t>IMP00611</t>
        </is>
      </c>
      <c r="B618" s="2" t="n">
        <v>91</v>
      </c>
      <c r="C618" s="19" t="n">
        <v>1.024</v>
      </c>
      <c r="D618" s="29" t="n">
        <v>0.011</v>
      </c>
      <c r="E618" s="2" t="n">
        <v>1</v>
      </c>
      <c r="F618" s="2" t="n">
        <v>0</v>
      </c>
      <c r="G618" s="2" t="n">
        <v>0</v>
      </c>
      <c r="H618" s="30">
        <f>IF(AND(B618&gt;=5,C618&lt;&gt;"",C618&lt;0.8),1,0)</f>
        <v/>
      </c>
      <c r="I618" s="30">
        <f>IF(AND(B618&gt;=8,D618&lt;&gt;"",D618&gt;=0.25,D618&lt;=0.75),1,0)</f>
        <v/>
      </c>
      <c r="J618" s="2" t="n"/>
    </row>
    <row r="619">
      <c r="A619" s="2" t="inlineStr">
        <is>
          <t>IMP00612</t>
        </is>
      </c>
      <c r="B619" s="2" t="n">
        <v>29</v>
      </c>
      <c r="C619" s="19" t="n">
        <v>1.321</v>
      </c>
      <c r="D619" s="29" t="n">
        <v>0</v>
      </c>
      <c r="E619" s="2" t="n">
        <v>2</v>
      </c>
      <c r="F619" s="2" t="n">
        <v>0</v>
      </c>
      <c r="G619" s="2" t="n">
        <v>0</v>
      </c>
      <c r="H619" s="30">
        <f>IF(AND(B619&gt;=5,C619&lt;&gt;"",C619&lt;0.8),1,0)</f>
        <v/>
      </c>
      <c r="I619" s="30">
        <f>IF(AND(B619&gt;=8,D619&lt;&gt;"",D619&gt;=0.25,D619&lt;=0.75),1,0)</f>
        <v/>
      </c>
      <c r="J619" s="2" t="n"/>
    </row>
    <row r="620">
      <c r="A620" s="2" t="inlineStr">
        <is>
          <t>IMP00613</t>
        </is>
      </c>
      <c r="B620" s="2" t="n">
        <v>259</v>
      </c>
      <c r="C620" s="19" t="n">
        <v>0.96</v>
      </c>
      <c r="D620" s="29" t="n">
        <v>0.1197</v>
      </c>
      <c r="E620" s="2" t="n">
        <v>4</v>
      </c>
      <c r="F620" s="2" t="n">
        <v>0</v>
      </c>
      <c r="G620" s="2" t="n">
        <v>0</v>
      </c>
      <c r="H620" s="30">
        <f>IF(AND(B620&gt;=5,C620&lt;&gt;"",C620&lt;0.8),1,0)</f>
        <v/>
      </c>
      <c r="I620" s="30">
        <f>IF(AND(B620&gt;=8,D620&lt;&gt;"",D620&gt;=0.25,D620&lt;=0.75),1,0)</f>
        <v/>
      </c>
      <c r="J620" s="2" t="n"/>
    </row>
    <row r="621">
      <c r="A621" s="2" t="inlineStr">
        <is>
          <t>IMP00614</t>
        </is>
      </c>
      <c r="B621" s="2" t="n">
        <v>36</v>
      </c>
      <c r="C621" s="19" t="n">
        <v>0.893</v>
      </c>
      <c r="D621" s="29" t="n">
        <v>0.3333</v>
      </c>
      <c r="E621" s="2" t="n">
        <v>1</v>
      </c>
      <c r="F621" s="2" t="n">
        <v>0</v>
      </c>
      <c r="G621" s="2" t="n">
        <v>1</v>
      </c>
      <c r="H621" s="30">
        <f>IF(AND(B621&gt;=5,C621&lt;&gt;"",C621&lt;0.8),1,0)</f>
        <v/>
      </c>
      <c r="I621" s="30">
        <f>IF(AND(B621&gt;=8,D621&lt;&gt;"",D621&gt;=0.25,D621&lt;=0.75),1,0)</f>
        <v/>
      </c>
      <c r="J621" s="2" t="n"/>
    </row>
    <row r="622">
      <c r="A622" s="2" t="inlineStr">
        <is>
          <t>IMP00615</t>
        </is>
      </c>
      <c r="B622" s="2" t="n">
        <v>7</v>
      </c>
      <c r="C622" s="19" t="n">
        <v>0.998</v>
      </c>
      <c r="D622" s="29" t="n">
        <v>0</v>
      </c>
      <c r="E622" s="2" t="n">
        <v>3</v>
      </c>
      <c r="F622" s="2" t="n">
        <v>0</v>
      </c>
      <c r="G622" s="2" t="n">
        <v>0</v>
      </c>
      <c r="H622" s="30">
        <f>IF(AND(B622&gt;=5,C622&lt;&gt;"",C622&lt;0.8),1,0)</f>
        <v/>
      </c>
      <c r="I622" s="30">
        <f>IF(AND(B622&gt;=8,D622&lt;&gt;"",D622&gt;=0.25,D622&lt;=0.75),1,0)</f>
        <v/>
      </c>
      <c r="J622" s="2" t="n"/>
    </row>
    <row r="623">
      <c r="A623" s="2" t="inlineStr">
        <is>
          <t>IMP00616</t>
        </is>
      </c>
      <c r="B623" s="2" t="n">
        <v>48</v>
      </c>
      <c r="C623" s="19" t="n">
        <v>1.176</v>
      </c>
      <c r="D623" s="29" t="n">
        <v>0</v>
      </c>
      <c r="E623" s="2" t="n">
        <v>1</v>
      </c>
      <c r="F623" s="2" t="n">
        <v>0</v>
      </c>
      <c r="G623" s="2" t="n">
        <v>0</v>
      </c>
      <c r="H623" s="30">
        <f>IF(AND(B623&gt;=5,C623&lt;&gt;"",C623&lt;0.8),1,0)</f>
        <v/>
      </c>
      <c r="I623" s="30">
        <f>IF(AND(B623&gt;=8,D623&lt;&gt;"",D623&gt;=0.25,D623&lt;=0.75),1,0)</f>
        <v/>
      </c>
      <c r="J623" s="2" t="n"/>
    </row>
    <row r="624">
      <c r="A624" s="2" t="inlineStr">
        <is>
          <t>IMP00617</t>
        </is>
      </c>
      <c r="B624" s="2" t="n">
        <v>14</v>
      </c>
      <c r="C624" s="19" t="n">
        <v>0.945</v>
      </c>
      <c r="D624" s="29" t="n">
        <v>0.1429</v>
      </c>
      <c r="E624" s="2" t="n">
        <v>1</v>
      </c>
      <c r="F624" s="2" t="n">
        <v>0</v>
      </c>
      <c r="G624" s="2" t="n">
        <v>0</v>
      </c>
      <c r="H624" s="30">
        <f>IF(AND(B624&gt;=5,C624&lt;&gt;"",C624&lt;0.8),1,0)</f>
        <v/>
      </c>
      <c r="I624" s="30">
        <f>IF(AND(B624&gt;=8,D624&lt;&gt;"",D624&gt;=0.25,D624&lt;=0.75),1,0)</f>
        <v/>
      </c>
      <c r="J624" s="2" t="n"/>
    </row>
    <row r="625">
      <c r="A625" s="2" t="inlineStr">
        <is>
          <t>IMP00618</t>
        </is>
      </c>
      <c r="B625" s="2" t="n">
        <v>0</v>
      </c>
      <c r="C625" s="19" t="n"/>
      <c r="D625" s="29" t="n"/>
      <c r="E625" s="2" t="n">
        <v>0</v>
      </c>
      <c r="F625" s="2" t="n">
        <v>0</v>
      </c>
      <c r="G625" s="2" t="n">
        <v>0</v>
      </c>
      <c r="H625" s="30">
        <f>IF(AND(B625&gt;=5,C625&lt;&gt;"",C625&lt;0.8),1,0)</f>
        <v/>
      </c>
      <c r="I625" s="30">
        <f>IF(AND(B625&gt;=8,D625&lt;&gt;"",D625&gt;=0.25,D625&lt;=0.75),1,0)</f>
        <v/>
      </c>
      <c r="J625" s="2" t="n"/>
    </row>
    <row r="626">
      <c r="A626" s="2" t="inlineStr">
        <is>
          <t>IMP00619</t>
        </is>
      </c>
      <c r="B626" s="2" t="n">
        <v>8</v>
      </c>
      <c r="C626" s="19" t="n">
        <v>0.966</v>
      </c>
      <c r="D626" s="29" t="n">
        <v>0.125</v>
      </c>
      <c r="E626" s="2" t="n">
        <v>1</v>
      </c>
      <c r="F626" s="2" t="n">
        <v>0</v>
      </c>
      <c r="G626" s="2" t="n">
        <v>0</v>
      </c>
      <c r="H626" s="30">
        <f>IF(AND(B626&gt;=5,C626&lt;&gt;"",C626&lt;0.8),1,0)</f>
        <v/>
      </c>
      <c r="I626" s="30">
        <f>IF(AND(B626&gt;=8,D626&lt;&gt;"",D626&gt;=0.25,D626&lt;=0.75),1,0)</f>
        <v/>
      </c>
      <c r="J626" s="2" t="n"/>
    </row>
    <row r="627">
      <c r="A627" s="2" t="inlineStr">
        <is>
          <t>IMP00620</t>
        </is>
      </c>
      <c r="B627" s="2" t="n">
        <v>3</v>
      </c>
      <c r="C627" s="19" t="n">
        <v>0.948</v>
      </c>
      <c r="D627" s="29" t="n">
        <v>0</v>
      </c>
      <c r="E627" s="2" t="n">
        <v>2</v>
      </c>
      <c r="F627" s="2" t="n">
        <v>0</v>
      </c>
      <c r="G627" s="2" t="n">
        <v>0</v>
      </c>
      <c r="H627" s="30">
        <f>IF(AND(B627&gt;=5,C627&lt;&gt;"",C627&lt;0.8),1,0)</f>
        <v/>
      </c>
      <c r="I627" s="30">
        <f>IF(AND(B627&gt;=8,D627&lt;&gt;"",D627&gt;=0.25,D627&lt;=0.75),1,0)</f>
        <v/>
      </c>
      <c r="J627" s="2" t="n"/>
    </row>
    <row r="628">
      <c r="A628" s="2" t="inlineStr">
        <is>
          <t>IMP00621</t>
        </is>
      </c>
      <c r="B628" s="2" t="n">
        <v>17</v>
      </c>
      <c r="C628" s="19" t="n">
        <v>0.9419999999999999</v>
      </c>
      <c r="D628" s="29" t="n">
        <v>0.1765</v>
      </c>
      <c r="E628" s="2" t="n">
        <v>1</v>
      </c>
      <c r="F628" s="2" t="n">
        <v>0</v>
      </c>
      <c r="G628" s="2" t="n">
        <v>0</v>
      </c>
      <c r="H628" s="30">
        <f>IF(AND(B628&gt;=5,C628&lt;&gt;"",C628&lt;0.8),1,0)</f>
        <v/>
      </c>
      <c r="I628" s="30">
        <f>IF(AND(B628&gt;=8,D628&lt;&gt;"",D628&gt;=0.25,D628&lt;=0.75),1,0)</f>
        <v/>
      </c>
      <c r="J628" s="2" t="n"/>
    </row>
    <row r="629">
      <c r="A629" s="2" t="inlineStr">
        <is>
          <t>IMP00622</t>
        </is>
      </c>
      <c r="B629" s="2" t="n">
        <v>233</v>
      </c>
      <c r="C629" s="19" t="n">
        <v>1.017</v>
      </c>
      <c r="D629" s="29" t="n">
        <v>0.0086</v>
      </c>
      <c r="E629" s="2" t="n">
        <v>1</v>
      </c>
      <c r="F629" s="2" t="n">
        <v>0</v>
      </c>
      <c r="G629" s="2" t="n">
        <v>0</v>
      </c>
      <c r="H629" s="30">
        <f>IF(AND(B629&gt;=5,C629&lt;&gt;"",C629&lt;0.8),1,0)</f>
        <v/>
      </c>
      <c r="I629" s="30">
        <f>IF(AND(B629&gt;=8,D629&lt;&gt;"",D629&gt;=0.25,D629&lt;=0.75),1,0)</f>
        <v/>
      </c>
      <c r="J629" s="2" t="n"/>
    </row>
    <row r="630">
      <c r="A630" s="2" t="inlineStr">
        <is>
          <t>IMP00623</t>
        </is>
      </c>
      <c r="B630" s="2" t="n">
        <v>5</v>
      </c>
      <c r="C630" s="19" t="n">
        <v>0.994</v>
      </c>
      <c r="D630" s="29" t="n">
        <v>0</v>
      </c>
      <c r="E630" s="2" t="n">
        <v>1</v>
      </c>
      <c r="F630" s="2" t="n">
        <v>0</v>
      </c>
      <c r="G630" s="2" t="n">
        <v>0</v>
      </c>
      <c r="H630" s="30">
        <f>IF(AND(B630&gt;=5,C630&lt;&gt;"",C630&lt;0.8),1,0)</f>
        <v/>
      </c>
      <c r="I630" s="30">
        <f>IF(AND(B630&gt;=8,D630&lt;&gt;"",D630&gt;=0.25,D630&lt;=0.75),1,0)</f>
        <v/>
      </c>
      <c r="J630" s="2" t="n"/>
    </row>
    <row r="631">
      <c r="A631" s="2" t="inlineStr">
        <is>
          <t>IMP00624</t>
        </is>
      </c>
      <c r="B631" s="2" t="n">
        <v>212</v>
      </c>
      <c r="C631" s="19" t="n">
        <v>1.0005</v>
      </c>
      <c r="D631" s="29" t="n">
        <v>0.0283</v>
      </c>
      <c r="E631" s="2" t="n">
        <v>1</v>
      </c>
      <c r="F631" s="2" t="n">
        <v>0</v>
      </c>
      <c r="G631" s="2" t="n">
        <v>0</v>
      </c>
      <c r="H631" s="30">
        <f>IF(AND(B631&gt;=5,C631&lt;&gt;"",C631&lt;0.8),1,0)</f>
        <v/>
      </c>
      <c r="I631" s="30">
        <f>IF(AND(B631&gt;=8,D631&lt;&gt;"",D631&gt;=0.25,D631&lt;=0.75),1,0)</f>
        <v/>
      </c>
      <c r="J631" s="2" t="n"/>
    </row>
    <row r="632">
      <c r="A632" s="2" t="inlineStr">
        <is>
          <t>IMP00625</t>
        </is>
      </c>
      <c r="B632" s="2" t="n">
        <v>92</v>
      </c>
      <c r="C632" s="19" t="n">
        <v>0.949</v>
      </c>
      <c r="D632" s="29" t="n">
        <v>0.08699999999999999</v>
      </c>
      <c r="E632" s="2" t="n">
        <v>1</v>
      </c>
      <c r="F632" s="2" t="n">
        <v>0</v>
      </c>
      <c r="G632" s="2" t="n">
        <v>0</v>
      </c>
      <c r="H632" s="30">
        <f>IF(AND(B632&gt;=5,C632&lt;&gt;"",C632&lt;0.8),1,0)</f>
        <v/>
      </c>
      <c r="I632" s="30">
        <f>IF(AND(B632&gt;=8,D632&lt;&gt;"",D632&gt;=0.25,D632&lt;=0.75),1,0)</f>
        <v/>
      </c>
      <c r="J632" s="2" t="n"/>
    </row>
    <row r="633">
      <c r="A633" s="2" t="inlineStr">
        <is>
          <t>IMP00626</t>
        </is>
      </c>
      <c r="B633" s="2" t="n">
        <v>0</v>
      </c>
      <c r="C633" s="19" t="n"/>
      <c r="D633" s="29" t="n"/>
      <c r="E633" s="2" t="n">
        <v>0</v>
      </c>
      <c r="F633" s="2" t="n">
        <v>0</v>
      </c>
      <c r="G633" s="2" t="n">
        <v>0</v>
      </c>
      <c r="H633" s="30">
        <f>IF(AND(B633&gt;=5,C633&lt;&gt;"",C633&lt;0.8),1,0)</f>
        <v/>
      </c>
      <c r="I633" s="30">
        <f>IF(AND(B633&gt;=8,D633&lt;&gt;"",D633&gt;=0.25,D633&lt;=0.75),1,0)</f>
        <v/>
      </c>
      <c r="J633" s="2" t="n"/>
    </row>
    <row r="634">
      <c r="A634" s="2" t="inlineStr">
        <is>
          <t>IMP00627</t>
        </is>
      </c>
      <c r="B634" s="2" t="n">
        <v>57</v>
      </c>
      <c r="C634" s="19" t="n">
        <v>0.969</v>
      </c>
      <c r="D634" s="29" t="n">
        <v>0.2105</v>
      </c>
      <c r="E634" s="2" t="n">
        <v>1</v>
      </c>
      <c r="F634" s="2" t="n">
        <v>0</v>
      </c>
      <c r="G634" s="2" t="n">
        <v>0</v>
      </c>
      <c r="H634" s="30">
        <f>IF(AND(B634&gt;=5,C634&lt;&gt;"",C634&lt;0.8),1,0)</f>
        <v/>
      </c>
      <c r="I634" s="30">
        <f>IF(AND(B634&gt;=8,D634&lt;&gt;"",D634&gt;=0.25,D634&lt;=0.75),1,0)</f>
        <v/>
      </c>
      <c r="J634" s="2" t="n"/>
    </row>
    <row r="635">
      <c r="A635" s="2" t="inlineStr">
        <is>
          <t>IMP00628</t>
        </is>
      </c>
      <c r="B635" s="2" t="n">
        <v>85</v>
      </c>
      <c r="C635" s="19" t="n">
        <v>0.858</v>
      </c>
      <c r="D635" s="29" t="n">
        <v>0.1882</v>
      </c>
      <c r="E635" s="2" t="n">
        <v>1</v>
      </c>
      <c r="F635" s="2" t="n">
        <v>0</v>
      </c>
      <c r="G635" s="2" t="n">
        <v>0</v>
      </c>
      <c r="H635" s="30">
        <f>IF(AND(B635&gt;=5,C635&lt;&gt;"",C635&lt;0.8),1,0)</f>
        <v/>
      </c>
      <c r="I635" s="30">
        <f>IF(AND(B635&gt;=8,D635&lt;&gt;"",D635&gt;=0.25,D635&lt;=0.75),1,0)</f>
        <v/>
      </c>
      <c r="J635" s="2" t="n"/>
    </row>
    <row r="636">
      <c r="A636" s="2" t="inlineStr">
        <is>
          <t>IMP00629</t>
        </is>
      </c>
      <c r="B636" s="2" t="n">
        <v>26</v>
      </c>
      <c r="C636" s="19" t="n">
        <v>0.761</v>
      </c>
      <c r="D636" s="29" t="n">
        <v>0.4231</v>
      </c>
      <c r="E636" s="2" t="n">
        <v>1</v>
      </c>
      <c r="F636" s="2" t="n">
        <v>1</v>
      </c>
      <c r="G636" s="2" t="n">
        <v>1</v>
      </c>
      <c r="H636" s="30">
        <f>IF(AND(B636&gt;=5,C636&lt;&gt;"",C636&lt;0.8),1,0)</f>
        <v/>
      </c>
      <c r="I636" s="30">
        <f>IF(AND(B636&gt;=8,D636&lt;&gt;"",D636&gt;=0.25,D636&lt;=0.75),1,0)</f>
        <v/>
      </c>
      <c r="J636" s="2" t="n"/>
    </row>
    <row r="637">
      <c r="A637" s="2" t="inlineStr">
        <is>
          <t>IMP00630</t>
        </is>
      </c>
      <c r="B637" s="2" t="n">
        <v>72</v>
      </c>
      <c r="C637" s="19" t="n">
        <v>0.9485</v>
      </c>
      <c r="D637" s="29" t="n">
        <v>0.0278</v>
      </c>
      <c r="E637" s="2" t="n">
        <v>1</v>
      </c>
      <c r="F637" s="2" t="n">
        <v>0</v>
      </c>
      <c r="G637" s="2" t="n">
        <v>0</v>
      </c>
      <c r="H637" s="30">
        <f>IF(AND(B637&gt;=5,C637&lt;&gt;"",C637&lt;0.8),1,0)</f>
        <v/>
      </c>
      <c r="I637" s="30">
        <f>IF(AND(B637&gt;=8,D637&lt;&gt;"",D637&gt;=0.25,D637&lt;=0.75),1,0)</f>
        <v/>
      </c>
      <c r="J637" s="2" t="n"/>
    </row>
    <row r="638">
      <c r="A638" s="2" t="inlineStr">
        <is>
          <t>IMP00631</t>
        </is>
      </c>
      <c r="B638" s="2" t="n">
        <v>2</v>
      </c>
      <c r="C638" s="19" t="n">
        <v>1.0265</v>
      </c>
      <c r="D638" s="29" t="n">
        <v>0.5</v>
      </c>
      <c r="E638" s="2" t="n">
        <v>1</v>
      </c>
      <c r="F638" s="2" t="n">
        <v>0</v>
      </c>
      <c r="G638" s="2" t="n">
        <v>0</v>
      </c>
      <c r="H638" s="30">
        <f>IF(AND(B638&gt;=5,C638&lt;&gt;"",C638&lt;0.8),1,0)</f>
        <v/>
      </c>
      <c r="I638" s="30">
        <f>IF(AND(B638&gt;=8,D638&lt;&gt;"",D638&gt;=0.25,D638&lt;=0.75),1,0)</f>
        <v/>
      </c>
      <c r="J638" s="2" t="n"/>
    </row>
    <row r="639">
      <c r="A639" s="2" t="inlineStr">
        <is>
          <t>IMP00632</t>
        </is>
      </c>
      <c r="B639" s="2" t="n">
        <v>216</v>
      </c>
      <c r="C639" s="19" t="n">
        <v>0.978</v>
      </c>
      <c r="D639" s="29" t="n">
        <v>0.1944</v>
      </c>
      <c r="E639" s="2" t="n">
        <v>2</v>
      </c>
      <c r="F639" s="2" t="n">
        <v>0</v>
      </c>
      <c r="G639" s="2" t="n">
        <v>0</v>
      </c>
      <c r="H639" s="30">
        <f>IF(AND(B639&gt;=5,C639&lt;&gt;"",C639&lt;0.8),1,0)</f>
        <v/>
      </c>
      <c r="I639" s="30">
        <f>IF(AND(B639&gt;=8,D639&lt;&gt;"",D639&gt;=0.25,D639&lt;=0.75),1,0)</f>
        <v/>
      </c>
      <c r="J639" s="2" t="n"/>
    </row>
    <row r="640">
      <c r="A640" s="2" t="inlineStr">
        <is>
          <t>IMP00633</t>
        </is>
      </c>
      <c r="B640" s="2" t="n">
        <v>2</v>
      </c>
      <c r="C640" s="19" t="n">
        <v>0.9505</v>
      </c>
      <c r="D640" s="29" t="n">
        <v>0</v>
      </c>
      <c r="E640" s="2" t="n">
        <v>1</v>
      </c>
      <c r="F640" s="2" t="n">
        <v>0</v>
      </c>
      <c r="G640" s="2" t="n">
        <v>0</v>
      </c>
      <c r="H640" s="30">
        <f>IF(AND(B640&gt;=5,C640&lt;&gt;"",C640&lt;0.8),1,0)</f>
        <v/>
      </c>
      <c r="I640" s="30">
        <f>IF(AND(B640&gt;=8,D640&lt;&gt;"",D640&gt;=0.25,D640&lt;=0.75),1,0)</f>
        <v/>
      </c>
      <c r="J640" s="2" t="n"/>
    </row>
    <row r="641">
      <c r="A641" s="2" t="inlineStr">
        <is>
          <t>IMP00634</t>
        </is>
      </c>
      <c r="B641" s="2" t="n">
        <v>0</v>
      </c>
      <c r="C641" s="19" t="n"/>
      <c r="D641" s="29" t="n"/>
      <c r="E641" s="2" t="n">
        <v>0</v>
      </c>
      <c r="F641" s="2" t="n">
        <v>0</v>
      </c>
      <c r="G641" s="2" t="n">
        <v>0</v>
      </c>
      <c r="H641" s="30">
        <f>IF(AND(B641&gt;=5,C641&lt;&gt;"",C641&lt;0.8),1,0)</f>
        <v/>
      </c>
      <c r="I641" s="30">
        <f>IF(AND(B641&gt;=8,D641&lt;&gt;"",D641&gt;=0.25,D641&lt;=0.75),1,0)</f>
        <v/>
      </c>
      <c r="J641" s="2" t="n"/>
    </row>
    <row r="642">
      <c r="A642" s="2" t="inlineStr">
        <is>
          <t>IMP00635</t>
        </is>
      </c>
      <c r="B642" s="2" t="n">
        <v>38</v>
      </c>
      <c r="C642" s="19" t="n">
        <v>1.0255</v>
      </c>
      <c r="D642" s="29" t="n">
        <v>0.0263</v>
      </c>
      <c r="E642" s="2" t="n">
        <v>1</v>
      </c>
      <c r="F642" s="2" t="n">
        <v>0</v>
      </c>
      <c r="G642" s="2" t="n">
        <v>0</v>
      </c>
      <c r="H642" s="30">
        <f>IF(AND(B642&gt;=5,C642&lt;&gt;"",C642&lt;0.8),1,0)</f>
        <v/>
      </c>
      <c r="I642" s="30">
        <f>IF(AND(B642&gt;=8,D642&lt;&gt;"",D642&gt;=0.25,D642&lt;=0.75),1,0)</f>
        <v/>
      </c>
      <c r="J642" s="2" t="n"/>
    </row>
    <row r="643">
      <c r="A643" s="2" t="inlineStr">
        <is>
          <t>IMP00636</t>
        </is>
      </c>
      <c r="B643" s="2" t="n">
        <v>33</v>
      </c>
      <c r="C643" s="19" t="n">
        <v>0.958</v>
      </c>
      <c r="D643" s="29" t="n">
        <v>0.0606</v>
      </c>
      <c r="E643" s="2" t="n">
        <v>1</v>
      </c>
      <c r="F643" s="2" t="n">
        <v>0</v>
      </c>
      <c r="G643" s="2" t="n">
        <v>0</v>
      </c>
      <c r="H643" s="30">
        <f>IF(AND(B643&gt;=5,C643&lt;&gt;"",C643&lt;0.8),1,0)</f>
        <v/>
      </c>
      <c r="I643" s="30">
        <f>IF(AND(B643&gt;=8,D643&lt;&gt;"",D643&gt;=0.25,D643&lt;=0.75),1,0)</f>
        <v/>
      </c>
      <c r="J643" s="2" t="n"/>
    </row>
    <row r="644">
      <c r="A644" s="2" t="inlineStr">
        <is>
          <t>IMP00637</t>
        </is>
      </c>
      <c r="B644" s="2" t="n">
        <v>115</v>
      </c>
      <c r="C644" s="19" t="n">
        <v>1.102</v>
      </c>
      <c r="D644" s="29" t="n">
        <v>0.0522</v>
      </c>
      <c r="E644" s="2" t="n">
        <v>2</v>
      </c>
      <c r="F644" s="2" t="n">
        <v>0</v>
      </c>
      <c r="G644" s="2" t="n">
        <v>0</v>
      </c>
      <c r="H644" s="30">
        <f>IF(AND(B644&gt;=5,C644&lt;&gt;"",C644&lt;0.8),1,0)</f>
        <v/>
      </c>
      <c r="I644" s="30">
        <f>IF(AND(B644&gt;=8,D644&lt;&gt;"",D644&gt;=0.25,D644&lt;=0.75),1,0)</f>
        <v/>
      </c>
      <c r="J644" s="2" t="n"/>
    </row>
    <row r="645">
      <c r="A645" s="2" t="inlineStr">
        <is>
          <t>IMP00638</t>
        </is>
      </c>
      <c r="B645" s="2" t="n">
        <v>40</v>
      </c>
      <c r="C645" s="19" t="n">
        <v>0.9645</v>
      </c>
      <c r="D645" s="29" t="n">
        <v>0.025</v>
      </c>
      <c r="E645" s="2" t="n">
        <v>1</v>
      </c>
      <c r="F645" s="2" t="n">
        <v>0</v>
      </c>
      <c r="G645" s="2" t="n">
        <v>0</v>
      </c>
      <c r="H645" s="30">
        <f>IF(AND(B645&gt;=5,C645&lt;&gt;"",C645&lt;0.8),1,0)</f>
        <v/>
      </c>
      <c r="I645" s="30">
        <f>IF(AND(B645&gt;=8,D645&lt;&gt;"",D645&gt;=0.25,D645&lt;=0.75),1,0)</f>
        <v/>
      </c>
      <c r="J645" s="2" t="n"/>
    </row>
    <row r="646">
      <c r="A646" s="2" t="inlineStr">
        <is>
          <t>IMP00639</t>
        </is>
      </c>
      <c r="B646" s="2" t="n">
        <v>47</v>
      </c>
      <c r="C646" s="19" t="n">
        <v>1.062</v>
      </c>
      <c r="D646" s="29" t="n">
        <v>0.0426</v>
      </c>
      <c r="E646" s="2" t="n">
        <v>1</v>
      </c>
      <c r="F646" s="2" t="n">
        <v>0</v>
      </c>
      <c r="G646" s="2" t="n">
        <v>0</v>
      </c>
      <c r="H646" s="30">
        <f>IF(AND(B646&gt;=5,C646&lt;&gt;"",C646&lt;0.8),1,0)</f>
        <v/>
      </c>
      <c r="I646" s="30">
        <f>IF(AND(B646&gt;=8,D646&lt;&gt;"",D646&gt;=0.25,D646&lt;=0.75),1,0)</f>
        <v/>
      </c>
      <c r="J646" s="2" t="n"/>
    </row>
    <row r="647">
      <c r="A647" s="2" t="inlineStr">
        <is>
          <t>IMP00640</t>
        </is>
      </c>
      <c r="B647" s="2" t="n">
        <v>50</v>
      </c>
      <c r="C647" s="19" t="n">
        <v>1.035</v>
      </c>
      <c r="D647" s="29" t="n">
        <v>0.06</v>
      </c>
      <c r="E647" s="2" t="n">
        <v>2</v>
      </c>
      <c r="F647" s="2" t="n">
        <v>0</v>
      </c>
      <c r="G647" s="2" t="n">
        <v>0</v>
      </c>
      <c r="H647" s="30">
        <f>IF(AND(B647&gt;=5,C647&lt;&gt;"",C647&lt;0.8),1,0)</f>
        <v/>
      </c>
      <c r="I647" s="30">
        <f>IF(AND(B647&gt;=8,D647&lt;&gt;"",D647&gt;=0.25,D647&lt;=0.75),1,0)</f>
        <v/>
      </c>
      <c r="J647" s="2" t="n"/>
    </row>
    <row r="648">
      <c r="A648" s="2" t="inlineStr">
        <is>
          <t>IMP00641</t>
        </is>
      </c>
      <c r="B648" s="2" t="n">
        <v>73</v>
      </c>
      <c r="C648" s="19" t="n">
        <v>0.922</v>
      </c>
      <c r="D648" s="29" t="n">
        <v>0.06850000000000001</v>
      </c>
      <c r="E648" s="2" t="n">
        <v>1</v>
      </c>
      <c r="F648" s="2" t="n">
        <v>0</v>
      </c>
      <c r="G648" s="2" t="n">
        <v>0</v>
      </c>
      <c r="H648" s="30">
        <f>IF(AND(B648&gt;=5,C648&lt;&gt;"",C648&lt;0.8),1,0)</f>
        <v/>
      </c>
      <c r="I648" s="30">
        <f>IF(AND(B648&gt;=8,D648&lt;&gt;"",D648&gt;=0.25,D648&lt;=0.75),1,0)</f>
        <v/>
      </c>
      <c r="J648" s="2" t="n"/>
    </row>
    <row r="649">
      <c r="A649" s="2" t="inlineStr">
        <is>
          <t>IMP00642</t>
        </is>
      </c>
      <c r="B649" s="2" t="n">
        <v>0</v>
      </c>
      <c r="C649" s="19" t="n"/>
      <c r="D649" s="29" t="n"/>
      <c r="E649" s="2" t="n">
        <v>0</v>
      </c>
      <c r="F649" s="2" t="n">
        <v>0</v>
      </c>
      <c r="G649" s="2" t="n">
        <v>0</v>
      </c>
      <c r="H649" s="30">
        <f>IF(AND(B649&gt;=5,C649&lt;&gt;"",C649&lt;0.8),1,0)</f>
        <v/>
      </c>
      <c r="I649" s="30">
        <f>IF(AND(B649&gt;=8,D649&lt;&gt;"",D649&gt;=0.25,D649&lt;=0.75),1,0)</f>
        <v/>
      </c>
      <c r="J649" s="2" t="n"/>
    </row>
    <row r="650">
      <c r="A650" s="2" t="inlineStr">
        <is>
          <t>IMP00643</t>
        </is>
      </c>
      <c r="B650" s="2" t="n">
        <v>3078</v>
      </c>
      <c r="C650" s="19" t="n">
        <v>1.001</v>
      </c>
      <c r="D650" s="29" t="n">
        <v>0.0078</v>
      </c>
      <c r="E650" s="2" t="n">
        <v>1</v>
      </c>
      <c r="F650" s="2" t="n">
        <v>0</v>
      </c>
      <c r="G650" s="2" t="n">
        <v>0</v>
      </c>
      <c r="H650" s="30">
        <f>IF(AND(B650&gt;=5,C650&lt;&gt;"",C650&lt;0.8),1,0)</f>
        <v/>
      </c>
      <c r="I650" s="30">
        <f>IF(AND(B650&gt;=8,D650&lt;&gt;"",D650&gt;=0.25,D650&lt;=0.75),1,0)</f>
        <v/>
      </c>
      <c r="J650" s="2" t="n"/>
    </row>
    <row r="651">
      <c r="A651" s="2" t="inlineStr">
        <is>
          <t>IMP00644</t>
        </is>
      </c>
      <c r="B651" s="2" t="n">
        <v>4</v>
      </c>
      <c r="C651" s="19" t="n">
        <v>1.0865</v>
      </c>
      <c r="D651" s="29" t="n">
        <v>0</v>
      </c>
      <c r="E651" s="2" t="n">
        <v>1</v>
      </c>
      <c r="F651" s="2" t="n">
        <v>0</v>
      </c>
      <c r="G651" s="2" t="n">
        <v>0</v>
      </c>
      <c r="H651" s="30">
        <f>IF(AND(B651&gt;=5,C651&lt;&gt;"",C651&lt;0.8),1,0)</f>
        <v/>
      </c>
      <c r="I651" s="30">
        <f>IF(AND(B651&gt;=8,D651&lt;&gt;"",D651&gt;=0.25,D651&lt;=0.75),1,0)</f>
        <v/>
      </c>
      <c r="J651" s="2" t="n"/>
    </row>
    <row r="652">
      <c r="A652" s="2" t="inlineStr">
        <is>
          <t>IMP00645</t>
        </is>
      </c>
      <c r="B652" s="2" t="n">
        <v>49</v>
      </c>
      <c r="C652" s="19" t="n">
        <v>1.068</v>
      </c>
      <c r="D652" s="29" t="n">
        <v>0.0204</v>
      </c>
      <c r="E652" s="2" t="n">
        <v>2</v>
      </c>
      <c r="F652" s="2" t="n">
        <v>0</v>
      </c>
      <c r="G652" s="2" t="n">
        <v>0</v>
      </c>
      <c r="H652" s="30">
        <f>IF(AND(B652&gt;=5,C652&lt;&gt;"",C652&lt;0.8),1,0)</f>
        <v/>
      </c>
      <c r="I652" s="30">
        <f>IF(AND(B652&gt;=8,D652&lt;&gt;"",D652&gt;=0.25,D652&lt;=0.75),1,0)</f>
        <v/>
      </c>
      <c r="J652" s="2" t="n"/>
    </row>
    <row r="653">
      <c r="A653" s="2" t="inlineStr">
        <is>
          <t>IMP00646</t>
        </is>
      </c>
      <c r="B653" s="2" t="n">
        <v>60</v>
      </c>
      <c r="C653" s="19" t="n">
        <v>0.784</v>
      </c>
      <c r="D653" s="29" t="n">
        <v>0.4167</v>
      </c>
      <c r="E653" s="2" t="n">
        <v>1</v>
      </c>
      <c r="F653" s="2" t="n">
        <v>1</v>
      </c>
      <c r="G653" s="2" t="n">
        <v>1</v>
      </c>
      <c r="H653" s="30">
        <f>IF(AND(B653&gt;=5,C653&lt;&gt;"",C653&lt;0.8),1,0)</f>
        <v/>
      </c>
      <c r="I653" s="30">
        <f>IF(AND(B653&gt;=8,D653&lt;&gt;"",D653&gt;=0.25,D653&lt;=0.75),1,0)</f>
        <v/>
      </c>
      <c r="J653" s="2" t="n"/>
    </row>
    <row r="654">
      <c r="A654" s="2" t="inlineStr">
        <is>
          <t>IMP00647</t>
        </is>
      </c>
      <c r="B654" s="2" t="n">
        <v>6</v>
      </c>
      <c r="C654" s="19" t="n">
        <v>0.68</v>
      </c>
      <c r="D654" s="29" t="n">
        <v>0.8333</v>
      </c>
      <c r="E654" s="2" t="n">
        <v>1</v>
      </c>
      <c r="F654" s="2" t="n">
        <v>1</v>
      </c>
      <c r="G654" s="2" t="n">
        <v>0</v>
      </c>
      <c r="H654" s="30">
        <f>IF(AND(B654&gt;=5,C654&lt;&gt;"",C654&lt;0.8),1,0)</f>
        <v/>
      </c>
      <c r="I654" s="30">
        <f>IF(AND(B654&gt;=8,D654&lt;&gt;"",D654&gt;=0.25,D654&lt;=0.75),1,0)</f>
        <v/>
      </c>
      <c r="J654" s="2" t="n"/>
    </row>
    <row r="655">
      <c r="A655" s="2" t="inlineStr">
        <is>
          <t>IMP00648</t>
        </is>
      </c>
      <c r="B655" s="2" t="n">
        <v>0</v>
      </c>
      <c r="C655" s="19" t="n"/>
      <c r="D655" s="29" t="n"/>
      <c r="E655" s="2" t="n">
        <v>0</v>
      </c>
      <c r="F655" s="2" t="n">
        <v>0</v>
      </c>
      <c r="G655" s="2" t="n">
        <v>0</v>
      </c>
      <c r="H655" s="30">
        <f>IF(AND(B655&gt;=5,C655&lt;&gt;"",C655&lt;0.8),1,0)</f>
        <v/>
      </c>
      <c r="I655" s="30">
        <f>IF(AND(B655&gt;=8,D655&lt;&gt;"",D655&gt;=0.25,D655&lt;=0.75),1,0)</f>
        <v/>
      </c>
      <c r="J655" s="2" t="n"/>
    </row>
    <row r="656">
      <c r="A656" s="2" t="inlineStr">
        <is>
          <t>IMP00649</t>
        </is>
      </c>
      <c r="B656" s="2" t="n">
        <v>0</v>
      </c>
      <c r="C656" s="19" t="n"/>
      <c r="D656" s="29" t="n"/>
      <c r="E656" s="2" t="n">
        <v>0</v>
      </c>
      <c r="F656" s="2" t="n">
        <v>0</v>
      </c>
      <c r="G656" s="2" t="n">
        <v>0</v>
      </c>
      <c r="H656" s="30">
        <f>IF(AND(B656&gt;=5,C656&lt;&gt;"",C656&lt;0.8),1,0)</f>
        <v/>
      </c>
      <c r="I656" s="30">
        <f>IF(AND(B656&gt;=8,D656&lt;&gt;"",D656&gt;=0.25,D656&lt;=0.75),1,0)</f>
        <v/>
      </c>
      <c r="J656" s="2" t="n"/>
    </row>
    <row r="657">
      <c r="A657" s="2" t="inlineStr">
        <is>
          <t>IMP00650</t>
        </is>
      </c>
      <c r="B657" s="2" t="n">
        <v>14</v>
      </c>
      <c r="C657" s="19" t="n">
        <v>1.0255</v>
      </c>
      <c r="D657" s="29" t="n">
        <v>0.07140000000000001</v>
      </c>
      <c r="E657" s="2" t="n">
        <v>2</v>
      </c>
      <c r="F657" s="2" t="n">
        <v>0</v>
      </c>
      <c r="G657" s="2" t="n">
        <v>0</v>
      </c>
      <c r="H657" s="30">
        <f>IF(AND(B657&gt;=5,C657&lt;&gt;"",C657&lt;0.8),1,0)</f>
        <v/>
      </c>
      <c r="I657" s="30">
        <f>IF(AND(B657&gt;=8,D657&lt;&gt;"",D657&gt;=0.25,D657&lt;=0.75),1,0)</f>
        <v/>
      </c>
      <c r="J657" s="2" t="n"/>
    </row>
    <row r="658">
      <c r="A658" s="2" t="inlineStr">
        <is>
          <t>IMP00651</t>
        </is>
      </c>
      <c r="B658" s="2" t="n">
        <v>16</v>
      </c>
      <c r="C658" s="19" t="n">
        <v>1.2465</v>
      </c>
      <c r="D658" s="29" t="n">
        <v>0</v>
      </c>
      <c r="E658" s="2" t="n">
        <v>2</v>
      </c>
      <c r="F658" s="2" t="n">
        <v>0</v>
      </c>
      <c r="G658" s="2" t="n">
        <v>0</v>
      </c>
      <c r="H658" s="30">
        <f>IF(AND(B658&gt;=5,C658&lt;&gt;"",C658&lt;0.8),1,0)</f>
        <v/>
      </c>
      <c r="I658" s="30">
        <f>IF(AND(B658&gt;=8,D658&lt;&gt;"",D658&gt;=0.25,D658&lt;=0.75),1,0)</f>
        <v/>
      </c>
      <c r="J658" s="2" t="n"/>
    </row>
    <row r="659">
      <c r="A659" s="2" t="inlineStr">
        <is>
          <t>IMP00652</t>
        </is>
      </c>
      <c r="B659" s="2" t="n">
        <v>146</v>
      </c>
      <c r="C659" s="19" t="n">
        <v>0.8525</v>
      </c>
      <c r="D659" s="29" t="n">
        <v>0.2055</v>
      </c>
      <c r="E659" s="2" t="n">
        <v>1</v>
      </c>
      <c r="F659" s="2" t="n">
        <v>0</v>
      </c>
      <c r="G659" s="2" t="n">
        <v>0</v>
      </c>
      <c r="H659" s="30">
        <f>IF(AND(B659&gt;=5,C659&lt;&gt;"",C659&lt;0.8),1,0)</f>
        <v/>
      </c>
      <c r="I659" s="30">
        <f>IF(AND(B659&gt;=8,D659&lt;&gt;"",D659&gt;=0.25,D659&lt;=0.75),1,0)</f>
        <v/>
      </c>
      <c r="J659" s="2" t="n"/>
    </row>
    <row r="660">
      <c r="A660" s="2" t="inlineStr">
        <is>
          <t>IMP00653</t>
        </is>
      </c>
      <c r="B660" s="2" t="n">
        <v>51</v>
      </c>
      <c r="C660" s="19" t="n">
        <v>0.957</v>
      </c>
      <c r="D660" s="29" t="n">
        <v>0.0588</v>
      </c>
      <c r="E660" s="2" t="n">
        <v>2</v>
      </c>
      <c r="F660" s="2" t="n">
        <v>0</v>
      </c>
      <c r="G660" s="2" t="n">
        <v>0</v>
      </c>
      <c r="H660" s="30">
        <f>IF(AND(B660&gt;=5,C660&lt;&gt;"",C660&lt;0.8),1,0)</f>
        <v/>
      </c>
      <c r="I660" s="30">
        <f>IF(AND(B660&gt;=8,D660&lt;&gt;"",D660&gt;=0.25,D660&lt;=0.75),1,0)</f>
        <v/>
      </c>
      <c r="J660" s="2" t="n"/>
    </row>
    <row r="661">
      <c r="A661" s="2" t="inlineStr">
        <is>
          <t>IMP00654</t>
        </is>
      </c>
      <c r="B661" s="2" t="n">
        <v>26</v>
      </c>
      <c r="C661" s="19" t="n">
        <v>0.8715000000000001</v>
      </c>
      <c r="D661" s="29" t="n">
        <v>0</v>
      </c>
      <c r="E661" s="2" t="n">
        <v>2</v>
      </c>
      <c r="F661" s="2" t="n">
        <v>0</v>
      </c>
      <c r="G661" s="2" t="n">
        <v>0</v>
      </c>
      <c r="H661" s="30">
        <f>IF(AND(B661&gt;=5,C661&lt;&gt;"",C661&lt;0.8),1,0)</f>
        <v/>
      </c>
      <c r="I661" s="30">
        <f>IF(AND(B661&gt;=8,D661&lt;&gt;"",D661&gt;=0.25,D661&lt;=0.75),1,0)</f>
        <v/>
      </c>
      <c r="J661" s="2" t="n"/>
    </row>
    <row r="662">
      <c r="A662" s="2" t="inlineStr">
        <is>
          <t>IMP00655</t>
        </is>
      </c>
      <c r="B662" s="2" t="n">
        <v>8</v>
      </c>
      <c r="C662" s="19" t="n">
        <v>0.8105</v>
      </c>
      <c r="D662" s="29" t="n">
        <v>0.375</v>
      </c>
      <c r="E662" s="2" t="n">
        <v>1</v>
      </c>
      <c r="F662" s="2" t="n">
        <v>0</v>
      </c>
      <c r="G662" s="2" t="n">
        <v>1</v>
      </c>
      <c r="H662" s="30">
        <f>IF(AND(B662&gt;=5,C662&lt;&gt;"",C662&lt;0.8),1,0)</f>
        <v/>
      </c>
      <c r="I662" s="30">
        <f>IF(AND(B662&gt;=8,D662&lt;&gt;"",D662&gt;=0.25,D662&lt;=0.75),1,0)</f>
        <v/>
      </c>
      <c r="J662" s="2" t="n"/>
    </row>
    <row r="663">
      <c r="A663" s="2" t="inlineStr">
        <is>
          <t>IMP00656</t>
        </is>
      </c>
      <c r="B663" s="2" t="n">
        <v>25</v>
      </c>
      <c r="C663" s="19" t="n">
        <v>0.922</v>
      </c>
      <c r="D663" s="29" t="n">
        <v>0.16</v>
      </c>
      <c r="E663" s="2" t="n">
        <v>1</v>
      </c>
      <c r="F663" s="2" t="n">
        <v>0</v>
      </c>
      <c r="G663" s="2" t="n">
        <v>0</v>
      </c>
      <c r="H663" s="30">
        <f>IF(AND(B663&gt;=5,C663&lt;&gt;"",C663&lt;0.8),1,0)</f>
        <v/>
      </c>
      <c r="I663" s="30">
        <f>IF(AND(B663&gt;=8,D663&lt;&gt;"",D663&gt;=0.25,D663&lt;=0.75),1,0)</f>
        <v/>
      </c>
      <c r="J663" s="2" t="n"/>
    </row>
    <row r="664">
      <c r="A664" s="2" t="inlineStr">
        <is>
          <t>IMP00657</t>
        </is>
      </c>
      <c r="B664" s="2" t="n">
        <v>37</v>
      </c>
      <c r="C664" s="19" t="n">
        <v>1.141</v>
      </c>
      <c r="D664" s="29" t="n">
        <v>0</v>
      </c>
      <c r="E664" s="2" t="n">
        <v>1</v>
      </c>
      <c r="F664" s="2" t="n">
        <v>0</v>
      </c>
      <c r="G664" s="2" t="n">
        <v>0</v>
      </c>
      <c r="H664" s="30">
        <f>IF(AND(B664&gt;=5,C664&lt;&gt;"",C664&lt;0.8),1,0)</f>
        <v/>
      </c>
      <c r="I664" s="30">
        <f>IF(AND(B664&gt;=8,D664&lt;&gt;"",D664&gt;=0.25,D664&lt;=0.75),1,0)</f>
        <v/>
      </c>
      <c r="J664" s="2" t="n"/>
    </row>
    <row r="665">
      <c r="A665" s="2" t="inlineStr">
        <is>
          <t>IMP00658</t>
        </is>
      </c>
      <c r="B665" s="2" t="n">
        <v>4</v>
      </c>
      <c r="C665" s="19" t="n">
        <v>1.1125</v>
      </c>
      <c r="D665" s="29" t="n">
        <v>0</v>
      </c>
      <c r="E665" s="2" t="n">
        <v>1</v>
      </c>
      <c r="F665" s="2" t="n">
        <v>0</v>
      </c>
      <c r="G665" s="2" t="n">
        <v>0</v>
      </c>
      <c r="H665" s="30">
        <f>IF(AND(B665&gt;=5,C665&lt;&gt;"",C665&lt;0.8),1,0)</f>
        <v/>
      </c>
      <c r="I665" s="30">
        <f>IF(AND(B665&gt;=8,D665&lt;&gt;"",D665&gt;=0.25,D665&lt;=0.75),1,0)</f>
        <v/>
      </c>
      <c r="J665" s="2" t="n"/>
    </row>
    <row r="666">
      <c r="A666" s="2" t="inlineStr">
        <is>
          <t>IMP00659</t>
        </is>
      </c>
      <c r="B666" s="2" t="n">
        <v>0</v>
      </c>
      <c r="C666" s="19" t="n"/>
      <c r="D666" s="29" t="n"/>
      <c r="E666" s="2" t="n">
        <v>0</v>
      </c>
      <c r="F666" s="2" t="n">
        <v>0</v>
      </c>
      <c r="G666" s="2" t="n">
        <v>0</v>
      </c>
      <c r="H666" s="30">
        <f>IF(AND(B666&gt;=5,C666&lt;&gt;"",C666&lt;0.8),1,0)</f>
        <v/>
      </c>
      <c r="I666" s="30">
        <f>IF(AND(B666&gt;=8,D666&lt;&gt;"",D666&gt;=0.25,D666&lt;=0.75),1,0)</f>
        <v/>
      </c>
      <c r="J666" s="2" t="n"/>
    </row>
    <row r="667">
      <c r="A667" s="2" t="inlineStr">
        <is>
          <t>IMP00660</t>
        </is>
      </c>
      <c r="B667" s="2" t="n">
        <v>243</v>
      </c>
      <c r="C667" s="19" t="n">
        <v>0.743</v>
      </c>
      <c r="D667" s="29" t="n">
        <v>0.4979</v>
      </c>
      <c r="E667" s="2" t="n">
        <v>1</v>
      </c>
      <c r="F667" s="2" t="n">
        <v>1</v>
      </c>
      <c r="G667" s="2" t="n">
        <v>1</v>
      </c>
      <c r="H667" s="30">
        <f>IF(AND(B667&gt;=5,C667&lt;&gt;"",C667&lt;0.8),1,0)</f>
        <v/>
      </c>
      <c r="I667" s="30">
        <f>IF(AND(B667&gt;=8,D667&lt;&gt;"",D667&gt;=0.25,D667&lt;=0.75),1,0)</f>
        <v/>
      </c>
      <c r="J667" s="2" t="n"/>
    </row>
    <row r="668">
      <c r="A668" s="2" t="inlineStr">
        <is>
          <t>IMP00661</t>
        </is>
      </c>
      <c r="B668" s="2" t="n">
        <v>7</v>
      </c>
      <c r="C668" s="19" t="n">
        <v>0.925</v>
      </c>
      <c r="D668" s="29" t="n">
        <v>0</v>
      </c>
      <c r="E668" s="2" t="n">
        <v>1</v>
      </c>
      <c r="F668" s="2" t="n">
        <v>0</v>
      </c>
      <c r="G668" s="2" t="n">
        <v>0</v>
      </c>
      <c r="H668" s="30">
        <f>IF(AND(B668&gt;=5,C668&lt;&gt;"",C668&lt;0.8),1,0)</f>
        <v/>
      </c>
      <c r="I668" s="30">
        <f>IF(AND(B668&gt;=8,D668&lt;&gt;"",D668&gt;=0.25,D668&lt;=0.75),1,0)</f>
        <v/>
      </c>
      <c r="J668" s="2" t="n"/>
    </row>
    <row r="669">
      <c r="A669" s="2" t="inlineStr">
        <is>
          <t>IMP00662</t>
        </is>
      </c>
      <c r="B669" s="2" t="n">
        <v>56</v>
      </c>
      <c r="C669" s="19" t="n">
        <v>0.91</v>
      </c>
      <c r="D669" s="29" t="n">
        <v>0.0893</v>
      </c>
      <c r="E669" s="2" t="n">
        <v>2</v>
      </c>
      <c r="F669" s="2" t="n">
        <v>0</v>
      </c>
      <c r="G669" s="2" t="n">
        <v>0</v>
      </c>
      <c r="H669" s="30">
        <f>IF(AND(B669&gt;=5,C669&lt;&gt;"",C669&lt;0.8),1,0)</f>
        <v/>
      </c>
      <c r="I669" s="30">
        <f>IF(AND(B669&gt;=8,D669&lt;&gt;"",D669&gt;=0.25,D669&lt;=0.75),1,0)</f>
        <v/>
      </c>
      <c r="J669" s="2" t="n"/>
    </row>
    <row r="670">
      <c r="A670" s="2" t="inlineStr">
        <is>
          <t>IMP00663</t>
        </is>
      </c>
      <c r="B670" s="2" t="n">
        <v>380</v>
      </c>
      <c r="C670" s="19" t="n">
        <v>0.984</v>
      </c>
      <c r="D670" s="29" t="n">
        <v>0.0289</v>
      </c>
      <c r="E670" s="2" t="n">
        <v>2</v>
      </c>
      <c r="F670" s="2" t="n">
        <v>0</v>
      </c>
      <c r="G670" s="2" t="n">
        <v>0</v>
      </c>
      <c r="H670" s="30">
        <f>IF(AND(B670&gt;=5,C670&lt;&gt;"",C670&lt;0.8),1,0)</f>
        <v/>
      </c>
      <c r="I670" s="30">
        <f>IF(AND(B670&gt;=8,D670&lt;&gt;"",D670&gt;=0.25,D670&lt;=0.75),1,0)</f>
        <v/>
      </c>
      <c r="J670" s="2" t="n"/>
    </row>
    <row r="671">
      <c r="A671" s="2" t="inlineStr">
        <is>
          <t>IMP00664</t>
        </is>
      </c>
      <c r="B671" s="2" t="n">
        <v>0</v>
      </c>
      <c r="C671" s="19" t="n"/>
      <c r="D671" s="29" t="n"/>
      <c r="E671" s="2" t="n">
        <v>0</v>
      </c>
      <c r="F671" s="2" t="n">
        <v>0</v>
      </c>
      <c r="G671" s="2" t="n">
        <v>0</v>
      </c>
      <c r="H671" s="30">
        <f>IF(AND(B671&gt;=5,C671&lt;&gt;"",C671&lt;0.8),1,0)</f>
        <v/>
      </c>
      <c r="I671" s="30">
        <f>IF(AND(B671&gt;=8,D671&lt;&gt;"",D671&gt;=0.25,D671&lt;=0.75),1,0)</f>
        <v/>
      </c>
      <c r="J671" s="2" t="n"/>
    </row>
    <row r="672">
      <c r="A672" s="2" t="inlineStr">
        <is>
          <t>IMP00665</t>
        </is>
      </c>
      <c r="B672" s="2" t="n">
        <v>1</v>
      </c>
      <c r="C672" s="19" t="n">
        <v>0.7</v>
      </c>
      <c r="D672" s="29" t="n">
        <v>1</v>
      </c>
      <c r="E672" s="2" t="n">
        <v>2</v>
      </c>
      <c r="F672" s="2" t="n">
        <v>0</v>
      </c>
      <c r="G672" s="2" t="n">
        <v>0</v>
      </c>
      <c r="H672" s="30">
        <f>IF(AND(B672&gt;=5,C672&lt;&gt;"",C672&lt;0.8),1,0)</f>
        <v/>
      </c>
      <c r="I672" s="30">
        <f>IF(AND(B672&gt;=8,D672&lt;&gt;"",D672&gt;=0.25,D672&lt;=0.75),1,0)</f>
        <v/>
      </c>
      <c r="J672" s="2" t="n"/>
    </row>
    <row r="673">
      <c r="A673" s="2" t="inlineStr">
        <is>
          <t>IMP00666</t>
        </is>
      </c>
      <c r="B673" s="2" t="n">
        <v>4</v>
      </c>
      <c r="C673" s="19" t="n">
        <v>0.8975</v>
      </c>
      <c r="D673" s="29" t="n">
        <v>0</v>
      </c>
      <c r="E673" s="2" t="n">
        <v>2</v>
      </c>
      <c r="F673" s="2" t="n">
        <v>0</v>
      </c>
      <c r="G673" s="2" t="n">
        <v>0</v>
      </c>
      <c r="H673" s="30">
        <f>IF(AND(B673&gt;=5,C673&lt;&gt;"",C673&lt;0.8),1,0)</f>
        <v/>
      </c>
      <c r="I673" s="30">
        <f>IF(AND(B673&gt;=8,D673&lt;&gt;"",D673&gt;=0.25,D673&lt;=0.75),1,0)</f>
        <v/>
      </c>
      <c r="J673" s="2" t="n"/>
    </row>
    <row r="674">
      <c r="A674" s="2" t="inlineStr">
        <is>
          <t>IMP00667</t>
        </is>
      </c>
      <c r="B674" s="2" t="n">
        <v>92</v>
      </c>
      <c r="C674" s="19" t="n">
        <v>0.969</v>
      </c>
      <c r="D674" s="29" t="n">
        <v>0.0109</v>
      </c>
      <c r="E674" s="2" t="n">
        <v>1</v>
      </c>
      <c r="F674" s="2" t="n">
        <v>0</v>
      </c>
      <c r="G674" s="2" t="n">
        <v>0</v>
      </c>
      <c r="H674" s="30">
        <f>IF(AND(B674&gt;=5,C674&lt;&gt;"",C674&lt;0.8),1,0)</f>
        <v/>
      </c>
      <c r="I674" s="30">
        <f>IF(AND(B674&gt;=8,D674&lt;&gt;"",D674&gt;=0.25,D674&lt;=0.75),1,0)</f>
        <v/>
      </c>
      <c r="J674" s="2" t="n"/>
    </row>
    <row r="675">
      <c r="A675" s="2" t="inlineStr">
        <is>
          <t>IMP00668</t>
        </is>
      </c>
      <c r="B675" s="2" t="n">
        <v>167</v>
      </c>
      <c r="C675" s="19" t="n">
        <v>1.176</v>
      </c>
      <c r="D675" s="29" t="n">
        <v>0.0599</v>
      </c>
      <c r="E675" s="2" t="n">
        <v>1</v>
      </c>
      <c r="F675" s="2" t="n">
        <v>0</v>
      </c>
      <c r="G675" s="2" t="n">
        <v>0</v>
      </c>
      <c r="H675" s="30">
        <f>IF(AND(B675&gt;=5,C675&lt;&gt;"",C675&lt;0.8),1,0)</f>
        <v/>
      </c>
      <c r="I675" s="30">
        <f>IF(AND(B675&gt;=8,D675&lt;&gt;"",D675&gt;=0.25,D675&lt;=0.75),1,0)</f>
        <v/>
      </c>
      <c r="J675" s="2" t="n"/>
    </row>
    <row r="676">
      <c r="A676" s="2" t="inlineStr">
        <is>
          <t>IMP00669</t>
        </is>
      </c>
      <c r="B676" s="2" t="n">
        <v>1</v>
      </c>
      <c r="C676" s="19" t="n">
        <v>1.361</v>
      </c>
      <c r="D676" s="29" t="n">
        <v>0</v>
      </c>
      <c r="E676" s="2" t="n">
        <v>1</v>
      </c>
      <c r="F676" s="2" t="n">
        <v>0</v>
      </c>
      <c r="G676" s="2" t="n">
        <v>0</v>
      </c>
      <c r="H676" s="30">
        <f>IF(AND(B676&gt;=5,C676&lt;&gt;"",C676&lt;0.8),1,0)</f>
        <v/>
      </c>
      <c r="I676" s="30">
        <f>IF(AND(B676&gt;=8,D676&lt;&gt;"",D676&gt;=0.25,D676&lt;=0.75),1,0)</f>
        <v/>
      </c>
      <c r="J676" s="2" t="n"/>
    </row>
    <row r="677">
      <c r="A677" s="2" t="inlineStr">
        <is>
          <t>IMP00670</t>
        </is>
      </c>
      <c r="B677" s="2" t="n">
        <v>10</v>
      </c>
      <c r="C677" s="19" t="n">
        <v>1.1855</v>
      </c>
      <c r="D677" s="29" t="n">
        <v>0.1</v>
      </c>
      <c r="E677" s="2" t="n">
        <v>1</v>
      </c>
      <c r="F677" s="2" t="n">
        <v>0</v>
      </c>
      <c r="G677" s="2" t="n">
        <v>0</v>
      </c>
      <c r="H677" s="30">
        <f>IF(AND(B677&gt;=5,C677&lt;&gt;"",C677&lt;0.8),1,0)</f>
        <v/>
      </c>
      <c r="I677" s="30">
        <f>IF(AND(B677&gt;=8,D677&lt;&gt;"",D677&gt;=0.25,D677&lt;=0.75),1,0)</f>
        <v/>
      </c>
      <c r="J677" s="2" t="n"/>
    </row>
    <row r="678">
      <c r="A678" s="2" t="inlineStr">
        <is>
          <t>IMP00671</t>
        </is>
      </c>
      <c r="B678" s="2" t="n">
        <v>77</v>
      </c>
      <c r="C678" s="19" t="n">
        <v>1.108</v>
      </c>
      <c r="D678" s="29" t="n">
        <v>0.1299</v>
      </c>
      <c r="E678" s="2" t="n">
        <v>1</v>
      </c>
      <c r="F678" s="2" t="n">
        <v>0</v>
      </c>
      <c r="G678" s="2" t="n">
        <v>0</v>
      </c>
      <c r="H678" s="30">
        <f>IF(AND(B678&gt;=5,C678&lt;&gt;"",C678&lt;0.8),1,0)</f>
        <v/>
      </c>
      <c r="I678" s="30">
        <f>IF(AND(B678&gt;=8,D678&lt;&gt;"",D678&gt;=0.25,D678&lt;=0.75),1,0)</f>
        <v/>
      </c>
      <c r="J678" s="2" t="n"/>
    </row>
    <row r="679">
      <c r="A679" s="2" t="inlineStr">
        <is>
          <t>IMP00672</t>
        </is>
      </c>
      <c r="B679" s="2" t="n">
        <v>75</v>
      </c>
      <c r="C679" s="19" t="n">
        <v>0.967</v>
      </c>
      <c r="D679" s="29" t="n">
        <v>0.1467</v>
      </c>
      <c r="E679" s="2" t="n">
        <v>3</v>
      </c>
      <c r="F679" s="2" t="n">
        <v>0</v>
      </c>
      <c r="G679" s="2" t="n">
        <v>0</v>
      </c>
      <c r="H679" s="30">
        <f>IF(AND(B679&gt;=5,C679&lt;&gt;"",C679&lt;0.8),1,0)</f>
        <v/>
      </c>
      <c r="I679" s="30">
        <f>IF(AND(B679&gt;=8,D679&lt;&gt;"",D679&gt;=0.25,D679&lt;=0.75),1,0)</f>
        <v/>
      </c>
      <c r="J679" s="2" t="n"/>
    </row>
    <row r="680">
      <c r="A680" s="2" t="inlineStr">
        <is>
          <t>IMP00673</t>
        </is>
      </c>
      <c r="B680" s="2" t="n">
        <v>182</v>
      </c>
      <c r="C680" s="19" t="n">
        <v>1.1495</v>
      </c>
      <c r="D680" s="29" t="n">
        <v>0.011</v>
      </c>
      <c r="E680" s="2" t="n">
        <v>1</v>
      </c>
      <c r="F680" s="2" t="n">
        <v>0</v>
      </c>
      <c r="G680" s="2" t="n">
        <v>0</v>
      </c>
      <c r="H680" s="30">
        <f>IF(AND(B680&gt;=5,C680&lt;&gt;"",C680&lt;0.8),1,0)</f>
        <v/>
      </c>
      <c r="I680" s="30">
        <f>IF(AND(B680&gt;=8,D680&lt;&gt;"",D680&gt;=0.25,D680&lt;=0.75),1,0)</f>
        <v/>
      </c>
      <c r="J680" s="2" t="n"/>
    </row>
    <row r="681">
      <c r="A681" s="2" t="inlineStr">
        <is>
          <t>IMP00674</t>
        </is>
      </c>
      <c r="B681" s="2" t="n">
        <v>107</v>
      </c>
      <c r="C681" s="19" t="n">
        <v>1.074</v>
      </c>
      <c r="D681" s="29" t="n">
        <v>0.0374</v>
      </c>
      <c r="E681" s="2" t="n">
        <v>1</v>
      </c>
      <c r="F681" s="2" t="n">
        <v>0</v>
      </c>
      <c r="G681" s="2" t="n">
        <v>0</v>
      </c>
      <c r="H681" s="30">
        <f>IF(AND(B681&gt;=5,C681&lt;&gt;"",C681&lt;0.8),1,0)</f>
        <v/>
      </c>
      <c r="I681" s="30">
        <f>IF(AND(B681&gt;=8,D681&lt;&gt;"",D681&gt;=0.25,D681&lt;=0.75),1,0)</f>
        <v/>
      </c>
      <c r="J681" s="2" t="n"/>
    </row>
    <row r="682">
      <c r="A682" s="2" t="inlineStr">
        <is>
          <t>IMP00675</t>
        </is>
      </c>
      <c r="B682" s="2" t="n">
        <v>0</v>
      </c>
      <c r="C682" s="19" t="n"/>
      <c r="D682" s="29" t="n"/>
      <c r="E682" s="2" t="n">
        <v>0</v>
      </c>
      <c r="F682" s="2" t="n">
        <v>0</v>
      </c>
      <c r="G682" s="2" t="n">
        <v>0</v>
      </c>
      <c r="H682" s="30">
        <f>IF(AND(B682&gt;=5,C682&lt;&gt;"",C682&lt;0.8),1,0)</f>
        <v/>
      </c>
      <c r="I682" s="30">
        <f>IF(AND(B682&gt;=8,D682&lt;&gt;"",D682&gt;=0.25,D682&lt;=0.75),1,0)</f>
        <v/>
      </c>
      <c r="J682" s="2" t="n"/>
    </row>
    <row r="683">
      <c r="A683" s="2" t="inlineStr">
        <is>
          <t>IMP00676</t>
        </is>
      </c>
      <c r="B683" s="2" t="n">
        <v>553</v>
      </c>
      <c r="C683" s="19" t="n">
        <v>1.0105</v>
      </c>
      <c r="D683" s="29" t="n">
        <v>0.008999999999999999</v>
      </c>
      <c r="E683" s="2" t="n">
        <v>1</v>
      </c>
      <c r="F683" s="2" t="n">
        <v>0</v>
      </c>
      <c r="G683" s="2" t="n">
        <v>0</v>
      </c>
      <c r="H683" s="30">
        <f>IF(AND(B683&gt;=5,C683&lt;&gt;"",C683&lt;0.8),1,0)</f>
        <v/>
      </c>
      <c r="I683" s="30">
        <f>IF(AND(B683&gt;=8,D683&lt;&gt;"",D683&gt;=0.25,D683&lt;=0.75),1,0)</f>
        <v/>
      </c>
      <c r="J683" s="2" t="n"/>
    </row>
    <row r="684">
      <c r="A684" s="2" t="inlineStr">
        <is>
          <t>IMP00677</t>
        </is>
      </c>
      <c r="B684" s="2" t="n">
        <v>2</v>
      </c>
      <c r="C684" s="19" t="n">
        <v>1.097</v>
      </c>
      <c r="D684" s="29" t="n">
        <v>0</v>
      </c>
      <c r="E684" s="2" t="n">
        <v>3</v>
      </c>
      <c r="F684" s="2" t="n">
        <v>0</v>
      </c>
      <c r="G684" s="2" t="n">
        <v>0</v>
      </c>
      <c r="H684" s="30">
        <f>IF(AND(B684&gt;=5,C684&lt;&gt;"",C684&lt;0.8),1,0)</f>
        <v/>
      </c>
      <c r="I684" s="30">
        <f>IF(AND(B684&gt;=8,D684&lt;&gt;"",D684&gt;=0.25,D684&lt;=0.75),1,0)</f>
        <v/>
      </c>
      <c r="J684" s="2" t="n"/>
    </row>
    <row r="685">
      <c r="A685" s="2" t="inlineStr">
        <is>
          <t>IMP00678</t>
        </is>
      </c>
      <c r="B685" s="2" t="n">
        <v>0</v>
      </c>
      <c r="C685" s="19" t="n"/>
      <c r="D685" s="29" t="n"/>
      <c r="E685" s="2" t="n">
        <v>0</v>
      </c>
      <c r="F685" s="2" t="n">
        <v>0</v>
      </c>
      <c r="G685" s="2" t="n">
        <v>0</v>
      </c>
      <c r="H685" s="30">
        <f>IF(AND(B685&gt;=5,C685&lt;&gt;"",C685&lt;0.8),1,0)</f>
        <v/>
      </c>
      <c r="I685" s="30">
        <f>IF(AND(B685&gt;=8,D685&lt;&gt;"",D685&gt;=0.25,D685&lt;=0.75),1,0)</f>
        <v/>
      </c>
      <c r="J685" s="2" t="n"/>
    </row>
    <row r="686">
      <c r="A686" s="2" t="inlineStr">
        <is>
          <t>IMP00679</t>
        </is>
      </c>
      <c r="B686" s="2" t="n">
        <v>498</v>
      </c>
      <c r="C686" s="19" t="n">
        <v>0.8665</v>
      </c>
      <c r="D686" s="29" t="n">
        <v>0.4076</v>
      </c>
      <c r="E686" s="2" t="n">
        <v>1</v>
      </c>
      <c r="F686" s="2" t="n">
        <v>0</v>
      </c>
      <c r="G686" s="2" t="n">
        <v>1</v>
      </c>
      <c r="H686" s="30">
        <f>IF(AND(B686&gt;=5,C686&lt;&gt;"",C686&lt;0.8),1,0)</f>
        <v/>
      </c>
      <c r="I686" s="30">
        <f>IF(AND(B686&gt;=8,D686&lt;&gt;"",D686&gt;=0.25,D686&lt;=0.75),1,0)</f>
        <v/>
      </c>
      <c r="J686" s="2" t="n"/>
    </row>
    <row r="687">
      <c r="A687" s="2" t="inlineStr">
        <is>
          <t>IMP00680</t>
        </is>
      </c>
      <c r="B687" s="2" t="n">
        <v>61</v>
      </c>
      <c r="C687" s="19" t="n">
        <v>0.9379999999999999</v>
      </c>
      <c r="D687" s="29" t="n">
        <v>0.0328</v>
      </c>
      <c r="E687" s="2" t="n">
        <v>1</v>
      </c>
      <c r="F687" s="2" t="n">
        <v>0</v>
      </c>
      <c r="G687" s="2" t="n">
        <v>0</v>
      </c>
      <c r="H687" s="30">
        <f>IF(AND(B687&gt;=5,C687&lt;&gt;"",C687&lt;0.8),1,0)</f>
        <v/>
      </c>
      <c r="I687" s="30">
        <f>IF(AND(B687&gt;=8,D687&lt;&gt;"",D687&gt;=0.25,D687&lt;=0.75),1,0)</f>
        <v/>
      </c>
      <c r="J687" s="2" t="n"/>
    </row>
    <row r="688">
      <c r="A688" s="2" t="inlineStr">
        <is>
          <t>IMP00681</t>
        </is>
      </c>
      <c r="B688" s="2" t="n">
        <v>82</v>
      </c>
      <c r="C688" s="19" t="n">
        <v>0.955</v>
      </c>
      <c r="D688" s="29" t="n">
        <v>0.1707</v>
      </c>
      <c r="E688" s="2" t="n">
        <v>2</v>
      </c>
      <c r="F688" s="2" t="n">
        <v>0</v>
      </c>
      <c r="G688" s="2" t="n">
        <v>0</v>
      </c>
      <c r="H688" s="30">
        <f>IF(AND(B688&gt;=5,C688&lt;&gt;"",C688&lt;0.8),1,0)</f>
        <v/>
      </c>
      <c r="I688" s="30">
        <f>IF(AND(B688&gt;=8,D688&lt;&gt;"",D688&gt;=0.25,D688&lt;=0.75),1,0)</f>
        <v/>
      </c>
      <c r="J688" s="2" t="n"/>
    </row>
    <row r="689">
      <c r="A689" s="2" t="inlineStr">
        <is>
          <t>IMP00682</t>
        </is>
      </c>
      <c r="B689" s="2" t="n">
        <v>5</v>
      </c>
      <c r="C689" s="19" t="n">
        <v>0.925</v>
      </c>
      <c r="D689" s="29" t="n">
        <v>0</v>
      </c>
      <c r="E689" s="2" t="n">
        <v>2</v>
      </c>
      <c r="F689" s="2" t="n">
        <v>0</v>
      </c>
      <c r="G689" s="2" t="n">
        <v>0</v>
      </c>
      <c r="H689" s="30">
        <f>IF(AND(B689&gt;=5,C689&lt;&gt;"",C689&lt;0.8),1,0)</f>
        <v/>
      </c>
      <c r="I689" s="30">
        <f>IF(AND(B689&gt;=8,D689&lt;&gt;"",D689&gt;=0.25,D689&lt;=0.75),1,0)</f>
        <v/>
      </c>
      <c r="J689" s="2" t="n"/>
    </row>
    <row r="690">
      <c r="A690" s="2" t="inlineStr">
        <is>
          <t>IMP00683</t>
        </is>
      </c>
      <c r="B690" s="2" t="n">
        <v>33</v>
      </c>
      <c r="C690" s="19" t="n">
        <v>0.822</v>
      </c>
      <c r="D690" s="29" t="n">
        <v>0.1212</v>
      </c>
      <c r="E690" s="2" t="n">
        <v>1</v>
      </c>
      <c r="F690" s="2" t="n">
        <v>0</v>
      </c>
      <c r="G690" s="2" t="n">
        <v>0</v>
      </c>
      <c r="H690" s="30">
        <f>IF(AND(B690&gt;=5,C690&lt;&gt;"",C690&lt;0.8),1,0)</f>
        <v/>
      </c>
      <c r="I690" s="30">
        <f>IF(AND(B690&gt;=8,D690&lt;&gt;"",D690&gt;=0.25,D690&lt;=0.75),1,0)</f>
        <v/>
      </c>
      <c r="J690" s="2" t="n"/>
    </row>
    <row r="691">
      <c r="A691" s="2" t="inlineStr">
        <is>
          <t>IMP00684</t>
        </is>
      </c>
      <c r="B691" s="2" t="n">
        <v>169</v>
      </c>
      <c r="C691" s="19" t="n">
        <v>1.01</v>
      </c>
      <c r="D691" s="29" t="n">
        <v>0.0355</v>
      </c>
      <c r="E691" s="2" t="n">
        <v>1</v>
      </c>
      <c r="F691" s="2" t="n">
        <v>0</v>
      </c>
      <c r="G691" s="2" t="n">
        <v>0</v>
      </c>
      <c r="H691" s="30">
        <f>IF(AND(B691&gt;=5,C691&lt;&gt;"",C691&lt;0.8),1,0)</f>
        <v/>
      </c>
      <c r="I691" s="30">
        <f>IF(AND(B691&gt;=8,D691&lt;&gt;"",D691&gt;=0.25,D691&lt;=0.75),1,0)</f>
        <v/>
      </c>
      <c r="J691" s="2" t="n"/>
    </row>
    <row r="692">
      <c r="A692" s="2" t="inlineStr">
        <is>
          <t>IMP00685</t>
        </is>
      </c>
      <c r="B692" s="2" t="n">
        <v>31</v>
      </c>
      <c r="C692" s="19" t="n">
        <v>0.948</v>
      </c>
      <c r="D692" s="29" t="n">
        <v>0.0323</v>
      </c>
      <c r="E692" s="2" t="n">
        <v>1</v>
      </c>
      <c r="F692" s="2" t="n">
        <v>0</v>
      </c>
      <c r="G692" s="2" t="n">
        <v>0</v>
      </c>
      <c r="H692" s="30">
        <f>IF(AND(B692&gt;=5,C692&lt;&gt;"",C692&lt;0.8),1,0)</f>
        <v/>
      </c>
      <c r="I692" s="30">
        <f>IF(AND(B692&gt;=8,D692&lt;&gt;"",D692&gt;=0.25,D692&lt;=0.75),1,0)</f>
        <v/>
      </c>
      <c r="J692" s="2" t="n"/>
    </row>
    <row r="693">
      <c r="A693" s="2" t="inlineStr">
        <is>
          <t>IMP00686</t>
        </is>
      </c>
      <c r="B693" s="2" t="n">
        <v>2</v>
      </c>
      <c r="C693" s="19" t="n">
        <v>1.0745</v>
      </c>
      <c r="D693" s="29" t="n">
        <v>0</v>
      </c>
      <c r="E693" s="2" t="n">
        <v>2</v>
      </c>
      <c r="F693" s="2" t="n">
        <v>0</v>
      </c>
      <c r="G693" s="2" t="n">
        <v>0</v>
      </c>
      <c r="H693" s="30">
        <f>IF(AND(B693&gt;=5,C693&lt;&gt;"",C693&lt;0.8),1,0)</f>
        <v/>
      </c>
      <c r="I693" s="30">
        <f>IF(AND(B693&gt;=8,D693&lt;&gt;"",D693&gt;=0.25,D693&lt;=0.75),1,0)</f>
        <v/>
      </c>
      <c r="J693" s="2" t="n"/>
    </row>
    <row r="694">
      <c r="A694" s="2" t="inlineStr">
        <is>
          <t>IMP00687</t>
        </is>
      </c>
      <c r="B694" s="2" t="n">
        <v>1</v>
      </c>
      <c r="C694" s="19" t="n">
        <v>0.855</v>
      </c>
      <c r="D694" s="29" t="n">
        <v>0</v>
      </c>
      <c r="E694" s="2" t="n">
        <v>1</v>
      </c>
      <c r="F694" s="2" t="n">
        <v>0</v>
      </c>
      <c r="G694" s="2" t="n">
        <v>0</v>
      </c>
      <c r="H694" s="30">
        <f>IF(AND(B694&gt;=5,C694&lt;&gt;"",C694&lt;0.8),1,0)</f>
        <v/>
      </c>
      <c r="I694" s="30">
        <f>IF(AND(B694&gt;=8,D694&lt;&gt;"",D694&gt;=0.25,D694&lt;=0.75),1,0)</f>
        <v/>
      </c>
      <c r="J694" s="2" t="n"/>
    </row>
    <row r="695">
      <c r="A695" s="2" t="inlineStr">
        <is>
          <t>IMP00688</t>
        </is>
      </c>
      <c r="B695" s="2" t="n">
        <v>16</v>
      </c>
      <c r="C695" s="19" t="n">
        <v>1.211</v>
      </c>
      <c r="D695" s="29" t="n">
        <v>0</v>
      </c>
      <c r="E695" s="2" t="n">
        <v>1</v>
      </c>
      <c r="F695" s="2" t="n">
        <v>0</v>
      </c>
      <c r="G695" s="2" t="n">
        <v>0</v>
      </c>
      <c r="H695" s="30">
        <f>IF(AND(B695&gt;=5,C695&lt;&gt;"",C695&lt;0.8),1,0)</f>
        <v/>
      </c>
      <c r="I695" s="30">
        <f>IF(AND(B695&gt;=8,D695&lt;&gt;"",D695&gt;=0.25,D695&lt;=0.75),1,0)</f>
        <v/>
      </c>
      <c r="J695" s="2" t="n"/>
    </row>
    <row r="696">
      <c r="A696" s="2" t="inlineStr">
        <is>
          <t>IMP00689</t>
        </is>
      </c>
      <c r="B696" s="2" t="n">
        <v>2</v>
      </c>
      <c r="C696" s="19" t="n">
        <v>0.6935</v>
      </c>
      <c r="D696" s="29" t="n">
        <v>1</v>
      </c>
      <c r="E696" s="2" t="n">
        <v>1</v>
      </c>
      <c r="F696" s="2" t="n">
        <v>0</v>
      </c>
      <c r="G696" s="2" t="n">
        <v>0</v>
      </c>
      <c r="H696" s="30">
        <f>IF(AND(B696&gt;=5,C696&lt;&gt;"",C696&lt;0.8),1,0)</f>
        <v/>
      </c>
      <c r="I696" s="30">
        <f>IF(AND(B696&gt;=8,D696&lt;&gt;"",D696&gt;=0.25,D696&lt;=0.75),1,0)</f>
        <v/>
      </c>
      <c r="J696" s="2" t="n"/>
    </row>
    <row r="697">
      <c r="A697" s="2" t="inlineStr">
        <is>
          <t>IMP00690</t>
        </is>
      </c>
      <c r="B697" s="2" t="n">
        <v>15</v>
      </c>
      <c r="C697" s="19" t="n">
        <v>0.981</v>
      </c>
      <c r="D697" s="29" t="n">
        <v>0</v>
      </c>
      <c r="E697" s="2" t="n">
        <v>1</v>
      </c>
      <c r="F697" s="2" t="n">
        <v>0</v>
      </c>
      <c r="G697" s="2" t="n">
        <v>0</v>
      </c>
      <c r="H697" s="30">
        <f>IF(AND(B697&gt;=5,C697&lt;&gt;"",C697&lt;0.8),1,0)</f>
        <v/>
      </c>
      <c r="I697" s="30">
        <f>IF(AND(B697&gt;=8,D697&lt;&gt;"",D697&gt;=0.25,D697&lt;=0.75),1,0)</f>
        <v/>
      </c>
      <c r="J697" s="2" t="n"/>
    </row>
    <row r="698">
      <c r="A698" s="2" t="inlineStr">
        <is>
          <t>IMP00691</t>
        </is>
      </c>
      <c r="B698" s="2" t="n">
        <v>2</v>
      </c>
      <c r="C698" s="19" t="n">
        <v>0.867</v>
      </c>
      <c r="D698" s="29" t="n">
        <v>0</v>
      </c>
      <c r="E698" s="2" t="n">
        <v>1</v>
      </c>
      <c r="F698" s="2" t="n">
        <v>0</v>
      </c>
      <c r="G698" s="2" t="n">
        <v>0</v>
      </c>
      <c r="H698" s="30">
        <f>IF(AND(B698&gt;=5,C698&lt;&gt;"",C698&lt;0.8),1,0)</f>
        <v/>
      </c>
      <c r="I698" s="30">
        <f>IF(AND(B698&gt;=8,D698&lt;&gt;"",D698&gt;=0.25,D698&lt;=0.75),1,0)</f>
        <v/>
      </c>
      <c r="J698" s="2" t="n"/>
    </row>
    <row r="699">
      <c r="A699" s="2" t="inlineStr">
        <is>
          <t>IMP00692</t>
        </is>
      </c>
      <c r="B699" s="2" t="n">
        <v>10</v>
      </c>
      <c r="C699" s="19" t="n">
        <v>0.972</v>
      </c>
      <c r="D699" s="29" t="n">
        <v>0</v>
      </c>
      <c r="E699" s="2" t="n">
        <v>1</v>
      </c>
      <c r="F699" s="2" t="n">
        <v>0</v>
      </c>
      <c r="G699" s="2" t="n">
        <v>0</v>
      </c>
      <c r="H699" s="30">
        <f>IF(AND(B699&gt;=5,C699&lt;&gt;"",C699&lt;0.8),1,0)</f>
        <v/>
      </c>
      <c r="I699" s="30">
        <f>IF(AND(B699&gt;=8,D699&lt;&gt;"",D699&gt;=0.25,D699&lt;=0.75),1,0)</f>
        <v/>
      </c>
      <c r="J699" s="2" t="n"/>
    </row>
    <row r="700">
      <c r="A700" s="2" t="inlineStr">
        <is>
          <t>IMP00693</t>
        </is>
      </c>
      <c r="B700" s="2" t="n">
        <v>0</v>
      </c>
      <c r="C700" s="19" t="n"/>
      <c r="D700" s="29" t="n"/>
      <c r="E700" s="2" t="n">
        <v>0</v>
      </c>
      <c r="F700" s="2" t="n">
        <v>0</v>
      </c>
      <c r="G700" s="2" t="n">
        <v>0</v>
      </c>
      <c r="H700" s="30">
        <f>IF(AND(B700&gt;=5,C700&lt;&gt;"",C700&lt;0.8),1,0)</f>
        <v/>
      </c>
      <c r="I700" s="30">
        <f>IF(AND(B700&gt;=8,D700&lt;&gt;"",D700&gt;=0.25,D700&lt;=0.75),1,0)</f>
        <v/>
      </c>
      <c r="J700" s="2" t="n"/>
    </row>
    <row r="701">
      <c r="A701" s="2" t="inlineStr">
        <is>
          <t>IMP00694</t>
        </is>
      </c>
      <c r="B701" s="2" t="n">
        <v>0</v>
      </c>
      <c r="C701" s="19" t="n"/>
      <c r="D701" s="29" t="n"/>
      <c r="E701" s="2" t="n">
        <v>0</v>
      </c>
      <c r="F701" s="2" t="n">
        <v>0</v>
      </c>
      <c r="G701" s="2" t="n">
        <v>0</v>
      </c>
      <c r="H701" s="30">
        <f>IF(AND(B701&gt;=5,C701&lt;&gt;"",C701&lt;0.8),1,0)</f>
        <v/>
      </c>
      <c r="I701" s="30">
        <f>IF(AND(B701&gt;=8,D701&lt;&gt;"",D701&gt;=0.25,D701&lt;=0.75),1,0)</f>
        <v/>
      </c>
      <c r="J701" s="2" t="n"/>
    </row>
    <row r="702">
      <c r="A702" s="2" t="inlineStr">
        <is>
          <t>IMP00695</t>
        </is>
      </c>
      <c r="B702" s="2" t="n">
        <v>18</v>
      </c>
      <c r="C702" s="19" t="n">
        <v>1.045</v>
      </c>
      <c r="D702" s="29" t="n">
        <v>0.0556</v>
      </c>
      <c r="E702" s="2" t="n">
        <v>1</v>
      </c>
      <c r="F702" s="2" t="n">
        <v>0</v>
      </c>
      <c r="G702" s="2" t="n">
        <v>0</v>
      </c>
      <c r="H702" s="30">
        <f>IF(AND(B702&gt;=5,C702&lt;&gt;"",C702&lt;0.8),1,0)</f>
        <v/>
      </c>
      <c r="I702" s="30">
        <f>IF(AND(B702&gt;=8,D702&lt;&gt;"",D702&gt;=0.25,D702&lt;=0.75),1,0)</f>
        <v/>
      </c>
      <c r="J702" s="2" t="n"/>
    </row>
    <row r="703">
      <c r="A703" s="2" t="inlineStr">
        <is>
          <t>IMP00696</t>
        </is>
      </c>
      <c r="B703" s="2" t="n">
        <v>0</v>
      </c>
      <c r="C703" s="19" t="n"/>
      <c r="D703" s="29" t="n"/>
      <c r="E703" s="2" t="n">
        <v>0</v>
      </c>
      <c r="F703" s="2" t="n">
        <v>0</v>
      </c>
      <c r="G703" s="2" t="n">
        <v>0</v>
      </c>
      <c r="H703" s="30">
        <f>IF(AND(B703&gt;=5,C703&lt;&gt;"",C703&lt;0.8),1,0)</f>
        <v/>
      </c>
      <c r="I703" s="30">
        <f>IF(AND(B703&gt;=8,D703&lt;&gt;"",D703&gt;=0.25,D703&lt;=0.75),1,0)</f>
        <v/>
      </c>
      <c r="J703" s="2" t="n"/>
    </row>
    <row r="704">
      <c r="A704" s="2" t="inlineStr">
        <is>
          <t>IMP00697</t>
        </is>
      </c>
      <c r="B704" s="2" t="n">
        <v>0</v>
      </c>
      <c r="C704" s="19" t="n"/>
      <c r="D704" s="29" t="n"/>
      <c r="E704" s="2" t="n">
        <v>0</v>
      </c>
      <c r="F704" s="2" t="n">
        <v>0</v>
      </c>
      <c r="G704" s="2" t="n">
        <v>0</v>
      </c>
      <c r="H704" s="30">
        <f>IF(AND(B704&gt;=5,C704&lt;&gt;"",C704&lt;0.8),1,0)</f>
        <v/>
      </c>
      <c r="I704" s="30">
        <f>IF(AND(B704&gt;=8,D704&lt;&gt;"",D704&gt;=0.25,D704&lt;=0.75),1,0)</f>
        <v/>
      </c>
      <c r="J704" s="2" t="n"/>
    </row>
    <row r="705">
      <c r="A705" s="2" t="inlineStr">
        <is>
          <t>IMP00698</t>
        </is>
      </c>
      <c r="B705" s="2" t="n">
        <v>4</v>
      </c>
      <c r="C705" s="19" t="n">
        <v>1.025</v>
      </c>
      <c r="D705" s="29" t="n">
        <v>0</v>
      </c>
      <c r="E705" s="2" t="n">
        <v>1</v>
      </c>
      <c r="F705" s="2" t="n">
        <v>0</v>
      </c>
      <c r="G705" s="2" t="n">
        <v>0</v>
      </c>
      <c r="H705" s="30">
        <f>IF(AND(B705&gt;=5,C705&lt;&gt;"",C705&lt;0.8),1,0)</f>
        <v/>
      </c>
      <c r="I705" s="30">
        <f>IF(AND(B705&gt;=8,D705&lt;&gt;"",D705&gt;=0.25,D705&lt;=0.75),1,0)</f>
        <v/>
      </c>
      <c r="J705" s="2" t="n"/>
    </row>
    <row r="706">
      <c r="A706" s="2" t="inlineStr">
        <is>
          <t>IMP00699</t>
        </is>
      </c>
      <c r="B706" s="2" t="n">
        <v>1</v>
      </c>
      <c r="C706" s="19" t="n">
        <v>1.888</v>
      </c>
      <c r="D706" s="29" t="n">
        <v>0</v>
      </c>
      <c r="E706" s="2" t="n">
        <v>3</v>
      </c>
      <c r="F706" s="2" t="n">
        <v>0</v>
      </c>
      <c r="G706" s="2" t="n">
        <v>0</v>
      </c>
      <c r="H706" s="30">
        <f>IF(AND(B706&gt;=5,C706&lt;&gt;"",C706&lt;0.8),1,0)</f>
        <v/>
      </c>
      <c r="I706" s="30">
        <f>IF(AND(B706&gt;=8,D706&lt;&gt;"",D706&gt;=0.25,D706&lt;=0.75),1,0)</f>
        <v/>
      </c>
      <c r="J706" s="2" t="n"/>
    </row>
    <row r="707">
      <c r="A707" s="2" t="inlineStr">
        <is>
          <t>IMP00700</t>
        </is>
      </c>
      <c r="B707" s="2" t="n">
        <v>1</v>
      </c>
      <c r="C707" s="19" t="n">
        <v>2.229</v>
      </c>
      <c r="D707" s="29" t="n">
        <v>0</v>
      </c>
      <c r="E707" s="2" t="n">
        <v>2</v>
      </c>
      <c r="F707" s="2" t="n">
        <v>0</v>
      </c>
      <c r="G707" s="2" t="n">
        <v>0</v>
      </c>
      <c r="H707" s="30">
        <f>IF(AND(B707&gt;=5,C707&lt;&gt;"",C707&lt;0.8),1,0)</f>
        <v/>
      </c>
      <c r="I707" s="30">
        <f>IF(AND(B707&gt;=8,D707&lt;&gt;"",D707&gt;=0.25,D707&lt;=0.75),1,0)</f>
        <v/>
      </c>
      <c r="J707" s="2" t="n"/>
    </row>
    <row r="708">
      <c r="A708" s="2" t="inlineStr">
        <is>
          <t>IMP00701</t>
        </is>
      </c>
      <c r="B708" s="2" t="n">
        <v>39</v>
      </c>
      <c r="C708" s="19" t="n">
        <v>0.844</v>
      </c>
      <c r="D708" s="29" t="n">
        <v>0.2564</v>
      </c>
      <c r="E708" s="2" t="n">
        <v>1</v>
      </c>
      <c r="F708" s="2" t="n">
        <v>0</v>
      </c>
      <c r="G708" s="2" t="n">
        <v>1</v>
      </c>
      <c r="H708" s="30">
        <f>IF(AND(B708&gt;=5,C708&lt;&gt;"",C708&lt;0.8),1,0)</f>
        <v/>
      </c>
      <c r="I708" s="30">
        <f>IF(AND(B708&gt;=8,D708&lt;&gt;"",D708&gt;=0.25,D708&lt;=0.75),1,0)</f>
        <v/>
      </c>
      <c r="J708" s="2" t="n"/>
    </row>
    <row r="709">
      <c r="A709" s="2" t="inlineStr">
        <is>
          <t>IMP00702</t>
        </is>
      </c>
      <c r="B709" s="2" t="n">
        <v>0</v>
      </c>
      <c r="C709" s="19" t="n"/>
      <c r="D709" s="29" t="n"/>
      <c r="E709" s="2" t="n">
        <v>0</v>
      </c>
      <c r="F709" s="2" t="n">
        <v>0</v>
      </c>
      <c r="G709" s="2" t="n">
        <v>0</v>
      </c>
      <c r="H709" s="30">
        <f>IF(AND(B709&gt;=5,C709&lt;&gt;"",C709&lt;0.8),1,0)</f>
        <v/>
      </c>
      <c r="I709" s="30">
        <f>IF(AND(B709&gt;=8,D709&lt;&gt;"",D709&gt;=0.25,D709&lt;=0.75),1,0)</f>
        <v/>
      </c>
      <c r="J709" s="2" t="n"/>
    </row>
    <row r="710">
      <c r="A710" s="2" t="inlineStr">
        <is>
          <t>IMP00703</t>
        </is>
      </c>
      <c r="B710" s="2" t="n">
        <v>36</v>
      </c>
      <c r="C710" s="19" t="n">
        <v>1.005</v>
      </c>
      <c r="D710" s="29" t="n">
        <v>0.1389</v>
      </c>
      <c r="E710" s="2" t="n">
        <v>1</v>
      </c>
      <c r="F710" s="2" t="n">
        <v>0</v>
      </c>
      <c r="G710" s="2" t="n">
        <v>0</v>
      </c>
      <c r="H710" s="30">
        <f>IF(AND(B710&gt;=5,C710&lt;&gt;"",C710&lt;0.8),1,0)</f>
        <v/>
      </c>
      <c r="I710" s="30">
        <f>IF(AND(B710&gt;=8,D710&lt;&gt;"",D710&gt;=0.25,D710&lt;=0.75),1,0)</f>
        <v/>
      </c>
      <c r="J710" s="2" t="n"/>
    </row>
    <row r="711">
      <c r="A711" s="2" t="inlineStr">
        <is>
          <t>IMP00704</t>
        </is>
      </c>
      <c r="B711" s="2" t="n">
        <v>373</v>
      </c>
      <c r="C711" s="19" t="n">
        <v>1.006</v>
      </c>
      <c r="D711" s="29" t="n">
        <v>0.0241</v>
      </c>
      <c r="E711" s="2" t="n">
        <v>1</v>
      </c>
      <c r="F711" s="2" t="n">
        <v>0</v>
      </c>
      <c r="G711" s="2" t="n">
        <v>0</v>
      </c>
      <c r="H711" s="30">
        <f>IF(AND(B711&gt;=5,C711&lt;&gt;"",C711&lt;0.8),1,0)</f>
        <v/>
      </c>
      <c r="I711" s="30">
        <f>IF(AND(B711&gt;=8,D711&lt;&gt;"",D711&gt;=0.25,D711&lt;=0.75),1,0)</f>
        <v/>
      </c>
      <c r="J711" s="2" t="n"/>
    </row>
    <row r="712">
      <c r="A712" s="2" t="inlineStr">
        <is>
          <t>IMP00705</t>
        </is>
      </c>
      <c r="B712" s="2" t="n">
        <v>35</v>
      </c>
      <c r="C712" s="19" t="n">
        <v>0.945</v>
      </c>
      <c r="D712" s="29" t="n">
        <v>0.1143</v>
      </c>
      <c r="E712" s="2" t="n">
        <v>1</v>
      </c>
      <c r="F712" s="2" t="n">
        <v>0</v>
      </c>
      <c r="G712" s="2" t="n">
        <v>0</v>
      </c>
      <c r="H712" s="30">
        <f>IF(AND(B712&gt;=5,C712&lt;&gt;"",C712&lt;0.8),1,0)</f>
        <v/>
      </c>
      <c r="I712" s="30">
        <f>IF(AND(B712&gt;=8,D712&lt;&gt;"",D712&gt;=0.25,D712&lt;=0.75),1,0)</f>
        <v/>
      </c>
      <c r="J712" s="2" t="n"/>
    </row>
    <row r="713">
      <c r="A713" s="2" t="inlineStr">
        <is>
          <t>IMP00706</t>
        </is>
      </c>
      <c r="B713" s="2" t="n">
        <v>31</v>
      </c>
      <c r="C713" s="19" t="n">
        <v>0.95</v>
      </c>
      <c r="D713" s="29" t="n">
        <v>0.0323</v>
      </c>
      <c r="E713" s="2" t="n">
        <v>1</v>
      </c>
      <c r="F713" s="2" t="n">
        <v>0</v>
      </c>
      <c r="G713" s="2" t="n">
        <v>0</v>
      </c>
      <c r="H713" s="30">
        <f>IF(AND(B713&gt;=5,C713&lt;&gt;"",C713&lt;0.8),1,0)</f>
        <v/>
      </c>
      <c r="I713" s="30">
        <f>IF(AND(B713&gt;=8,D713&lt;&gt;"",D713&gt;=0.25,D713&lt;=0.75),1,0)</f>
        <v/>
      </c>
      <c r="J713" s="2" t="n"/>
    </row>
    <row r="714">
      <c r="A714" s="2" t="inlineStr">
        <is>
          <t>IMP00707</t>
        </is>
      </c>
      <c r="B714" s="2" t="n">
        <v>0</v>
      </c>
      <c r="C714" s="19" t="n"/>
      <c r="D714" s="29" t="n"/>
      <c r="E714" s="2" t="n">
        <v>0</v>
      </c>
      <c r="F714" s="2" t="n">
        <v>0</v>
      </c>
      <c r="G714" s="2" t="n">
        <v>0</v>
      </c>
      <c r="H714" s="30">
        <f>IF(AND(B714&gt;=5,C714&lt;&gt;"",C714&lt;0.8),1,0)</f>
        <v/>
      </c>
      <c r="I714" s="30">
        <f>IF(AND(B714&gt;=8,D714&lt;&gt;"",D714&gt;=0.25,D714&lt;=0.75),1,0)</f>
        <v/>
      </c>
      <c r="J714" s="2" t="n"/>
    </row>
    <row r="715">
      <c r="A715" s="2" t="inlineStr">
        <is>
          <t>IMP00708</t>
        </is>
      </c>
      <c r="B715" s="2" t="n">
        <v>1</v>
      </c>
      <c r="C715" s="19" t="n">
        <v>1.262</v>
      </c>
      <c r="D715" s="29" t="n">
        <v>0</v>
      </c>
      <c r="E715" s="2" t="n">
        <v>13</v>
      </c>
      <c r="F715" s="2" t="n">
        <v>0</v>
      </c>
      <c r="G715" s="2" t="n">
        <v>0</v>
      </c>
      <c r="H715" s="30">
        <f>IF(AND(B715&gt;=5,C715&lt;&gt;"",C715&lt;0.8),1,0)</f>
        <v/>
      </c>
      <c r="I715" s="30">
        <f>IF(AND(B715&gt;=8,D715&lt;&gt;"",D715&gt;=0.25,D715&lt;=0.75),1,0)</f>
        <v/>
      </c>
      <c r="J715" s="2" t="n"/>
    </row>
    <row r="716">
      <c r="A716" s="2" t="inlineStr">
        <is>
          <t>IMP00709</t>
        </is>
      </c>
      <c r="B716" s="2" t="n">
        <v>1</v>
      </c>
      <c r="C716" s="19" t="n">
        <v>0.642</v>
      </c>
      <c r="D716" s="29" t="n">
        <v>1</v>
      </c>
      <c r="E716" s="2" t="n">
        <v>2</v>
      </c>
      <c r="F716" s="2" t="n">
        <v>0</v>
      </c>
      <c r="G716" s="2" t="n">
        <v>0</v>
      </c>
      <c r="H716" s="30">
        <f>IF(AND(B716&gt;=5,C716&lt;&gt;"",C716&lt;0.8),1,0)</f>
        <v/>
      </c>
      <c r="I716" s="30">
        <f>IF(AND(B716&gt;=8,D716&lt;&gt;"",D716&gt;=0.25,D716&lt;=0.75),1,0)</f>
        <v/>
      </c>
      <c r="J716" s="2" t="n"/>
    </row>
    <row r="717">
      <c r="A717" s="2" t="inlineStr">
        <is>
          <t>IMP00710</t>
        </is>
      </c>
      <c r="B717" s="2" t="n">
        <v>0</v>
      </c>
      <c r="C717" s="19" t="n"/>
      <c r="D717" s="29" t="n"/>
      <c r="E717" s="2" t="n">
        <v>0</v>
      </c>
      <c r="F717" s="2" t="n">
        <v>0</v>
      </c>
      <c r="G717" s="2" t="n">
        <v>0</v>
      </c>
      <c r="H717" s="30">
        <f>IF(AND(B717&gt;=5,C717&lt;&gt;"",C717&lt;0.8),1,0)</f>
        <v/>
      </c>
      <c r="I717" s="30">
        <f>IF(AND(B717&gt;=8,D717&lt;&gt;"",D717&gt;=0.25,D717&lt;=0.75),1,0)</f>
        <v/>
      </c>
      <c r="J717" s="2" t="n"/>
    </row>
    <row r="718">
      <c r="A718" s="2" t="inlineStr">
        <is>
          <t>IMP00711</t>
        </is>
      </c>
      <c r="B718" s="2" t="n">
        <v>322</v>
      </c>
      <c r="C718" s="19" t="n">
        <v>0.955</v>
      </c>
      <c r="D718" s="29" t="n">
        <v>0.0528</v>
      </c>
      <c r="E718" s="2" t="n">
        <v>2</v>
      </c>
      <c r="F718" s="2" t="n">
        <v>0</v>
      </c>
      <c r="G718" s="2" t="n">
        <v>0</v>
      </c>
      <c r="H718" s="30">
        <f>IF(AND(B718&gt;=5,C718&lt;&gt;"",C718&lt;0.8),1,0)</f>
        <v/>
      </c>
      <c r="I718" s="30">
        <f>IF(AND(B718&gt;=8,D718&lt;&gt;"",D718&gt;=0.25,D718&lt;=0.75),1,0)</f>
        <v/>
      </c>
      <c r="J718" s="2" t="n"/>
    </row>
    <row r="719">
      <c r="A719" s="2" t="inlineStr">
        <is>
          <t>IMP00712</t>
        </is>
      </c>
      <c r="B719" s="2" t="n">
        <v>3</v>
      </c>
      <c r="C719" s="19" t="n">
        <v>0.616</v>
      </c>
      <c r="D719" s="29" t="n">
        <v>0.6667</v>
      </c>
      <c r="E719" s="2" t="n">
        <v>1</v>
      </c>
      <c r="F719" s="2" t="n">
        <v>0</v>
      </c>
      <c r="G719" s="2" t="n">
        <v>0</v>
      </c>
      <c r="H719" s="30">
        <f>IF(AND(B719&gt;=5,C719&lt;&gt;"",C719&lt;0.8),1,0)</f>
        <v/>
      </c>
      <c r="I719" s="30">
        <f>IF(AND(B719&gt;=8,D719&lt;&gt;"",D719&gt;=0.25,D719&lt;=0.75),1,0)</f>
        <v/>
      </c>
      <c r="J719" s="2" t="n"/>
    </row>
    <row r="720">
      <c r="A720" s="2" t="inlineStr">
        <is>
          <t>IMP00713</t>
        </is>
      </c>
      <c r="B720" s="2" t="n">
        <v>1</v>
      </c>
      <c r="C720" s="19" t="n">
        <v>0.658</v>
      </c>
      <c r="D720" s="29" t="n">
        <v>1</v>
      </c>
      <c r="E720" s="2" t="n">
        <v>2</v>
      </c>
      <c r="F720" s="2" t="n">
        <v>0</v>
      </c>
      <c r="G720" s="2" t="n">
        <v>0</v>
      </c>
      <c r="H720" s="30">
        <f>IF(AND(B720&gt;=5,C720&lt;&gt;"",C720&lt;0.8),1,0)</f>
        <v/>
      </c>
      <c r="I720" s="30">
        <f>IF(AND(B720&gt;=8,D720&lt;&gt;"",D720&gt;=0.25,D720&lt;=0.75),1,0)</f>
        <v/>
      </c>
      <c r="J720" s="2" t="n"/>
    </row>
    <row r="721">
      <c r="A721" s="2" t="inlineStr">
        <is>
          <t>IMP00714</t>
        </is>
      </c>
      <c r="B721" s="2" t="n">
        <v>40</v>
      </c>
      <c r="C721" s="19" t="n">
        <v>0.8385</v>
      </c>
      <c r="D721" s="29" t="n">
        <v>0.2</v>
      </c>
      <c r="E721" s="2" t="n">
        <v>2</v>
      </c>
      <c r="F721" s="2" t="n">
        <v>0</v>
      </c>
      <c r="G721" s="2" t="n">
        <v>0</v>
      </c>
      <c r="H721" s="30">
        <f>IF(AND(B721&gt;=5,C721&lt;&gt;"",C721&lt;0.8),1,0)</f>
        <v/>
      </c>
      <c r="I721" s="30">
        <f>IF(AND(B721&gt;=8,D721&lt;&gt;"",D721&gt;=0.25,D721&lt;=0.75),1,0)</f>
        <v/>
      </c>
      <c r="J721" s="2" t="n"/>
    </row>
    <row r="722">
      <c r="A722" s="2" t="inlineStr">
        <is>
          <t>IMP00715</t>
        </is>
      </c>
      <c r="B722" s="2" t="n">
        <v>3</v>
      </c>
      <c r="C722" s="19" t="n">
        <v>1.47</v>
      </c>
      <c r="D722" s="29" t="n">
        <v>0</v>
      </c>
      <c r="E722" s="2" t="n">
        <v>1</v>
      </c>
      <c r="F722" s="2" t="n">
        <v>0</v>
      </c>
      <c r="G722" s="2" t="n">
        <v>0</v>
      </c>
      <c r="H722" s="30">
        <f>IF(AND(B722&gt;=5,C722&lt;&gt;"",C722&lt;0.8),1,0)</f>
        <v/>
      </c>
      <c r="I722" s="30">
        <f>IF(AND(B722&gt;=8,D722&lt;&gt;"",D722&gt;=0.25,D722&lt;=0.75),1,0)</f>
        <v/>
      </c>
      <c r="J722" s="2" t="n"/>
    </row>
    <row r="723">
      <c r="A723" s="2" t="inlineStr">
        <is>
          <t>IMP00716</t>
        </is>
      </c>
      <c r="B723" s="2" t="n">
        <v>22</v>
      </c>
      <c r="C723" s="19" t="n">
        <v>0.8725000000000001</v>
      </c>
      <c r="D723" s="29" t="n">
        <v>0.09089999999999999</v>
      </c>
      <c r="E723" s="2" t="n">
        <v>1</v>
      </c>
      <c r="F723" s="2" t="n">
        <v>0</v>
      </c>
      <c r="G723" s="2" t="n">
        <v>0</v>
      </c>
      <c r="H723" s="30">
        <f>IF(AND(B723&gt;=5,C723&lt;&gt;"",C723&lt;0.8),1,0)</f>
        <v/>
      </c>
      <c r="I723" s="30">
        <f>IF(AND(B723&gt;=8,D723&lt;&gt;"",D723&gt;=0.25,D723&lt;=0.75),1,0)</f>
        <v/>
      </c>
      <c r="J723" s="2" t="n"/>
    </row>
    <row r="724">
      <c r="A724" s="2" t="inlineStr">
        <is>
          <t>IMP00717</t>
        </is>
      </c>
      <c r="B724" s="2" t="n">
        <v>589</v>
      </c>
      <c r="C724" s="19" t="n">
        <v>0.96</v>
      </c>
      <c r="D724" s="29" t="n">
        <v>0.0323</v>
      </c>
      <c r="E724" s="2" t="n">
        <v>1</v>
      </c>
      <c r="F724" s="2" t="n">
        <v>0</v>
      </c>
      <c r="G724" s="2" t="n">
        <v>0</v>
      </c>
      <c r="H724" s="30">
        <f>IF(AND(B724&gt;=5,C724&lt;&gt;"",C724&lt;0.8),1,0)</f>
        <v/>
      </c>
      <c r="I724" s="30">
        <f>IF(AND(B724&gt;=8,D724&lt;&gt;"",D724&gt;=0.25,D724&lt;=0.75),1,0)</f>
        <v/>
      </c>
      <c r="J724" s="2" t="n"/>
    </row>
    <row r="725">
      <c r="A725" s="2" t="inlineStr">
        <is>
          <t>IMP00718</t>
        </is>
      </c>
      <c r="B725" s="2" t="n">
        <v>0</v>
      </c>
      <c r="C725" s="19" t="n"/>
      <c r="D725" s="29" t="n"/>
      <c r="E725" s="2" t="n">
        <v>0</v>
      </c>
      <c r="F725" s="2" t="n">
        <v>0</v>
      </c>
      <c r="G725" s="2" t="n">
        <v>0</v>
      </c>
      <c r="H725" s="30">
        <f>IF(AND(B725&gt;=5,C725&lt;&gt;"",C725&lt;0.8),1,0)</f>
        <v/>
      </c>
      <c r="I725" s="30">
        <f>IF(AND(B725&gt;=8,D725&lt;&gt;"",D725&gt;=0.25,D725&lt;=0.75),1,0)</f>
        <v/>
      </c>
      <c r="J725" s="2" t="n"/>
    </row>
    <row r="726">
      <c r="A726" s="2" t="inlineStr">
        <is>
          <t>IMP00719</t>
        </is>
      </c>
      <c r="B726" s="2" t="n">
        <v>0</v>
      </c>
      <c r="C726" s="19" t="n"/>
      <c r="D726" s="29" t="n"/>
      <c r="E726" s="2" t="n">
        <v>0</v>
      </c>
      <c r="F726" s="2" t="n">
        <v>0</v>
      </c>
      <c r="G726" s="2" t="n">
        <v>0</v>
      </c>
      <c r="H726" s="30">
        <f>IF(AND(B726&gt;=5,C726&lt;&gt;"",C726&lt;0.8),1,0)</f>
        <v/>
      </c>
      <c r="I726" s="30">
        <f>IF(AND(B726&gt;=8,D726&lt;&gt;"",D726&gt;=0.25,D726&lt;=0.75),1,0)</f>
        <v/>
      </c>
      <c r="J726" s="2" t="n"/>
    </row>
    <row r="727">
      <c r="A727" s="2" t="inlineStr">
        <is>
          <t>IMP00720</t>
        </is>
      </c>
      <c r="B727" s="2" t="n">
        <v>0</v>
      </c>
      <c r="C727" s="19" t="n"/>
      <c r="D727" s="29" t="n"/>
      <c r="E727" s="2" t="n">
        <v>0</v>
      </c>
      <c r="F727" s="2" t="n">
        <v>0</v>
      </c>
      <c r="G727" s="2" t="n">
        <v>0</v>
      </c>
      <c r="H727" s="30">
        <f>IF(AND(B727&gt;=5,C727&lt;&gt;"",C727&lt;0.8),1,0)</f>
        <v/>
      </c>
      <c r="I727" s="30">
        <f>IF(AND(B727&gt;=8,D727&lt;&gt;"",D727&gt;=0.25,D727&lt;=0.75),1,0)</f>
        <v/>
      </c>
      <c r="J727" s="2" t="n"/>
    </row>
    <row r="728">
      <c r="A728" s="2" t="inlineStr">
        <is>
          <t>IMP00721</t>
        </is>
      </c>
      <c r="B728" s="2" t="n">
        <v>20</v>
      </c>
      <c r="C728" s="19" t="n">
        <v>1.001</v>
      </c>
      <c r="D728" s="29" t="n">
        <v>0.05</v>
      </c>
      <c r="E728" s="2" t="n">
        <v>2</v>
      </c>
      <c r="F728" s="2" t="n">
        <v>0</v>
      </c>
      <c r="G728" s="2" t="n">
        <v>0</v>
      </c>
      <c r="H728" s="30">
        <f>IF(AND(B728&gt;=5,C728&lt;&gt;"",C728&lt;0.8),1,0)</f>
        <v/>
      </c>
      <c r="I728" s="30">
        <f>IF(AND(B728&gt;=8,D728&lt;&gt;"",D728&gt;=0.25,D728&lt;=0.75),1,0)</f>
        <v/>
      </c>
      <c r="J728" s="2" t="n"/>
    </row>
    <row r="729">
      <c r="A729" s="2" t="inlineStr">
        <is>
          <t>IMP00722</t>
        </is>
      </c>
      <c r="B729" s="2" t="n">
        <v>3</v>
      </c>
      <c r="C729" s="19" t="n">
        <v>1.322</v>
      </c>
      <c r="D729" s="29" t="n">
        <v>0</v>
      </c>
      <c r="E729" s="2" t="n">
        <v>1</v>
      </c>
      <c r="F729" s="2" t="n">
        <v>0</v>
      </c>
      <c r="G729" s="2" t="n">
        <v>0</v>
      </c>
      <c r="H729" s="30">
        <f>IF(AND(B729&gt;=5,C729&lt;&gt;"",C729&lt;0.8),1,0)</f>
        <v/>
      </c>
      <c r="I729" s="30">
        <f>IF(AND(B729&gt;=8,D729&lt;&gt;"",D729&gt;=0.25,D729&lt;=0.75),1,0)</f>
        <v/>
      </c>
      <c r="J729" s="2" t="n"/>
    </row>
    <row r="730">
      <c r="A730" s="2" t="inlineStr">
        <is>
          <t>IMP00723</t>
        </is>
      </c>
      <c r="B730" s="2" t="n">
        <v>54</v>
      </c>
      <c r="C730" s="19" t="n">
        <v>0.912</v>
      </c>
      <c r="D730" s="29" t="n">
        <v>0.1852</v>
      </c>
      <c r="E730" s="2" t="n">
        <v>1</v>
      </c>
      <c r="F730" s="2" t="n">
        <v>0</v>
      </c>
      <c r="G730" s="2" t="n">
        <v>0</v>
      </c>
      <c r="H730" s="30">
        <f>IF(AND(B730&gt;=5,C730&lt;&gt;"",C730&lt;0.8),1,0)</f>
        <v/>
      </c>
      <c r="I730" s="30">
        <f>IF(AND(B730&gt;=8,D730&lt;&gt;"",D730&gt;=0.25,D730&lt;=0.75),1,0)</f>
        <v/>
      </c>
      <c r="J730" s="2" t="n"/>
    </row>
    <row r="731">
      <c r="A731" s="2" t="inlineStr">
        <is>
          <t>IMP00724</t>
        </is>
      </c>
      <c r="B731" s="2" t="n">
        <v>862</v>
      </c>
      <c r="C731" s="19" t="n">
        <v>0.991</v>
      </c>
      <c r="D731" s="29" t="n">
        <v>0.1659</v>
      </c>
      <c r="E731" s="2" t="n">
        <v>1</v>
      </c>
      <c r="F731" s="2" t="n">
        <v>0</v>
      </c>
      <c r="G731" s="2" t="n">
        <v>0</v>
      </c>
      <c r="H731" s="30">
        <f>IF(AND(B731&gt;=5,C731&lt;&gt;"",C731&lt;0.8),1,0)</f>
        <v/>
      </c>
      <c r="I731" s="30">
        <f>IF(AND(B731&gt;=8,D731&lt;&gt;"",D731&gt;=0.25,D731&lt;=0.75),1,0)</f>
        <v/>
      </c>
      <c r="J731" s="2" t="n"/>
    </row>
    <row r="732">
      <c r="A732" s="2" t="inlineStr">
        <is>
          <t>IMP00725</t>
        </is>
      </c>
      <c r="B732" s="2" t="n">
        <v>256</v>
      </c>
      <c r="C732" s="19" t="n">
        <v>0.948</v>
      </c>
      <c r="D732" s="29" t="n">
        <v>0.0312</v>
      </c>
      <c r="E732" s="2" t="n">
        <v>1</v>
      </c>
      <c r="F732" s="2" t="n">
        <v>0</v>
      </c>
      <c r="G732" s="2" t="n">
        <v>0</v>
      </c>
      <c r="H732" s="30">
        <f>IF(AND(B732&gt;=5,C732&lt;&gt;"",C732&lt;0.8),1,0)</f>
        <v/>
      </c>
      <c r="I732" s="30">
        <f>IF(AND(B732&gt;=8,D732&lt;&gt;"",D732&gt;=0.25,D732&lt;=0.75),1,0)</f>
        <v/>
      </c>
      <c r="J732" s="2" t="n"/>
    </row>
    <row r="733">
      <c r="A733" s="2" t="inlineStr">
        <is>
          <t>IMP00726</t>
        </is>
      </c>
      <c r="B733" s="2" t="n">
        <v>95</v>
      </c>
      <c r="C733" s="19" t="n">
        <v>1.072</v>
      </c>
      <c r="D733" s="29" t="n">
        <v>0</v>
      </c>
      <c r="E733" s="2" t="n">
        <v>1</v>
      </c>
      <c r="F733" s="2" t="n">
        <v>0</v>
      </c>
      <c r="G733" s="2" t="n">
        <v>0</v>
      </c>
      <c r="H733" s="30">
        <f>IF(AND(B733&gt;=5,C733&lt;&gt;"",C733&lt;0.8),1,0)</f>
        <v/>
      </c>
      <c r="I733" s="30">
        <f>IF(AND(B733&gt;=8,D733&lt;&gt;"",D733&gt;=0.25,D733&lt;=0.75),1,0)</f>
        <v/>
      </c>
      <c r="J733" s="2" t="n"/>
    </row>
    <row r="734">
      <c r="A734" s="2" t="inlineStr">
        <is>
          <t>IMP00727</t>
        </is>
      </c>
      <c r="B734" s="2" t="n">
        <v>6</v>
      </c>
      <c r="C734" s="19" t="n">
        <v>1.0465</v>
      </c>
      <c r="D734" s="29" t="n">
        <v>0</v>
      </c>
      <c r="E734" s="2" t="n">
        <v>1</v>
      </c>
      <c r="F734" s="2" t="n">
        <v>0</v>
      </c>
      <c r="G734" s="2" t="n">
        <v>0</v>
      </c>
      <c r="H734" s="30">
        <f>IF(AND(B734&gt;=5,C734&lt;&gt;"",C734&lt;0.8),1,0)</f>
        <v/>
      </c>
      <c r="I734" s="30">
        <f>IF(AND(B734&gt;=8,D734&lt;&gt;"",D734&gt;=0.25,D734&lt;=0.75),1,0)</f>
        <v/>
      </c>
      <c r="J734" s="2" t="n"/>
    </row>
    <row r="735">
      <c r="A735" s="2" t="inlineStr">
        <is>
          <t>IMP00728</t>
        </is>
      </c>
      <c r="B735" s="2" t="n">
        <v>0</v>
      </c>
      <c r="C735" s="19" t="n"/>
      <c r="D735" s="29" t="n"/>
      <c r="E735" s="2" t="n">
        <v>0</v>
      </c>
      <c r="F735" s="2" t="n">
        <v>0</v>
      </c>
      <c r="G735" s="2" t="n">
        <v>0</v>
      </c>
      <c r="H735" s="30">
        <f>IF(AND(B735&gt;=5,C735&lt;&gt;"",C735&lt;0.8),1,0)</f>
        <v/>
      </c>
      <c r="I735" s="30">
        <f>IF(AND(B735&gt;=8,D735&lt;&gt;"",D735&gt;=0.25,D735&lt;=0.75),1,0)</f>
        <v/>
      </c>
      <c r="J735" s="2" t="n"/>
    </row>
    <row r="736">
      <c r="A736" s="2" t="inlineStr">
        <is>
          <t>IMP00729</t>
        </is>
      </c>
      <c r="B736" s="2" t="n">
        <v>0</v>
      </c>
      <c r="C736" s="19" t="n"/>
      <c r="D736" s="29" t="n"/>
      <c r="E736" s="2" t="n">
        <v>0</v>
      </c>
      <c r="F736" s="2" t="n">
        <v>0</v>
      </c>
      <c r="G736" s="2" t="n">
        <v>0</v>
      </c>
      <c r="H736" s="30">
        <f>IF(AND(B736&gt;=5,C736&lt;&gt;"",C736&lt;0.8),1,0)</f>
        <v/>
      </c>
      <c r="I736" s="30">
        <f>IF(AND(B736&gt;=8,D736&lt;&gt;"",D736&gt;=0.25,D736&lt;=0.75),1,0)</f>
        <v/>
      </c>
      <c r="J736" s="2" t="n"/>
    </row>
    <row r="737">
      <c r="A737" s="2" t="inlineStr">
        <is>
          <t>IMP00730</t>
        </is>
      </c>
      <c r="B737" s="2" t="n">
        <v>119</v>
      </c>
      <c r="C737" s="19" t="n">
        <v>0.996</v>
      </c>
      <c r="D737" s="29" t="n">
        <v>0.0504</v>
      </c>
      <c r="E737" s="2" t="n">
        <v>1</v>
      </c>
      <c r="F737" s="2" t="n">
        <v>0</v>
      </c>
      <c r="G737" s="2" t="n">
        <v>0</v>
      </c>
      <c r="H737" s="30">
        <f>IF(AND(B737&gt;=5,C737&lt;&gt;"",C737&lt;0.8),1,0)</f>
        <v/>
      </c>
      <c r="I737" s="30">
        <f>IF(AND(B737&gt;=8,D737&lt;&gt;"",D737&gt;=0.25,D737&lt;=0.75),1,0)</f>
        <v/>
      </c>
      <c r="J737" s="2" t="n"/>
    </row>
    <row r="738">
      <c r="A738" s="2" t="inlineStr">
        <is>
          <t>IMP00731</t>
        </is>
      </c>
      <c r="B738" s="2" t="n">
        <v>65</v>
      </c>
      <c r="C738" s="19" t="n">
        <v>0.765</v>
      </c>
      <c r="D738" s="29" t="n">
        <v>0.4462</v>
      </c>
      <c r="E738" s="2" t="n">
        <v>1</v>
      </c>
      <c r="F738" s="2" t="n">
        <v>1</v>
      </c>
      <c r="G738" s="2" t="n">
        <v>1</v>
      </c>
      <c r="H738" s="30">
        <f>IF(AND(B738&gt;=5,C738&lt;&gt;"",C738&lt;0.8),1,0)</f>
        <v/>
      </c>
      <c r="I738" s="30">
        <f>IF(AND(B738&gt;=8,D738&lt;&gt;"",D738&gt;=0.25,D738&lt;=0.75),1,0)</f>
        <v/>
      </c>
      <c r="J738" s="2" t="n"/>
    </row>
    <row r="739">
      <c r="A739" s="2" t="inlineStr">
        <is>
          <t>IMP00732</t>
        </is>
      </c>
      <c r="B739" s="2" t="n">
        <v>700</v>
      </c>
      <c r="C739" s="19" t="n">
        <v>0.987</v>
      </c>
      <c r="D739" s="29" t="n">
        <v>0.0771</v>
      </c>
      <c r="E739" s="2" t="n">
        <v>1</v>
      </c>
      <c r="F739" s="2" t="n">
        <v>0</v>
      </c>
      <c r="G739" s="2" t="n">
        <v>0</v>
      </c>
      <c r="H739" s="30">
        <f>IF(AND(B739&gt;=5,C739&lt;&gt;"",C739&lt;0.8),1,0)</f>
        <v/>
      </c>
      <c r="I739" s="30">
        <f>IF(AND(B739&gt;=8,D739&lt;&gt;"",D739&gt;=0.25,D739&lt;=0.75),1,0)</f>
        <v/>
      </c>
      <c r="J739" s="2" t="n"/>
    </row>
    <row r="740">
      <c r="A740" s="2" t="inlineStr">
        <is>
          <t>IMP00733</t>
        </is>
      </c>
      <c r="B740" s="2" t="n">
        <v>25</v>
      </c>
      <c r="C740" s="19" t="n">
        <v>0.9419999999999999</v>
      </c>
      <c r="D740" s="29" t="n">
        <v>0.04</v>
      </c>
      <c r="E740" s="2" t="n">
        <v>1</v>
      </c>
      <c r="F740" s="2" t="n">
        <v>0</v>
      </c>
      <c r="G740" s="2" t="n">
        <v>0</v>
      </c>
      <c r="H740" s="30">
        <f>IF(AND(B740&gt;=5,C740&lt;&gt;"",C740&lt;0.8),1,0)</f>
        <v/>
      </c>
      <c r="I740" s="30">
        <f>IF(AND(B740&gt;=8,D740&lt;&gt;"",D740&gt;=0.25,D740&lt;=0.75),1,0)</f>
        <v/>
      </c>
      <c r="J740" s="2" t="n"/>
    </row>
    <row r="741">
      <c r="A741" s="2" t="inlineStr">
        <is>
          <t>IMP00734</t>
        </is>
      </c>
      <c r="B741" s="2" t="n">
        <v>89</v>
      </c>
      <c r="C741" s="19" t="n">
        <v>1.072</v>
      </c>
      <c r="D741" s="29" t="n">
        <v>0.0562</v>
      </c>
      <c r="E741" s="2" t="n">
        <v>1</v>
      </c>
      <c r="F741" s="2" t="n">
        <v>0</v>
      </c>
      <c r="G741" s="2" t="n">
        <v>0</v>
      </c>
      <c r="H741" s="30">
        <f>IF(AND(B741&gt;=5,C741&lt;&gt;"",C741&lt;0.8),1,0)</f>
        <v/>
      </c>
      <c r="I741" s="30">
        <f>IF(AND(B741&gt;=8,D741&lt;&gt;"",D741&gt;=0.25,D741&lt;=0.75),1,0)</f>
        <v/>
      </c>
      <c r="J741" s="2" t="n"/>
    </row>
    <row r="742">
      <c r="A742" s="2" t="inlineStr">
        <is>
          <t>IMP00735</t>
        </is>
      </c>
      <c r="B742" s="2" t="n">
        <v>5</v>
      </c>
      <c r="C742" s="19" t="n">
        <v>1.041</v>
      </c>
      <c r="D742" s="29" t="n">
        <v>0</v>
      </c>
      <c r="E742" s="2" t="n">
        <v>1</v>
      </c>
      <c r="F742" s="2" t="n">
        <v>0</v>
      </c>
      <c r="G742" s="2" t="n">
        <v>0</v>
      </c>
      <c r="H742" s="30">
        <f>IF(AND(B742&gt;=5,C742&lt;&gt;"",C742&lt;0.8),1,0)</f>
        <v/>
      </c>
      <c r="I742" s="30">
        <f>IF(AND(B742&gt;=8,D742&lt;&gt;"",D742&gt;=0.25,D742&lt;=0.75),1,0)</f>
        <v/>
      </c>
      <c r="J742" s="2" t="n"/>
    </row>
    <row r="743">
      <c r="A743" s="2" t="inlineStr">
        <is>
          <t>IMP00736</t>
        </is>
      </c>
      <c r="B743" s="2" t="n">
        <v>0</v>
      </c>
      <c r="C743" s="19" t="n"/>
      <c r="D743" s="29" t="n"/>
      <c r="E743" s="2" t="n">
        <v>0</v>
      </c>
      <c r="F743" s="2" t="n">
        <v>0</v>
      </c>
      <c r="G743" s="2" t="n">
        <v>0</v>
      </c>
      <c r="H743" s="30">
        <f>IF(AND(B743&gt;=5,C743&lt;&gt;"",C743&lt;0.8),1,0)</f>
        <v/>
      </c>
      <c r="I743" s="30">
        <f>IF(AND(B743&gt;=8,D743&lt;&gt;"",D743&gt;=0.25,D743&lt;=0.75),1,0)</f>
        <v/>
      </c>
      <c r="J743" s="2" t="n"/>
    </row>
    <row r="744">
      <c r="A744" s="2" t="inlineStr">
        <is>
          <t>IMP00737</t>
        </is>
      </c>
      <c r="B744" s="2" t="n">
        <v>477</v>
      </c>
      <c r="C744" s="19" t="n">
        <v>1.001</v>
      </c>
      <c r="D744" s="29" t="n">
        <v>0.0063</v>
      </c>
      <c r="E744" s="2" t="n">
        <v>1</v>
      </c>
      <c r="F744" s="2" t="n">
        <v>0</v>
      </c>
      <c r="G744" s="2" t="n">
        <v>0</v>
      </c>
      <c r="H744" s="30">
        <f>IF(AND(B744&gt;=5,C744&lt;&gt;"",C744&lt;0.8),1,0)</f>
        <v/>
      </c>
      <c r="I744" s="30">
        <f>IF(AND(B744&gt;=8,D744&lt;&gt;"",D744&gt;=0.25,D744&lt;=0.75),1,0)</f>
        <v/>
      </c>
      <c r="J744" s="2" t="n"/>
    </row>
    <row r="745">
      <c r="A745" s="2" t="inlineStr">
        <is>
          <t>IMP00738</t>
        </is>
      </c>
      <c r="B745" s="2" t="n">
        <v>15</v>
      </c>
      <c r="C745" s="19" t="n">
        <v>1.063</v>
      </c>
      <c r="D745" s="29" t="n">
        <v>0.0667</v>
      </c>
      <c r="E745" s="2" t="n">
        <v>2</v>
      </c>
      <c r="F745" s="2" t="n">
        <v>0</v>
      </c>
      <c r="G745" s="2" t="n">
        <v>0</v>
      </c>
      <c r="H745" s="30">
        <f>IF(AND(B745&gt;=5,C745&lt;&gt;"",C745&lt;0.8),1,0)</f>
        <v/>
      </c>
      <c r="I745" s="30">
        <f>IF(AND(B745&gt;=8,D745&lt;&gt;"",D745&gt;=0.25,D745&lt;=0.75),1,0)</f>
        <v/>
      </c>
      <c r="J745" s="2" t="n"/>
    </row>
    <row r="746">
      <c r="A746" s="2" t="inlineStr">
        <is>
          <t>IMP00739</t>
        </is>
      </c>
      <c r="B746" s="2" t="n">
        <v>0</v>
      </c>
      <c r="C746" s="19" t="n"/>
      <c r="D746" s="29" t="n"/>
      <c r="E746" s="2" t="n">
        <v>0</v>
      </c>
      <c r="F746" s="2" t="n">
        <v>0</v>
      </c>
      <c r="G746" s="2" t="n">
        <v>0</v>
      </c>
      <c r="H746" s="30">
        <f>IF(AND(B746&gt;=5,C746&lt;&gt;"",C746&lt;0.8),1,0)</f>
        <v/>
      </c>
      <c r="I746" s="30">
        <f>IF(AND(B746&gt;=8,D746&lt;&gt;"",D746&gt;=0.25,D746&lt;=0.75),1,0)</f>
        <v/>
      </c>
      <c r="J746" s="2" t="n"/>
    </row>
    <row r="747">
      <c r="A747" s="2" t="inlineStr">
        <is>
          <t>IMP00740</t>
        </is>
      </c>
      <c r="B747" s="2" t="n">
        <v>2</v>
      </c>
      <c r="C747" s="19" t="n">
        <v>0.878</v>
      </c>
      <c r="D747" s="29" t="n">
        <v>0</v>
      </c>
      <c r="E747" s="2" t="n">
        <v>1</v>
      </c>
      <c r="F747" s="2" t="n">
        <v>0</v>
      </c>
      <c r="G747" s="2" t="n">
        <v>0</v>
      </c>
      <c r="H747" s="30">
        <f>IF(AND(B747&gt;=5,C747&lt;&gt;"",C747&lt;0.8),1,0)</f>
        <v/>
      </c>
      <c r="I747" s="30">
        <f>IF(AND(B747&gt;=8,D747&lt;&gt;"",D747&gt;=0.25,D747&lt;=0.75),1,0)</f>
        <v/>
      </c>
      <c r="J747" s="2" t="n"/>
    </row>
    <row r="748">
      <c r="A748" s="2" t="inlineStr">
        <is>
          <t>IMP00741</t>
        </is>
      </c>
      <c r="B748" s="2" t="n">
        <v>122</v>
      </c>
      <c r="C748" s="19" t="n">
        <v>1.102</v>
      </c>
      <c r="D748" s="29" t="n">
        <v>0.008200000000000001</v>
      </c>
      <c r="E748" s="2" t="n">
        <v>1</v>
      </c>
      <c r="F748" s="2" t="n">
        <v>0</v>
      </c>
      <c r="G748" s="2" t="n">
        <v>0</v>
      </c>
      <c r="H748" s="30">
        <f>IF(AND(B748&gt;=5,C748&lt;&gt;"",C748&lt;0.8),1,0)</f>
        <v/>
      </c>
      <c r="I748" s="30">
        <f>IF(AND(B748&gt;=8,D748&lt;&gt;"",D748&gt;=0.25,D748&lt;=0.75),1,0)</f>
        <v/>
      </c>
      <c r="J748" s="2" t="n"/>
    </row>
    <row r="749">
      <c r="A749" s="2" t="inlineStr">
        <is>
          <t>IMP00742</t>
        </is>
      </c>
      <c r="B749" s="2" t="n">
        <v>2</v>
      </c>
      <c r="C749" s="19" t="n">
        <v>0.9095</v>
      </c>
      <c r="D749" s="29" t="n">
        <v>0.5</v>
      </c>
      <c r="E749" s="2" t="n">
        <v>9</v>
      </c>
      <c r="F749" s="2" t="n">
        <v>0</v>
      </c>
      <c r="G749" s="2" t="n">
        <v>0</v>
      </c>
      <c r="H749" s="30">
        <f>IF(AND(B749&gt;=5,C749&lt;&gt;"",C749&lt;0.8),1,0)</f>
        <v/>
      </c>
      <c r="I749" s="30">
        <f>IF(AND(B749&gt;=8,D749&lt;&gt;"",D749&gt;=0.25,D749&lt;=0.75),1,0)</f>
        <v/>
      </c>
      <c r="J749" s="2" t="n"/>
    </row>
    <row r="750">
      <c r="A750" s="2" t="inlineStr">
        <is>
          <t>IMP00743</t>
        </is>
      </c>
      <c r="B750" s="2" t="n">
        <v>97</v>
      </c>
      <c r="C750" s="19" t="n">
        <v>1.156</v>
      </c>
      <c r="D750" s="29" t="n">
        <v>0.0103</v>
      </c>
      <c r="E750" s="2" t="n">
        <v>2</v>
      </c>
      <c r="F750" s="2" t="n">
        <v>0</v>
      </c>
      <c r="G750" s="2" t="n">
        <v>0</v>
      </c>
      <c r="H750" s="30">
        <f>IF(AND(B750&gt;=5,C750&lt;&gt;"",C750&lt;0.8),1,0)</f>
        <v/>
      </c>
      <c r="I750" s="30">
        <f>IF(AND(B750&gt;=8,D750&lt;&gt;"",D750&gt;=0.25,D750&lt;=0.75),1,0)</f>
        <v/>
      </c>
      <c r="J750" s="2" t="n"/>
    </row>
    <row r="751">
      <c r="A751" s="2" t="inlineStr">
        <is>
          <t>IMP00744</t>
        </is>
      </c>
      <c r="B751" s="2" t="n">
        <v>338</v>
      </c>
      <c r="C751" s="19" t="n">
        <v>0.921</v>
      </c>
      <c r="D751" s="29" t="n">
        <v>0.1627</v>
      </c>
      <c r="E751" s="2" t="n">
        <v>1</v>
      </c>
      <c r="F751" s="2" t="n">
        <v>0</v>
      </c>
      <c r="G751" s="2" t="n">
        <v>0</v>
      </c>
      <c r="H751" s="30">
        <f>IF(AND(B751&gt;=5,C751&lt;&gt;"",C751&lt;0.8),1,0)</f>
        <v/>
      </c>
      <c r="I751" s="30">
        <f>IF(AND(B751&gt;=8,D751&lt;&gt;"",D751&gt;=0.25,D751&lt;=0.75),1,0)</f>
        <v/>
      </c>
      <c r="J751" s="2" t="n"/>
    </row>
    <row r="752">
      <c r="A752" s="2" t="inlineStr">
        <is>
          <t>IMP00745</t>
        </is>
      </c>
      <c r="B752" s="2" t="n">
        <v>79</v>
      </c>
      <c r="C752" s="19" t="n">
        <v>0.842</v>
      </c>
      <c r="D752" s="29" t="n">
        <v>0.2911</v>
      </c>
      <c r="E752" s="2" t="n">
        <v>1</v>
      </c>
      <c r="F752" s="2" t="n">
        <v>0</v>
      </c>
      <c r="G752" s="2" t="n">
        <v>1</v>
      </c>
      <c r="H752" s="30">
        <f>IF(AND(B752&gt;=5,C752&lt;&gt;"",C752&lt;0.8),1,0)</f>
        <v/>
      </c>
      <c r="I752" s="30">
        <f>IF(AND(B752&gt;=8,D752&lt;&gt;"",D752&gt;=0.25,D752&lt;=0.75),1,0)</f>
        <v/>
      </c>
      <c r="J752" s="2" t="n"/>
    </row>
    <row r="753">
      <c r="A753" s="2" t="inlineStr">
        <is>
          <t>IMP00746</t>
        </is>
      </c>
      <c r="B753" s="2" t="n">
        <v>19</v>
      </c>
      <c r="C753" s="19" t="n">
        <v>1.09</v>
      </c>
      <c r="D753" s="29" t="n">
        <v>0</v>
      </c>
      <c r="E753" s="2" t="n">
        <v>1</v>
      </c>
      <c r="F753" s="2" t="n">
        <v>0</v>
      </c>
      <c r="G753" s="2" t="n">
        <v>0</v>
      </c>
      <c r="H753" s="30">
        <f>IF(AND(B753&gt;=5,C753&lt;&gt;"",C753&lt;0.8),1,0)</f>
        <v/>
      </c>
      <c r="I753" s="30">
        <f>IF(AND(B753&gt;=8,D753&lt;&gt;"",D753&gt;=0.25,D753&lt;=0.75),1,0)</f>
        <v/>
      </c>
      <c r="J753" s="2" t="n"/>
    </row>
    <row r="754">
      <c r="A754" s="2" t="inlineStr">
        <is>
          <t>IMP00747</t>
        </is>
      </c>
      <c r="B754" s="2" t="n">
        <v>1</v>
      </c>
      <c r="C754" s="19" t="n">
        <v>1.369</v>
      </c>
      <c r="D754" s="29" t="n">
        <v>0</v>
      </c>
      <c r="E754" s="2" t="n">
        <v>1</v>
      </c>
      <c r="F754" s="2" t="n">
        <v>0</v>
      </c>
      <c r="G754" s="2" t="n">
        <v>0</v>
      </c>
      <c r="H754" s="30">
        <f>IF(AND(B754&gt;=5,C754&lt;&gt;"",C754&lt;0.8),1,0)</f>
        <v/>
      </c>
      <c r="I754" s="30">
        <f>IF(AND(B754&gt;=8,D754&lt;&gt;"",D754&gt;=0.25,D754&lt;=0.75),1,0)</f>
        <v/>
      </c>
      <c r="J754" s="2" t="n"/>
    </row>
    <row r="755">
      <c r="A755" s="2" t="inlineStr">
        <is>
          <t>IMP00748</t>
        </is>
      </c>
      <c r="B755" s="2" t="n">
        <v>70</v>
      </c>
      <c r="C755" s="19" t="n">
        <v>1.0415</v>
      </c>
      <c r="D755" s="29" t="n">
        <v>0.0286</v>
      </c>
      <c r="E755" s="2" t="n">
        <v>2</v>
      </c>
      <c r="F755" s="2" t="n">
        <v>0</v>
      </c>
      <c r="G755" s="2" t="n">
        <v>0</v>
      </c>
      <c r="H755" s="30">
        <f>IF(AND(B755&gt;=5,C755&lt;&gt;"",C755&lt;0.8),1,0)</f>
        <v/>
      </c>
      <c r="I755" s="30">
        <f>IF(AND(B755&gt;=8,D755&lt;&gt;"",D755&gt;=0.25,D755&lt;=0.75),1,0)</f>
        <v/>
      </c>
      <c r="J755" s="2" t="n"/>
    </row>
    <row r="756">
      <c r="A756" s="2" t="inlineStr">
        <is>
          <t>IMP00749</t>
        </is>
      </c>
      <c r="B756" s="2" t="n">
        <v>5</v>
      </c>
      <c r="C756" s="19" t="n">
        <v>0.902</v>
      </c>
      <c r="D756" s="29" t="n">
        <v>0</v>
      </c>
      <c r="E756" s="2" t="n">
        <v>1</v>
      </c>
      <c r="F756" s="2" t="n">
        <v>0</v>
      </c>
      <c r="G756" s="2" t="n">
        <v>0</v>
      </c>
      <c r="H756" s="30">
        <f>IF(AND(B756&gt;=5,C756&lt;&gt;"",C756&lt;0.8),1,0)</f>
        <v/>
      </c>
      <c r="I756" s="30">
        <f>IF(AND(B756&gt;=8,D756&lt;&gt;"",D756&gt;=0.25,D756&lt;=0.75),1,0)</f>
        <v/>
      </c>
      <c r="J756" s="2" t="n"/>
    </row>
    <row r="757">
      <c r="A757" s="2" t="inlineStr">
        <is>
          <t>IMP00750</t>
        </is>
      </c>
      <c r="B757" s="2" t="n">
        <v>64</v>
      </c>
      <c r="C757" s="19" t="n">
        <v>1.1975</v>
      </c>
      <c r="D757" s="29" t="n">
        <v>0.0625</v>
      </c>
      <c r="E757" s="2" t="n">
        <v>2</v>
      </c>
      <c r="F757" s="2" t="n">
        <v>0</v>
      </c>
      <c r="G757" s="2" t="n">
        <v>0</v>
      </c>
      <c r="H757" s="30">
        <f>IF(AND(B757&gt;=5,C757&lt;&gt;"",C757&lt;0.8),1,0)</f>
        <v/>
      </c>
      <c r="I757" s="30">
        <f>IF(AND(B757&gt;=8,D757&lt;&gt;"",D757&gt;=0.25,D757&lt;=0.75),1,0)</f>
        <v/>
      </c>
      <c r="J757" s="2" t="n"/>
    </row>
    <row r="758">
      <c r="A758" s="2" t="inlineStr">
        <is>
          <t>IMP00751</t>
        </is>
      </c>
      <c r="B758" s="2" t="n">
        <v>0</v>
      </c>
      <c r="C758" s="19" t="n"/>
      <c r="D758" s="29" t="n"/>
      <c r="E758" s="2" t="n">
        <v>0</v>
      </c>
      <c r="F758" s="2" t="n">
        <v>0</v>
      </c>
      <c r="G758" s="2" t="n">
        <v>0</v>
      </c>
      <c r="H758" s="30">
        <f>IF(AND(B758&gt;=5,C758&lt;&gt;"",C758&lt;0.8),1,0)</f>
        <v/>
      </c>
      <c r="I758" s="30">
        <f>IF(AND(B758&gt;=8,D758&lt;&gt;"",D758&gt;=0.25,D758&lt;=0.75),1,0)</f>
        <v/>
      </c>
      <c r="J758" s="2" t="n"/>
    </row>
    <row r="759">
      <c r="A759" s="2" t="inlineStr">
        <is>
          <t>IMP00752</t>
        </is>
      </c>
      <c r="B759" s="2" t="n">
        <v>1</v>
      </c>
      <c r="C759" s="19" t="n">
        <v>0.719</v>
      </c>
      <c r="D759" s="29" t="n">
        <v>1</v>
      </c>
      <c r="E759" s="2" t="n">
        <v>1</v>
      </c>
      <c r="F759" s="2" t="n">
        <v>0</v>
      </c>
      <c r="G759" s="2" t="n">
        <v>0</v>
      </c>
      <c r="H759" s="30">
        <f>IF(AND(B759&gt;=5,C759&lt;&gt;"",C759&lt;0.8),1,0)</f>
        <v/>
      </c>
      <c r="I759" s="30">
        <f>IF(AND(B759&gt;=8,D759&lt;&gt;"",D759&gt;=0.25,D759&lt;=0.75),1,0)</f>
        <v/>
      </c>
      <c r="J759" s="2" t="n"/>
    </row>
    <row r="760">
      <c r="A760" s="2" t="inlineStr">
        <is>
          <t>IMP00753</t>
        </is>
      </c>
      <c r="B760" s="2" t="n">
        <v>549</v>
      </c>
      <c r="C760" s="19" t="n">
        <v>0.6595</v>
      </c>
      <c r="D760" s="29" t="n">
        <v>0.6175</v>
      </c>
      <c r="E760" s="2" t="n">
        <v>2</v>
      </c>
      <c r="F760" s="2" t="n">
        <v>1</v>
      </c>
      <c r="G760" s="2" t="n">
        <v>1</v>
      </c>
      <c r="H760" s="30">
        <f>IF(AND(B760&gt;=5,C760&lt;&gt;"",C760&lt;0.8),1,0)</f>
        <v/>
      </c>
      <c r="I760" s="30">
        <f>IF(AND(B760&gt;=8,D760&lt;&gt;"",D760&gt;=0.25,D760&lt;=0.75),1,0)</f>
        <v/>
      </c>
      <c r="J760" s="2" t="n"/>
    </row>
    <row r="761">
      <c r="A761" s="2" t="inlineStr">
        <is>
          <t>IMP00754</t>
        </is>
      </c>
      <c r="B761" s="2" t="n">
        <v>50</v>
      </c>
      <c r="C761" s="19" t="n">
        <v>0.743</v>
      </c>
      <c r="D761" s="29" t="n">
        <v>0.54</v>
      </c>
      <c r="E761" s="2" t="n">
        <v>2</v>
      </c>
      <c r="F761" s="2" t="n">
        <v>1</v>
      </c>
      <c r="G761" s="2" t="n">
        <v>1</v>
      </c>
      <c r="H761" s="30">
        <f>IF(AND(B761&gt;=5,C761&lt;&gt;"",C761&lt;0.8),1,0)</f>
        <v/>
      </c>
      <c r="I761" s="30">
        <f>IF(AND(B761&gt;=8,D761&lt;&gt;"",D761&gt;=0.25,D761&lt;=0.75),1,0)</f>
        <v/>
      </c>
      <c r="J761" s="2" t="n"/>
    </row>
    <row r="762">
      <c r="A762" s="2" t="inlineStr">
        <is>
          <t>IMP00755</t>
        </is>
      </c>
      <c r="B762" s="2" t="n">
        <v>0</v>
      </c>
      <c r="C762" s="19" t="n"/>
      <c r="D762" s="29" t="n"/>
      <c r="E762" s="2" t="n">
        <v>0</v>
      </c>
      <c r="F762" s="2" t="n">
        <v>0</v>
      </c>
      <c r="G762" s="2" t="n">
        <v>0</v>
      </c>
      <c r="H762" s="30">
        <f>IF(AND(B762&gt;=5,C762&lt;&gt;"",C762&lt;0.8),1,0)</f>
        <v/>
      </c>
      <c r="I762" s="30">
        <f>IF(AND(B762&gt;=8,D762&lt;&gt;"",D762&gt;=0.25,D762&lt;=0.75),1,0)</f>
        <v/>
      </c>
      <c r="J762" s="2" t="n"/>
    </row>
    <row r="763">
      <c r="A763" s="2" t="inlineStr">
        <is>
          <t>IMP00756</t>
        </is>
      </c>
      <c r="B763" s="2" t="n">
        <v>3</v>
      </c>
      <c r="C763" s="19" t="n">
        <v>0.918</v>
      </c>
      <c r="D763" s="29" t="n">
        <v>0</v>
      </c>
      <c r="E763" s="2" t="n">
        <v>2</v>
      </c>
      <c r="F763" s="2" t="n">
        <v>0</v>
      </c>
      <c r="G763" s="2" t="n">
        <v>0</v>
      </c>
      <c r="H763" s="30">
        <f>IF(AND(B763&gt;=5,C763&lt;&gt;"",C763&lt;0.8),1,0)</f>
        <v/>
      </c>
      <c r="I763" s="30">
        <f>IF(AND(B763&gt;=8,D763&lt;&gt;"",D763&gt;=0.25,D763&lt;=0.75),1,0)</f>
        <v/>
      </c>
      <c r="J763" s="2" t="n"/>
    </row>
    <row r="764">
      <c r="A764" s="2" t="inlineStr">
        <is>
          <t>IMP00757</t>
        </is>
      </c>
      <c r="B764" s="2" t="n">
        <v>3</v>
      </c>
      <c r="C764" s="19" t="n">
        <v>1.039</v>
      </c>
      <c r="D764" s="29" t="n">
        <v>0</v>
      </c>
      <c r="E764" s="2" t="n">
        <v>2</v>
      </c>
      <c r="F764" s="2" t="n">
        <v>0</v>
      </c>
      <c r="G764" s="2" t="n">
        <v>0</v>
      </c>
      <c r="H764" s="30">
        <f>IF(AND(B764&gt;=5,C764&lt;&gt;"",C764&lt;0.8),1,0)</f>
        <v/>
      </c>
      <c r="I764" s="30">
        <f>IF(AND(B764&gt;=8,D764&lt;&gt;"",D764&gt;=0.25,D764&lt;=0.75),1,0)</f>
        <v/>
      </c>
      <c r="J764" s="2" t="n"/>
    </row>
    <row r="765">
      <c r="A765" s="2" t="inlineStr">
        <is>
          <t>IMP00758</t>
        </is>
      </c>
      <c r="B765" s="2" t="n">
        <v>26</v>
      </c>
      <c r="C765" s="19" t="n">
        <v>1.056</v>
      </c>
      <c r="D765" s="29" t="n">
        <v>0.0385</v>
      </c>
      <c r="E765" s="2" t="n">
        <v>2</v>
      </c>
      <c r="F765" s="2" t="n">
        <v>0</v>
      </c>
      <c r="G765" s="2" t="n">
        <v>0</v>
      </c>
      <c r="H765" s="30">
        <f>IF(AND(B765&gt;=5,C765&lt;&gt;"",C765&lt;0.8),1,0)</f>
        <v/>
      </c>
      <c r="I765" s="30">
        <f>IF(AND(B765&gt;=8,D765&lt;&gt;"",D765&gt;=0.25,D765&lt;=0.75),1,0)</f>
        <v/>
      </c>
      <c r="J765" s="2" t="n"/>
    </row>
    <row r="766">
      <c r="A766" s="2" t="inlineStr">
        <is>
          <t>IMP00759</t>
        </is>
      </c>
      <c r="B766" s="2" t="n">
        <v>115</v>
      </c>
      <c r="C766" s="19" t="n">
        <v>1.1205</v>
      </c>
      <c r="D766" s="29" t="n">
        <v>0</v>
      </c>
      <c r="E766" s="2" t="n">
        <v>1</v>
      </c>
      <c r="F766" s="2" t="n">
        <v>0</v>
      </c>
      <c r="G766" s="2" t="n">
        <v>0</v>
      </c>
      <c r="H766" s="30">
        <f>IF(AND(B766&gt;=5,C766&lt;&gt;"",C766&lt;0.8),1,0)</f>
        <v/>
      </c>
      <c r="I766" s="30">
        <f>IF(AND(B766&gt;=8,D766&lt;&gt;"",D766&gt;=0.25,D766&lt;=0.75),1,0)</f>
        <v/>
      </c>
      <c r="J766" s="2" t="n"/>
    </row>
    <row r="767">
      <c r="A767" s="2" t="inlineStr">
        <is>
          <t>IMP00760</t>
        </is>
      </c>
      <c r="B767" s="2" t="n">
        <v>0</v>
      </c>
      <c r="C767" s="19" t="n"/>
      <c r="D767" s="29" t="n"/>
      <c r="E767" s="2" t="n">
        <v>0</v>
      </c>
      <c r="F767" s="2" t="n">
        <v>0</v>
      </c>
      <c r="G767" s="2" t="n">
        <v>0</v>
      </c>
      <c r="H767" s="30">
        <f>IF(AND(B767&gt;=5,C767&lt;&gt;"",C767&lt;0.8),1,0)</f>
        <v/>
      </c>
      <c r="I767" s="30">
        <f>IF(AND(B767&gt;=8,D767&lt;&gt;"",D767&gt;=0.25,D767&lt;=0.75),1,0)</f>
        <v/>
      </c>
      <c r="J767" s="2" t="n"/>
    </row>
    <row r="768">
      <c r="A768" s="2" t="inlineStr">
        <is>
          <t>IMP00761</t>
        </is>
      </c>
      <c r="B768" s="2" t="n">
        <v>28</v>
      </c>
      <c r="C768" s="19" t="n">
        <v>0.8095</v>
      </c>
      <c r="D768" s="29" t="n">
        <v>0.4286</v>
      </c>
      <c r="E768" s="2" t="n">
        <v>1</v>
      </c>
      <c r="F768" s="2" t="n">
        <v>0</v>
      </c>
      <c r="G768" s="2" t="n">
        <v>1</v>
      </c>
      <c r="H768" s="30">
        <f>IF(AND(B768&gt;=5,C768&lt;&gt;"",C768&lt;0.8),1,0)</f>
        <v/>
      </c>
      <c r="I768" s="30">
        <f>IF(AND(B768&gt;=8,D768&lt;&gt;"",D768&gt;=0.25,D768&lt;=0.75),1,0)</f>
        <v/>
      </c>
      <c r="J768" s="2" t="n"/>
    </row>
    <row r="769">
      <c r="A769" s="2" t="inlineStr">
        <is>
          <t>IMP00762</t>
        </is>
      </c>
      <c r="B769" s="2" t="n">
        <v>464</v>
      </c>
      <c r="C769" s="19" t="n">
        <v>1.0165</v>
      </c>
      <c r="D769" s="29" t="n">
        <v>0.1444</v>
      </c>
      <c r="E769" s="2" t="n">
        <v>1</v>
      </c>
      <c r="F769" s="2" t="n">
        <v>0</v>
      </c>
      <c r="G769" s="2" t="n">
        <v>0</v>
      </c>
      <c r="H769" s="30">
        <f>IF(AND(B769&gt;=5,C769&lt;&gt;"",C769&lt;0.8),1,0)</f>
        <v/>
      </c>
      <c r="I769" s="30">
        <f>IF(AND(B769&gt;=8,D769&lt;&gt;"",D769&gt;=0.25,D769&lt;=0.75),1,0)</f>
        <v/>
      </c>
      <c r="J769" s="2" t="n"/>
    </row>
    <row r="770">
      <c r="A770" s="2" t="inlineStr">
        <is>
          <t>IMP00763</t>
        </is>
      </c>
      <c r="B770" s="2" t="n">
        <v>443</v>
      </c>
      <c r="C770" s="19" t="n">
        <v>1.0975</v>
      </c>
      <c r="D770" s="29" t="n">
        <v>0.0248</v>
      </c>
      <c r="E770" s="2" t="n">
        <v>2</v>
      </c>
      <c r="F770" s="2" t="n">
        <v>0</v>
      </c>
      <c r="G770" s="2" t="n">
        <v>0</v>
      </c>
      <c r="H770" s="30">
        <f>IF(AND(B770&gt;=5,C770&lt;&gt;"",C770&lt;0.8),1,0)</f>
        <v/>
      </c>
      <c r="I770" s="30">
        <f>IF(AND(B770&gt;=8,D770&lt;&gt;"",D770&gt;=0.25,D770&lt;=0.75),1,0)</f>
        <v/>
      </c>
      <c r="J770" s="2" t="n"/>
    </row>
    <row r="771">
      <c r="A771" s="2" t="inlineStr">
        <is>
          <t>IMP00764</t>
        </is>
      </c>
      <c r="B771" s="2" t="n">
        <v>48</v>
      </c>
      <c r="C771" s="19" t="n">
        <v>1.1605</v>
      </c>
      <c r="D771" s="29" t="n">
        <v>0.1042</v>
      </c>
      <c r="E771" s="2" t="n">
        <v>1</v>
      </c>
      <c r="F771" s="2" t="n">
        <v>0</v>
      </c>
      <c r="G771" s="2" t="n">
        <v>0</v>
      </c>
      <c r="H771" s="30">
        <f>IF(AND(B771&gt;=5,C771&lt;&gt;"",C771&lt;0.8),1,0)</f>
        <v/>
      </c>
      <c r="I771" s="30">
        <f>IF(AND(B771&gt;=8,D771&lt;&gt;"",D771&gt;=0.25,D771&lt;=0.75),1,0)</f>
        <v/>
      </c>
      <c r="J771" s="2" t="n"/>
    </row>
    <row r="772">
      <c r="A772" s="2" t="inlineStr">
        <is>
          <t>IMP00765</t>
        </is>
      </c>
      <c r="B772" s="2" t="n">
        <v>44</v>
      </c>
      <c r="C772" s="19" t="n">
        <v>1.017</v>
      </c>
      <c r="D772" s="29" t="n">
        <v>0</v>
      </c>
      <c r="E772" s="2" t="n">
        <v>2</v>
      </c>
      <c r="F772" s="2" t="n">
        <v>0</v>
      </c>
      <c r="G772" s="2" t="n">
        <v>0</v>
      </c>
      <c r="H772" s="30">
        <f>IF(AND(B772&gt;=5,C772&lt;&gt;"",C772&lt;0.8),1,0)</f>
        <v/>
      </c>
      <c r="I772" s="30">
        <f>IF(AND(B772&gt;=8,D772&lt;&gt;"",D772&gt;=0.25,D772&lt;=0.75),1,0)</f>
        <v/>
      </c>
      <c r="J772" s="2" t="n"/>
    </row>
    <row r="773">
      <c r="A773" s="2" t="inlineStr">
        <is>
          <t>IMP00766</t>
        </is>
      </c>
      <c r="B773" s="2" t="n">
        <v>33</v>
      </c>
      <c r="C773" s="19" t="n">
        <v>1.165</v>
      </c>
      <c r="D773" s="29" t="n">
        <v>0</v>
      </c>
      <c r="E773" s="2" t="n">
        <v>1</v>
      </c>
      <c r="F773" s="2" t="n">
        <v>0</v>
      </c>
      <c r="G773" s="2" t="n">
        <v>0</v>
      </c>
      <c r="H773" s="30">
        <f>IF(AND(B773&gt;=5,C773&lt;&gt;"",C773&lt;0.8),1,0)</f>
        <v/>
      </c>
      <c r="I773" s="30">
        <f>IF(AND(B773&gt;=8,D773&lt;&gt;"",D773&gt;=0.25,D773&lt;=0.75),1,0)</f>
        <v/>
      </c>
      <c r="J773" s="2" t="n"/>
    </row>
    <row r="774">
      <c r="A774" s="2" t="inlineStr">
        <is>
          <t>IMP00767</t>
        </is>
      </c>
      <c r="B774" s="2" t="n">
        <v>58</v>
      </c>
      <c r="C774" s="19" t="n">
        <v>1.0305</v>
      </c>
      <c r="D774" s="29" t="n">
        <v>0.0172</v>
      </c>
      <c r="E774" s="2" t="n">
        <v>2</v>
      </c>
      <c r="F774" s="2" t="n">
        <v>0</v>
      </c>
      <c r="G774" s="2" t="n">
        <v>0</v>
      </c>
      <c r="H774" s="30">
        <f>IF(AND(B774&gt;=5,C774&lt;&gt;"",C774&lt;0.8),1,0)</f>
        <v/>
      </c>
      <c r="I774" s="30">
        <f>IF(AND(B774&gt;=8,D774&lt;&gt;"",D774&gt;=0.25,D774&lt;=0.75),1,0)</f>
        <v/>
      </c>
      <c r="J774" s="2" t="n"/>
    </row>
    <row r="775">
      <c r="A775" s="2" t="inlineStr">
        <is>
          <t>IMP00768</t>
        </is>
      </c>
      <c r="B775" s="2" t="n">
        <v>1</v>
      </c>
      <c r="C775" s="19" t="n">
        <v>0.987</v>
      </c>
      <c r="D775" s="29" t="n">
        <v>0</v>
      </c>
      <c r="E775" s="2" t="n">
        <v>2</v>
      </c>
      <c r="F775" s="2" t="n">
        <v>0</v>
      </c>
      <c r="G775" s="2" t="n">
        <v>0</v>
      </c>
      <c r="H775" s="30">
        <f>IF(AND(B775&gt;=5,C775&lt;&gt;"",C775&lt;0.8),1,0)</f>
        <v/>
      </c>
      <c r="I775" s="30">
        <f>IF(AND(B775&gt;=8,D775&lt;&gt;"",D775&gt;=0.25,D775&lt;=0.75),1,0)</f>
        <v/>
      </c>
      <c r="J775" s="2" t="n"/>
    </row>
    <row r="776">
      <c r="A776" s="2" t="inlineStr">
        <is>
          <t>IMP00769</t>
        </is>
      </c>
      <c r="B776" s="2" t="n">
        <v>31</v>
      </c>
      <c r="C776" s="19" t="n">
        <v>0.952</v>
      </c>
      <c r="D776" s="29" t="n">
        <v>0.0323</v>
      </c>
      <c r="E776" s="2" t="n">
        <v>2</v>
      </c>
      <c r="F776" s="2" t="n">
        <v>0</v>
      </c>
      <c r="G776" s="2" t="n">
        <v>0</v>
      </c>
      <c r="H776" s="30">
        <f>IF(AND(B776&gt;=5,C776&lt;&gt;"",C776&lt;0.8),1,0)</f>
        <v/>
      </c>
      <c r="I776" s="30">
        <f>IF(AND(B776&gt;=8,D776&lt;&gt;"",D776&gt;=0.25,D776&lt;=0.75),1,0)</f>
        <v/>
      </c>
      <c r="J776" s="2" t="n"/>
    </row>
    <row r="777">
      <c r="A777" s="2" t="inlineStr">
        <is>
          <t>IMP00770</t>
        </is>
      </c>
      <c r="B777" s="2" t="n">
        <v>0</v>
      </c>
      <c r="C777" s="19" t="n"/>
      <c r="D777" s="29" t="n"/>
      <c r="E777" s="2" t="n">
        <v>0</v>
      </c>
      <c r="F777" s="2" t="n">
        <v>0</v>
      </c>
      <c r="G777" s="2" t="n">
        <v>0</v>
      </c>
      <c r="H777" s="30">
        <f>IF(AND(B777&gt;=5,C777&lt;&gt;"",C777&lt;0.8),1,0)</f>
        <v/>
      </c>
      <c r="I777" s="30">
        <f>IF(AND(B777&gt;=8,D777&lt;&gt;"",D777&gt;=0.25,D777&lt;=0.75),1,0)</f>
        <v/>
      </c>
      <c r="J777" s="2" t="n"/>
    </row>
    <row r="778">
      <c r="A778" s="2" t="inlineStr">
        <is>
          <t>IMP00771</t>
        </is>
      </c>
      <c r="B778" s="2" t="n">
        <v>0</v>
      </c>
      <c r="C778" s="19" t="n"/>
      <c r="D778" s="29" t="n"/>
      <c r="E778" s="2" t="n">
        <v>0</v>
      </c>
      <c r="F778" s="2" t="n">
        <v>0</v>
      </c>
      <c r="G778" s="2" t="n">
        <v>0</v>
      </c>
      <c r="H778" s="30">
        <f>IF(AND(B778&gt;=5,C778&lt;&gt;"",C778&lt;0.8),1,0)</f>
        <v/>
      </c>
      <c r="I778" s="30">
        <f>IF(AND(B778&gt;=8,D778&lt;&gt;"",D778&gt;=0.25,D778&lt;=0.75),1,0)</f>
        <v/>
      </c>
      <c r="J778" s="2" t="n"/>
    </row>
    <row r="779">
      <c r="A779" s="2" t="inlineStr">
        <is>
          <t>IMP00772</t>
        </is>
      </c>
      <c r="B779" s="2" t="n">
        <v>7</v>
      </c>
      <c r="C779" s="19" t="n">
        <v>1.082</v>
      </c>
      <c r="D779" s="29" t="n">
        <v>0</v>
      </c>
      <c r="E779" s="2" t="n">
        <v>1</v>
      </c>
      <c r="F779" s="2" t="n">
        <v>0</v>
      </c>
      <c r="G779" s="2" t="n">
        <v>0</v>
      </c>
      <c r="H779" s="30">
        <f>IF(AND(B779&gt;=5,C779&lt;&gt;"",C779&lt;0.8),1,0)</f>
        <v/>
      </c>
      <c r="I779" s="30">
        <f>IF(AND(B779&gt;=8,D779&lt;&gt;"",D779&gt;=0.25,D779&lt;=0.75),1,0)</f>
        <v/>
      </c>
      <c r="J779" s="2" t="n"/>
    </row>
    <row r="780">
      <c r="A780" s="2" t="inlineStr">
        <is>
          <t>IMP00773</t>
        </is>
      </c>
      <c r="B780" s="2" t="n">
        <v>0</v>
      </c>
      <c r="C780" s="19" t="n"/>
      <c r="D780" s="29" t="n"/>
      <c r="E780" s="2" t="n">
        <v>0</v>
      </c>
      <c r="F780" s="2" t="n">
        <v>0</v>
      </c>
      <c r="G780" s="2" t="n">
        <v>0</v>
      </c>
      <c r="H780" s="30">
        <f>IF(AND(B780&gt;=5,C780&lt;&gt;"",C780&lt;0.8),1,0)</f>
        <v/>
      </c>
      <c r="I780" s="30">
        <f>IF(AND(B780&gt;=8,D780&lt;&gt;"",D780&gt;=0.25,D780&lt;=0.75),1,0)</f>
        <v/>
      </c>
      <c r="J780" s="2" t="n"/>
    </row>
    <row r="781">
      <c r="A781" s="2" t="inlineStr">
        <is>
          <t>IMP00774</t>
        </is>
      </c>
      <c r="B781" s="2" t="n">
        <v>2</v>
      </c>
      <c r="C781" s="19" t="n">
        <v>1.358</v>
      </c>
      <c r="D781" s="29" t="n">
        <v>0</v>
      </c>
      <c r="E781" s="2" t="n">
        <v>1</v>
      </c>
      <c r="F781" s="2" t="n">
        <v>0</v>
      </c>
      <c r="G781" s="2" t="n">
        <v>0</v>
      </c>
      <c r="H781" s="30">
        <f>IF(AND(B781&gt;=5,C781&lt;&gt;"",C781&lt;0.8),1,0)</f>
        <v/>
      </c>
      <c r="I781" s="30">
        <f>IF(AND(B781&gt;=8,D781&lt;&gt;"",D781&gt;=0.25,D781&lt;=0.75),1,0)</f>
        <v/>
      </c>
      <c r="J781" s="2" t="n"/>
    </row>
    <row r="782">
      <c r="A782" s="2" t="inlineStr">
        <is>
          <t>IMP00775</t>
        </is>
      </c>
      <c r="B782" s="2" t="n">
        <v>13</v>
      </c>
      <c r="C782" s="19" t="n">
        <v>0.839</v>
      </c>
      <c r="D782" s="29" t="n">
        <v>0.3077</v>
      </c>
      <c r="E782" s="2" t="n">
        <v>2</v>
      </c>
      <c r="F782" s="2" t="n">
        <v>0</v>
      </c>
      <c r="G782" s="2" t="n">
        <v>1</v>
      </c>
      <c r="H782" s="30">
        <f>IF(AND(B782&gt;=5,C782&lt;&gt;"",C782&lt;0.8),1,0)</f>
        <v/>
      </c>
      <c r="I782" s="30">
        <f>IF(AND(B782&gt;=8,D782&lt;&gt;"",D782&gt;=0.25,D782&lt;=0.75),1,0)</f>
        <v/>
      </c>
      <c r="J782" s="2" t="n"/>
    </row>
    <row r="783">
      <c r="A783" s="2" t="inlineStr">
        <is>
          <t>IMP00776</t>
        </is>
      </c>
      <c r="B783" s="2" t="n">
        <v>1</v>
      </c>
      <c r="C783" s="19" t="n">
        <v>1.582</v>
      </c>
      <c r="D783" s="29" t="n">
        <v>0</v>
      </c>
      <c r="E783" s="2" t="n">
        <v>2</v>
      </c>
      <c r="F783" s="2" t="n">
        <v>0</v>
      </c>
      <c r="G783" s="2" t="n">
        <v>0</v>
      </c>
      <c r="H783" s="30">
        <f>IF(AND(B783&gt;=5,C783&lt;&gt;"",C783&lt;0.8),1,0)</f>
        <v/>
      </c>
      <c r="I783" s="30">
        <f>IF(AND(B783&gt;=8,D783&lt;&gt;"",D783&gt;=0.25,D783&lt;=0.75),1,0)</f>
        <v/>
      </c>
      <c r="J783" s="2" t="n"/>
    </row>
    <row r="784">
      <c r="A784" s="2" t="inlineStr">
        <is>
          <t>IMP00777</t>
        </is>
      </c>
      <c r="B784" s="2" t="n">
        <v>17</v>
      </c>
      <c r="C784" s="19" t="n">
        <v>1.15</v>
      </c>
      <c r="D784" s="29" t="n">
        <v>0.1176</v>
      </c>
      <c r="E784" s="2" t="n">
        <v>2</v>
      </c>
      <c r="F784" s="2" t="n">
        <v>0</v>
      </c>
      <c r="G784" s="2" t="n">
        <v>0</v>
      </c>
      <c r="H784" s="30">
        <f>IF(AND(B784&gt;=5,C784&lt;&gt;"",C784&lt;0.8),1,0)</f>
        <v/>
      </c>
      <c r="I784" s="30">
        <f>IF(AND(B784&gt;=8,D784&lt;&gt;"",D784&gt;=0.25,D784&lt;=0.75),1,0)</f>
        <v/>
      </c>
      <c r="J784" s="2" t="n"/>
    </row>
    <row r="785">
      <c r="A785" s="2" t="inlineStr">
        <is>
          <t>IMP00778</t>
        </is>
      </c>
      <c r="B785" s="2" t="n">
        <v>2</v>
      </c>
      <c r="C785" s="19" t="n">
        <v>0.9795</v>
      </c>
      <c r="D785" s="29" t="n">
        <v>0</v>
      </c>
      <c r="E785" s="2" t="n">
        <v>1</v>
      </c>
      <c r="F785" s="2" t="n">
        <v>0</v>
      </c>
      <c r="G785" s="2" t="n">
        <v>0</v>
      </c>
      <c r="H785" s="30">
        <f>IF(AND(B785&gt;=5,C785&lt;&gt;"",C785&lt;0.8),1,0)</f>
        <v/>
      </c>
      <c r="I785" s="30">
        <f>IF(AND(B785&gt;=8,D785&lt;&gt;"",D785&gt;=0.25,D785&lt;=0.75),1,0)</f>
        <v/>
      </c>
      <c r="J785" s="2" t="n"/>
    </row>
    <row r="786">
      <c r="A786" s="2" t="inlineStr">
        <is>
          <t>IMP00779</t>
        </is>
      </c>
      <c r="B786" s="2" t="n">
        <v>39</v>
      </c>
      <c r="C786" s="19" t="n">
        <v>0.947</v>
      </c>
      <c r="D786" s="29" t="n">
        <v>0.0769</v>
      </c>
      <c r="E786" s="2" t="n">
        <v>1</v>
      </c>
      <c r="F786" s="2" t="n">
        <v>0</v>
      </c>
      <c r="G786" s="2" t="n">
        <v>0</v>
      </c>
      <c r="H786" s="30">
        <f>IF(AND(B786&gt;=5,C786&lt;&gt;"",C786&lt;0.8),1,0)</f>
        <v/>
      </c>
      <c r="I786" s="30">
        <f>IF(AND(B786&gt;=8,D786&lt;&gt;"",D786&gt;=0.25,D786&lt;=0.75),1,0)</f>
        <v/>
      </c>
      <c r="J786" s="2" t="n"/>
    </row>
    <row r="787">
      <c r="A787" s="2" t="inlineStr">
        <is>
          <t>IMP00780</t>
        </is>
      </c>
      <c r="B787" s="2" t="n">
        <v>127</v>
      </c>
      <c r="C787" s="19" t="n">
        <v>0.984</v>
      </c>
      <c r="D787" s="29" t="n">
        <v>0.007900000000000001</v>
      </c>
      <c r="E787" s="2" t="n">
        <v>1</v>
      </c>
      <c r="F787" s="2" t="n">
        <v>0</v>
      </c>
      <c r="G787" s="2" t="n">
        <v>0</v>
      </c>
      <c r="H787" s="30">
        <f>IF(AND(B787&gt;=5,C787&lt;&gt;"",C787&lt;0.8),1,0)</f>
        <v/>
      </c>
      <c r="I787" s="30">
        <f>IF(AND(B787&gt;=8,D787&lt;&gt;"",D787&gt;=0.25,D787&lt;=0.75),1,0)</f>
        <v/>
      </c>
      <c r="J787" s="2" t="n"/>
    </row>
    <row r="788">
      <c r="A788" s="2" t="inlineStr">
        <is>
          <t>IMP00781</t>
        </is>
      </c>
      <c r="B788" s="2" t="n">
        <v>80</v>
      </c>
      <c r="C788" s="19" t="n">
        <v>1.062</v>
      </c>
      <c r="D788" s="29" t="n">
        <v>0.075</v>
      </c>
      <c r="E788" s="2" t="n">
        <v>1</v>
      </c>
      <c r="F788" s="2" t="n">
        <v>0</v>
      </c>
      <c r="G788" s="2" t="n">
        <v>0</v>
      </c>
      <c r="H788" s="30">
        <f>IF(AND(B788&gt;=5,C788&lt;&gt;"",C788&lt;0.8),1,0)</f>
        <v/>
      </c>
      <c r="I788" s="30">
        <f>IF(AND(B788&gt;=8,D788&lt;&gt;"",D788&gt;=0.25,D788&lt;=0.75),1,0)</f>
        <v/>
      </c>
      <c r="J788" s="2" t="n"/>
    </row>
    <row r="789">
      <c r="A789" s="2" t="inlineStr">
        <is>
          <t>IMP00782</t>
        </is>
      </c>
      <c r="B789" s="2" t="n">
        <v>2</v>
      </c>
      <c r="C789" s="19" t="n">
        <v>1.279</v>
      </c>
      <c r="D789" s="29" t="n">
        <v>0</v>
      </c>
      <c r="E789" s="2" t="n">
        <v>1</v>
      </c>
      <c r="F789" s="2" t="n">
        <v>0</v>
      </c>
      <c r="G789" s="2" t="n">
        <v>0</v>
      </c>
      <c r="H789" s="30">
        <f>IF(AND(B789&gt;=5,C789&lt;&gt;"",C789&lt;0.8),1,0)</f>
        <v/>
      </c>
      <c r="I789" s="30">
        <f>IF(AND(B789&gt;=8,D789&lt;&gt;"",D789&gt;=0.25,D789&lt;=0.75),1,0)</f>
        <v/>
      </c>
      <c r="J789" s="2" t="n"/>
    </row>
    <row r="790">
      <c r="A790" s="2" t="inlineStr">
        <is>
          <t>IMP00783</t>
        </is>
      </c>
      <c r="B790" s="2" t="n">
        <v>30</v>
      </c>
      <c r="C790" s="19" t="n">
        <v>0.931</v>
      </c>
      <c r="D790" s="29" t="n">
        <v>0</v>
      </c>
      <c r="E790" s="2" t="n">
        <v>1</v>
      </c>
      <c r="F790" s="2" t="n">
        <v>0</v>
      </c>
      <c r="G790" s="2" t="n">
        <v>0</v>
      </c>
      <c r="H790" s="30">
        <f>IF(AND(B790&gt;=5,C790&lt;&gt;"",C790&lt;0.8),1,0)</f>
        <v/>
      </c>
      <c r="I790" s="30">
        <f>IF(AND(B790&gt;=8,D790&lt;&gt;"",D790&gt;=0.25,D790&lt;=0.75),1,0)</f>
        <v/>
      </c>
      <c r="J790" s="2" t="n"/>
    </row>
    <row r="791">
      <c r="A791" s="2" t="inlineStr">
        <is>
          <t>IMP00784</t>
        </is>
      </c>
      <c r="B791" s="2" t="n">
        <v>98</v>
      </c>
      <c r="C791" s="19" t="n">
        <v>0.9065</v>
      </c>
      <c r="D791" s="29" t="n">
        <v>0.0204</v>
      </c>
      <c r="E791" s="2" t="n">
        <v>2</v>
      </c>
      <c r="F791" s="2" t="n">
        <v>0</v>
      </c>
      <c r="G791" s="2" t="n">
        <v>0</v>
      </c>
      <c r="H791" s="30">
        <f>IF(AND(B791&gt;=5,C791&lt;&gt;"",C791&lt;0.8),1,0)</f>
        <v/>
      </c>
      <c r="I791" s="30">
        <f>IF(AND(B791&gt;=8,D791&lt;&gt;"",D791&gt;=0.25,D791&lt;=0.75),1,0)</f>
        <v/>
      </c>
      <c r="J791" s="2" t="n"/>
    </row>
    <row r="792">
      <c r="A792" s="2" t="inlineStr">
        <is>
          <t>IMP00785</t>
        </is>
      </c>
      <c r="B792" s="2" t="n">
        <v>47</v>
      </c>
      <c r="C792" s="19" t="n">
        <v>1.12</v>
      </c>
      <c r="D792" s="29" t="n">
        <v>0.2766</v>
      </c>
      <c r="E792" s="2" t="n">
        <v>1</v>
      </c>
      <c r="F792" s="2" t="n">
        <v>0</v>
      </c>
      <c r="G792" s="2" t="n">
        <v>1</v>
      </c>
      <c r="H792" s="30">
        <f>IF(AND(B792&gt;=5,C792&lt;&gt;"",C792&lt;0.8),1,0)</f>
        <v/>
      </c>
      <c r="I792" s="30">
        <f>IF(AND(B792&gt;=8,D792&lt;&gt;"",D792&gt;=0.25,D792&lt;=0.75),1,0)</f>
        <v/>
      </c>
      <c r="J792" s="2" t="n"/>
    </row>
    <row r="793">
      <c r="A793" s="2" t="inlineStr">
        <is>
          <t>IMP00786</t>
        </is>
      </c>
      <c r="B793" s="2" t="n">
        <v>47</v>
      </c>
      <c r="C793" s="19" t="n">
        <v>1.092</v>
      </c>
      <c r="D793" s="29" t="n">
        <v>0</v>
      </c>
      <c r="E793" s="2" t="n">
        <v>1</v>
      </c>
      <c r="F793" s="2" t="n">
        <v>0</v>
      </c>
      <c r="G793" s="2" t="n">
        <v>0</v>
      </c>
      <c r="H793" s="30">
        <f>IF(AND(B793&gt;=5,C793&lt;&gt;"",C793&lt;0.8),1,0)</f>
        <v/>
      </c>
      <c r="I793" s="30">
        <f>IF(AND(B793&gt;=8,D793&lt;&gt;"",D793&gt;=0.25,D793&lt;=0.75),1,0)</f>
        <v/>
      </c>
      <c r="J793" s="2" t="n"/>
    </row>
    <row r="794">
      <c r="A794" s="2" t="inlineStr">
        <is>
          <t>IMP00787</t>
        </is>
      </c>
      <c r="B794" s="2" t="n">
        <v>59</v>
      </c>
      <c r="C794" s="19" t="n">
        <v>1.191</v>
      </c>
      <c r="D794" s="29" t="n">
        <v>0.1017</v>
      </c>
      <c r="E794" s="2" t="n">
        <v>2</v>
      </c>
      <c r="F794" s="2" t="n">
        <v>0</v>
      </c>
      <c r="G794" s="2" t="n">
        <v>0</v>
      </c>
      <c r="H794" s="30">
        <f>IF(AND(B794&gt;=5,C794&lt;&gt;"",C794&lt;0.8),1,0)</f>
        <v/>
      </c>
      <c r="I794" s="30">
        <f>IF(AND(B794&gt;=8,D794&lt;&gt;"",D794&gt;=0.25,D794&lt;=0.75),1,0)</f>
        <v/>
      </c>
      <c r="J794" s="2" t="n"/>
    </row>
    <row r="795">
      <c r="A795" s="2" t="inlineStr">
        <is>
          <t>IMP00788</t>
        </is>
      </c>
      <c r="B795" s="2" t="n">
        <v>172</v>
      </c>
      <c r="C795" s="19" t="n">
        <v>0.9375</v>
      </c>
      <c r="D795" s="29" t="n">
        <v>0.0407</v>
      </c>
      <c r="E795" s="2" t="n">
        <v>2</v>
      </c>
      <c r="F795" s="2" t="n">
        <v>0</v>
      </c>
      <c r="G795" s="2" t="n">
        <v>0</v>
      </c>
      <c r="H795" s="30">
        <f>IF(AND(B795&gt;=5,C795&lt;&gt;"",C795&lt;0.8),1,0)</f>
        <v/>
      </c>
      <c r="I795" s="30">
        <f>IF(AND(B795&gt;=8,D795&lt;&gt;"",D795&gt;=0.25,D795&lt;=0.75),1,0)</f>
        <v/>
      </c>
      <c r="J795" s="2" t="n"/>
    </row>
    <row r="796">
      <c r="A796" s="2" t="inlineStr">
        <is>
          <t>IMP00789</t>
        </is>
      </c>
      <c r="B796" s="2" t="n">
        <v>9</v>
      </c>
      <c r="C796" s="19" t="n">
        <v>0.883</v>
      </c>
      <c r="D796" s="29" t="n">
        <v>0.1111</v>
      </c>
      <c r="E796" s="2" t="n">
        <v>1</v>
      </c>
      <c r="F796" s="2" t="n">
        <v>0</v>
      </c>
      <c r="G796" s="2" t="n">
        <v>0</v>
      </c>
      <c r="H796" s="30">
        <f>IF(AND(B796&gt;=5,C796&lt;&gt;"",C796&lt;0.8),1,0)</f>
        <v/>
      </c>
      <c r="I796" s="30">
        <f>IF(AND(B796&gt;=8,D796&lt;&gt;"",D796&gt;=0.25,D796&lt;=0.75),1,0)</f>
        <v/>
      </c>
      <c r="J796" s="2" t="n"/>
    </row>
    <row r="797">
      <c r="A797" s="2" t="inlineStr">
        <is>
          <t>IMP00790</t>
        </is>
      </c>
      <c r="B797" s="2" t="n">
        <v>0</v>
      </c>
      <c r="C797" s="19" t="n"/>
      <c r="D797" s="29" t="n"/>
      <c r="E797" s="2" t="n">
        <v>0</v>
      </c>
      <c r="F797" s="2" t="n">
        <v>0</v>
      </c>
      <c r="G797" s="2" t="n">
        <v>0</v>
      </c>
      <c r="H797" s="30">
        <f>IF(AND(B797&gt;=5,C797&lt;&gt;"",C797&lt;0.8),1,0)</f>
        <v/>
      </c>
      <c r="I797" s="30">
        <f>IF(AND(B797&gt;=8,D797&lt;&gt;"",D797&gt;=0.25,D797&lt;=0.75),1,0)</f>
        <v/>
      </c>
      <c r="J797" s="2" t="n"/>
    </row>
    <row r="798">
      <c r="A798" s="2" t="inlineStr">
        <is>
          <t>IMP00791</t>
        </is>
      </c>
      <c r="B798" s="2" t="n">
        <v>0</v>
      </c>
      <c r="C798" s="19" t="n"/>
      <c r="D798" s="29" t="n"/>
      <c r="E798" s="2" t="n">
        <v>0</v>
      </c>
      <c r="F798" s="2" t="n">
        <v>0</v>
      </c>
      <c r="G798" s="2" t="n">
        <v>0</v>
      </c>
      <c r="H798" s="30">
        <f>IF(AND(B798&gt;=5,C798&lt;&gt;"",C798&lt;0.8),1,0)</f>
        <v/>
      </c>
      <c r="I798" s="30">
        <f>IF(AND(B798&gt;=8,D798&lt;&gt;"",D798&gt;=0.25,D798&lt;=0.75),1,0)</f>
        <v/>
      </c>
      <c r="J798" s="2" t="n"/>
    </row>
    <row r="799">
      <c r="A799" s="2" t="inlineStr">
        <is>
          <t>IMP00792</t>
        </is>
      </c>
      <c r="B799" s="2" t="n">
        <v>79</v>
      </c>
      <c r="C799" s="19" t="n">
        <v>0.968</v>
      </c>
      <c r="D799" s="29" t="n">
        <v>0.0506</v>
      </c>
      <c r="E799" s="2" t="n">
        <v>1</v>
      </c>
      <c r="F799" s="2" t="n">
        <v>0</v>
      </c>
      <c r="G799" s="2" t="n">
        <v>0</v>
      </c>
      <c r="H799" s="30">
        <f>IF(AND(B799&gt;=5,C799&lt;&gt;"",C799&lt;0.8),1,0)</f>
        <v/>
      </c>
      <c r="I799" s="30">
        <f>IF(AND(B799&gt;=8,D799&lt;&gt;"",D799&gt;=0.25,D799&lt;=0.75),1,0)</f>
        <v/>
      </c>
      <c r="J799" s="2" t="n"/>
    </row>
    <row r="800">
      <c r="A800" s="2" t="inlineStr">
        <is>
          <t>IMP00793</t>
        </is>
      </c>
      <c r="B800" s="2" t="n">
        <v>48</v>
      </c>
      <c r="C800" s="19" t="n">
        <v>0.835</v>
      </c>
      <c r="D800" s="29" t="n">
        <v>0.3958</v>
      </c>
      <c r="E800" s="2" t="n">
        <v>1</v>
      </c>
      <c r="F800" s="2" t="n">
        <v>0</v>
      </c>
      <c r="G800" s="2" t="n">
        <v>1</v>
      </c>
      <c r="H800" s="30">
        <f>IF(AND(B800&gt;=5,C800&lt;&gt;"",C800&lt;0.8),1,0)</f>
        <v/>
      </c>
      <c r="I800" s="30">
        <f>IF(AND(B800&gt;=8,D800&lt;&gt;"",D800&gt;=0.25,D800&lt;=0.75),1,0)</f>
        <v/>
      </c>
      <c r="J800" s="2" t="n"/>
    </row>
    <row r="801">
      <c r="A801" s="2" t="inlineStr">
        <is>
          <t>IMP00794</t>
        </is>
      </c>
      <c r="B801" s="2" t="n">
        <v>1</v>
      </c>
      <c r="C801" s="19" t="n">
        <v>0.912</v>
      </c>
      <c r="D801" s="29" t="n">
        <v>0</v>
      </c>
      <c r="E801" s="2" t="n">
        <v>1</v>
      </c>
      <c r="F801" s="2" t="n">
        <v>0</v>
      </c>
      <c r="G801" s="2" t="n">
        <v>0</v>
      </c>
      <c r="H801" s="30">
        <f>IF(AND(B801&gt;=5,C801&lt;&gt;"",C801&lt;0.8),1,0)</f>
        <v/>
      </c>
      <c r="I801" s="30">
        <f>IF(AND(B801&gt;=8,D801&lt;&gt;"",D801&gt;=0.25,D801&lt;=0.75),1,0)</f>
        <v/>
      </c>
      <c r="J801" s="2" t="n"/>
    </row>
    <row r="802">
      <c r="A802" s="2" t="inlineStr">
        <is>
          <t>IMP00795</t>
        </is>
      </c>
      <c r="B802" s="2" t="n">
        <v>3</v>
      </c>
      <c r="C802" s="19" t="n">
        <v>1.097</v>
      </c>
      <c r="D802" s="29" t="n">
        <v>0</v>
      </c>
      <c r="E802" s="2" t="n">
        <v>1</v>
      </c>
      <c r="F802" s="2" t="n">
        <v>0</v>
      </c>
      <c r="G802" s="2" t="n">
        <v>0</v>
      </c>
      <c r="H802" s="30">
        <f>IF(AND(B802&gt;=5,C802&lt;&gt;"",C802&lt;0.8),1,0)</f>
        <v/>
      </c>
      <c r="I802" s="30">
        <f>IF(AND(B802&gt;=8,D802&lt;&gt;"",D802&gt;=0.25,D802&lt;=0.75),1,0)</f>
        <v/>
      </c>
      <c r="J802" s="2" t="n"/>
    </row>
    <row r="803">
      <c r="A803" s="2" t="inlineStr">
        <is>
          <t>IMP00796</t>
        </is>
      </c>
      <c r="B803" s="2" t="n">
        <v>80</v>
      </c>
      <c r="C803" s="19" t="n">
        <v>1.0085</v>
      </c>
      <c r="D803" s="29" t="n">
        <v>0.0375</v>
      </c>
      <c r="E803" s="2" t="n">
        <v>1</v>
      </c>
      <c r="F803" s="2" t="n">
        <v>0</v>
      </c>
      <c r="G803" s="2" t="n">
        <v>0</v>
      </c>
      <c r="H803" s="30">
        <f>IF(AND(B803&gt;=5,C803&lt;&gt;"",C803&lt;0.8),1,0)</f>
        <v/>
      </c>
      <c r="I803" s="30">
        <f>IF(AND(B803&gt;=8,D803&lt;&gt;"",D803&gt;=0.25,D803&lt;=0.75),1,0)</f>
        <v/>
      </c>
      <c r="J803" s="2" t="n"/>
    </row>
    <row r="804">
      <c r="A804" s="2" t="inlineStr">
        <is>
          <t>IMP00797</t>
        </is>
      </c>
      <c r="B804" s="2" t="n">
        <v>247</v>
      </c>
      <c r="C804" s="19" t="n">
        <v>1.027</v>
      </c>
      <c r="D804" s="29" t="n">
        <v>0.0243</v>
      </c>
      <c r="E804" s="2" t="n">
        <v>1</v>
      </c>
      <c r="F804" s="2" t="n">
        <v>0</v>
      </c>
      <c r="G804" s="2" t="n">
        <v>0</v>
      </c>
      <c r="H804" s="30">
        <f>IF(AND(B804&gt;=5,C804&lt;&gt;"",C804&lt;0.8),1,0)</f>
        <v/>
      </c>
      <c r="I804" s="30">
        <f>IF(AND(B804&gt;=8,D804&lt;&gt;"",D804&gt;=0.25,D804&lt;=0.75),1,0)</f>
        <v/>
      </c>
      <c r="J804" s="2" t="n"/>
    </row>
    <row r="805">
      <c r="A805" s="2" t="inlineStr">
        <is>
          <t>IMP00798</t>
        </is>
      </c>
      <c r="B805" s="2" t="n">
        <v>52</v>
      </c>
      <c r="C805" s="19" t="n">
        <v>0.968</v>
      </c>
      <c r="D805" s="29" t="n">
        <v>0.0192</v>
      </c>
      <c r="E805" s="2" t="n">
        <v>1</v>
      </c>
      <c r="F805" s="2" t="n">
        <v>0</v>
      </c>
      <c r="G805" s="2" t="n">
        <v>0</v>
      </c>
      <c r="H805" s="30">
        <f>IF(AND(B805&gt;=5,C805&lt;&gt;"",C805&lt;0.8),1,0)</f>
        <v/>
      </c>
      <c r="I805" s="30">
        <f>IF(AND(B805&gt;=8,D805&lt;&gt;"",D805&gt;=0.25,D805&lt;=0.75),1,0)</f>
        <v/>
      </c>
      <c r="J805" s="2" t="n"/>
    </row>
    <row r="806">
      <c r="A806" s="2" t="inlineStr">
        <is>
          <t>IMP00799</t>
        </is>
      </c>
      <c r="B806" s="2" t="n">
        <v>3</v>
      </c>
      <c r="C806" s="19" t="n">
        <v>0.847</v>
      </c>
      <c r="D806" s="29" t="n">
        <v>0</v>
      </c>
      <c r="E806" s="2" t="n">
        <v>1</v>
      </c>
      <c r="F806" s="2" t="n">
        <v>0</v>
      </c>
      <c r="G806" s="2" t="n">
        <v>0</v>
      </c>
      <c r="H806" s="30">
        <f>IF(AND(B806&gt;=5,C806&lt;&gt;"",C806&lt;0.8),1,0)</f>
        <v/>
      </c>
      <c r="I806" s="30">
        <f>IF(AND(B806&gt;=8,D806&lt;&gt;"",D806&gt;=0.25,D806&lt;=0.75),1,0)</f>
        <v/>
      </c>
      <c r="J806" s="2" t="n"/>
    </row>
    <row r="807">
      <c r="A807" s="2" t="inlineStr">
        <is>
          <t>IMP00800</t>
        </is>
      </c>
      <c r="B807" s="2" t="n">
        <v>134</v>
      </c>
      <c r="C807" s="19" t="n">
        <v>1.0625</v>
      </c>
      <c r="D807" s="29" t="n">
        <v>0.0373</v>
      </c>
      <c r="E807" s="2" t="n">
        <v>2</v>
      </c>
      <c r="F807" s="2" t="n">
        <v>0</v>
      </c>
      <c r="G807" s="2" t="n">
        <v>0</v>
      </c>
      <c r="H807" s="30">
        <f>IF(AND(B807&gt;=5,C807&lt;&gt;"",C807&lt;0.8),1,0)</f>
        <v/>
      </c>
      <c r="I807" s="30">
        <f>IF(AND(B807&gt;=8,D807&lt;&gt;"",D807&gt;=0.25,D807&lt;=0.75),1,0)</f>
        <v/>
      </c>
      <c r="J807" s="2" t="n"/>
    </row>
    <row r="808">
      <c r="A808" s="2" t="inlineStr">
        <is>
          <t>IMP00801</t>
        </is>
      </c>
      <c r="B808" s="2" t="n">
        <v>2</v>
      </c>
      <c r="C808" s="19" t="n">
        <v>0.9835</v>
      </c>
      <c r="D808" s="29" t="n">
        <v>0</v>
      </c>
      <c r="E808" s="2" t="n">
        <v>1</v>
      </c>
      <c r="F808" s="2" t="n">
        <v>0</v>
      </c>
      <c r="G808" s="2" t="n">
        <v>0</v>
      </c>
      <c r="H808" s="30">
        <f>IF(AND(B808&gt;=5,C808&lt;&gt;"",C808&lt;0.8),1,0)</f>
        <v/>
      </c>
      <c r="I808" s="30">
        <f>IF(AND(B808&gt;=8,D808&lt;&gt;"",D808&gt;=0.25,D808&lt;=0.75),1,0)</f>
        <v/>
      </c>
      <c r="J808" s="2" t="n"/>
    </row>
    <row r="809">
      <c r="A809" s="2" t="inlineStr">
        <is>
          <t>IMP00802</t>
        </is>
      </c>
      <c r="B809" s="2" t="n">
        <v>275</v>
      </c>
      <c r="C809" s="19" t="n">
        <v>0.973</v>
      </c>
      <c r="D809" s="29" t="n">
        <v>0.2364</v>
      </c>
      <c r="E809" s="2" t="n">
        <v>1</v>
      </c>
      <c r="F809" s="2" t="n">
        <v>0</v>
      </c>
      <c r="G809" s="2" t="n">
        <v>0</v>
      </c>
      <c r="H809" s="30">
        <f>IF(AND(B809&gt;=5,C809&lt;&gt;"",C809&lt;0.8),1,0)</f>
        <v/>
      </c>
      <c r="I809" s="30">
        <f>IF(AND(B809&gt;=8,D809&lt;&gt;"",D809&gt;=0.25,D809&lt;=0.75),1,0)</f>
        <v/>
      </c>
      <c r="J809" s="2" t="n"/>
    </row>
    <row r="810">
      <c r="A810" s="2" t="inlineStr">
        <is>
          <t>IMP00803</t>
        </is>
      </c>
      <c r="B810" s="2" t="n">
        <v>2</v>
      </c>
      <c r="C810" s="19" t="n">
        <v>0.802</v>
      </c>
      <c r="D810" s="29" t="n">
        <v>0.5</v>
      </c>
      <c r="E810" s="2" t="n">
        <v>2</v>
      </c>
      <c r="F810" s="2" t="n">
        <v>0</v>
      </c>
      <c r="G810" s="2" t="n">
        <v>0</v>
      </c>
      <c r="H810" s="30">
        <f>IF(AND(B810&gt;=5,C810&lt;&gt;"",C810&lt;0.8),1,0)</f>
        <v/>
      </c>
      <c r="I810" s="30">
        <f>IF(AND(B810&gt;=8,D810&lt;&gt;"",D810&gt;=0.25,D810&lt;=0.75),1,0)</f>
        <v/>
      </c>
      <c r="J810" s="2" t="n"/>
    </row>
    <row r="811">
      <c r="A811" s="2" t="inlineStr">
        <is>
          <t>IMP00804</t>
        </is>
      </c>
      <c r="B811" s="2" t="n">
        <v>2</v>
      </c>
      <c r="C811" s="19" t="n">
        <v>0.9675</v>
      </c>
      <c r="D811" s="29" t="n">
        <v>0</v>
      </c>
      <c r="E811" s="2" t="n">
        <v>1</v>
      </c>
      <c r="F811" s="2" t="n">
        <v>0</v>
      </c>
      <c r="G811" s="2" t="n">
        <v>0</v>
      </c>
      <c r="H811" s="30">
        <f>IF(AND(B811&gt;=5,C811&lt;&gt;"",C811&lt;0.8),1,0)</f>
        <v/>
      </c>
      <c r="I811" s="30">
        <f>IF(AND(B811&gt;=8,D811&lt;&gt;"",D811&gt;=0.25,D811&lt;=0.75),1,0)</f>
        <v/>
      </c>
      <c r="J811" s="2" t="n"/>
    </row>
    <row r="812">
      <c r="A812" s="2" t="inlineStr">
        <is>
          <t>IMP00805</t>
        </is>
      </c>
      <c r="B812" s="2" t="n">
        <v>12</v>
      </c>
      <c r="C812" s="19" t="n">
        <v>0.99</v>
      </c>
      <c r="D812" s="29" t="n">
        <v>0</v>
      </c>
      <c r="E812" s="2" t="n">
        <v>1</v>
      </c>
      <c r="F812" s="2" t="n">
        <v>0</v>
      </c>
      <c r="G812" s="2" t="n">
        <v>0</v>
      </c>
      <c r="H812" s="30">
        <f>IF(AND(B812&gt;=5,C812&lt;&gt;"",C812&lt;0.8),1,0)</f>
        <v/>
      </c>
      <c r="I812" s="30">
        <f>IF(AND(B812&gt;=8,D812&lt;&gt;"",D812&gt;=0.25,D812&lt;=0.75),1,0)</f>
        <v/>
      </c>
      <c r="J812" s="2" t="n"/>
    </row>
    <row r="813">
      <c r="A813" s="2" t="inlineStr">
        <is>
          <t>IMP00806</t>
        </is>
      </c>
      <c r="B813" s="2" t="n">
        <v>7</v>
      </c>
      <c r="C813" s="19" t="n">
        <v>0.853</v>
      </c>
      <c r="D813" s="29" t="n">
        <v>0.4286</v>
      </c>
      <c r="E813" s="2" t="n">
        <v>1</v>
      </c>
      <c r="F813" s="2" t="n">
        <v>0</v>
      </c>
      <c r="G813" s="2" t="n">
        <v>0</v>
      </c>
      <c r="H813" s="30">
        <f>IF(AND(B813&gt;=5,C813&lt;&gt;"",C813&lt;0.8),1,0)</f>
        <v/>
      </c>
      <c r="I813" s="30">
        <f>IF(AND(B813&gt;=8,D813&lt;&gt;"",D813&gt;=0.25,D813&lt;=0.75),1,0)</f>
        <v/>
      </c>
      <c r="J813" s="2" t="n"/>
    </row>
    <row r="814">
      <c r="A814" s="2" t="inlineStr">
        <is>
          <t>IMP00807</t>
        </is>
      </c>
      <c r="B814" s="2" t="n">
        <v>0</v>
      </c>
      <c r="C814" s="19" t="n"/>
      <c r="D814" s="29" t="n"/>
      <c r="E814" s="2" t="n">
        <v>0</v>
      </c>
      <c r="F814" s="2" t="n">
        <v>0</v>
      </c>
      <c r="G814" s="2" t="n">
        <v>0</v>
      </c>
      <c r="H814" s="30">
        <f>IF(AND(B814&gt;=5,C814&lt;&gt;"",C814&lt;0.8),1,0)</f>
        <v/>
      </c>
      <c r="I814" s="30">
        <f>IF(AND(B814&gt;=8,D814&lt;&gt;"",D814&gt;=0.25,D814&lt;=0.75),1,0)</f>
        <v/>
      </c>
      <c r="J814" s="2" t="n"/>
    </row>
    <row r="815">
      <c r="A815" s="2" t="inlineStr">
        <is>
          <t>IMP00808</t>
        </is>
      </c>
      <c r="B815" s="2" t="n">
        <v>237</v>
      </c>
      <c r="C815" s="19" t="n">
        <v>0.9409999999999999</v>
      </c>
      <c r="D815" s="29" t="n">
        <v>0.0169</v>
      </c>
      <c r="E815" s="2" t="n">
        <v>1</v>
      </c>
      <c r="F815" s="2" t="n">
        <v>0</v>
      </c>
      <c r="G815" s="2" t="n">
        <v>0</v>
      </c>
      <c r="H815" s="30">
        <f>IF(AND(B815&gt;=5,C815&lt;&gt;"",C815&lt;0.8),1,0)</f>
        <v/>
      </c>
      <c r="I815" s="30">
        <f>IF(AND(B815&gt;=8,D815&lt;&gt;"",D815&gt;=0.25,D815&lt;=0.75),1,0)</f>
        <v/>
      </c>
      <c r="J815" s="2" t="n"/>
    </row>
    <row r="816">
      <c r="A816" s="2" t="inlineStr">
        <is>
          <t>IMP00809</t>
        </is>
      </c>
      <c r="B816" s="2" t="n">
        <v>64</v>
      </c>
      <c r="C816" s="19" t="n">
        <v>1.1425</v>
      </c>
      <c r="D816" s="29" t="n">
        <v>0.0156</v>
      </c>
      <c r="E816" s="2" t="n">
        <v>3</v>
      </c>
      <c r="F816" s="2" t="n">
        <v>0</v>
      </c>
      <c r="G816" s="2" t="n">
        <v>0</v>
      </c>
      <c r="H816" s="30">
        <f>IF(AND(B816&gt;=5,C816&lt;&gt;"",C816&lt;0.8),1,0)</f>
        <v/>
      </c>
      <c r="I816" s="30">
        <f>IF(AND(B816&gt;=8,D816&lt;&gt;"",D816&gt;=0.25,D816&lt;=0.75),1,0)</f>
        <v/>
      </c>
      <c r="J816" s="2" t="n"/>
    </row>
    <row r="817">
      <c r="A817" s="2" t="inlineStr">
        <is>
          <t>IMP00810</t>
        </is>
      </c>
      <c r="B817" s="2" t="n">
        <v>251</v>
      </c>
      <c r="C817" s="19" t="n">
        <v>1.002</v>
      </c>
      <c r="D817" s="29" t="n">
        <v>0.0598</v>
      </c>
      <c r="E817" s="2" t="n">
        <v>1</v>
      </c>
      <c r="F817" s="2" t="n">
        <v>0</v>
      </c>
      <c r="G817" s="2" t="n">
        <v>0</v>
      </c>
      <c r="H817" s="30">
        <f>IF(AND(B817&gt;=5,C817&lt;&gt;"",C817&lt;0.8),1,0)</f>
        <v/>
      </c>
      <c r="I817" s="30">
        <f>IF(AND(B817&gt;=8,D817&lt;&gt;"",D817&gt;=0.25,D817&lt;=0.75),1,0)</f>
        <v/>
      </c>
      <c r="J817" s="2" t="n"/>
    </row>
    <row r="818">
      <c r="A818" s="2" t="inlineStr">
        <is>
          <t>IMP00811</t>
        </is>
      </c>
      <c r="B818" s="2" t="n">
        <v>18</v>
      </c>
      <c r="C818" s="19" t="n">
        <v>1.17</v>
      </c>
      <c r="D818" s="29" t="n">
        <v>0</v>
      </c>
      <c r="E818" s="2" t="n">
        <v>1</v>
      </c>
      <c r="F818" s="2" t="n">
        <v>0</v>
      </c>
      <c r="G818" s="2" t="n">
        <v>0</v>
      </c>
      <c r="H818" s="30">
        <f>IF(AND(B818&gt;=5,C818&lt;&gt;"",C818&lt;0.8),1,0)</f>
        <v/>
      </c>
      <c r="I818" s="30">
        <f>IF(AND(B818&gt;=8,D818&lt;&gt;"",D818&gt;=0.25,D818&lt;=0.75),1,0)</f>
        <v/>
      </c>
      <c r="J818" s="2" t="n"/>
    </row>
    <row r="819">
      <c r="A819" s="2" t="inlineStr">
        <is>
          <t>IMP00812</t>
        </is>
      </c>
      <c r="B819" s="2" t="n">
        <v>13</v>
      </c>
      <c r="C819" s="19" t="n">
        <v>1.065</v>
      </c>
      <c r="D819" s="29" t="n">
        <v>0.1538</v>
      </c>
      <c r="E819" s="2" t="n">
        <v>1</v>
      </c>
      <c r="F819" s="2" t="n">
        <v>0</v>
      </c>
      <c r="G819" s="2" t="n">
        <v>0</v>
      </c>
      <c r="H819" s="30">
        <f>IF(AND(B819&gt;=5,C819&lt;&gt;"",C819&lt;0.8),1,0)</f>
        <v/>
      </c>
      <c r="I819" s="30">
        <f>IF(AND(B819&gt;=8,D819&lt;&gt;"",D819&gt;=0.25,D819&lt;=0.75),1,0)</f>
        <v/>
      </c>
      <c r="J819" s="2" t="n"/>
    </row>
    <row r="820">
      <c r="A820" s="2" t="inlineStr">
        <is>
          <t>IMP00813</t>
        </is>
      </c>
      <c r="B820" s="2" t="n">
        <v>23</v>
      </c>
      <c r="C820" s="19" t="n">
        <v>1.025</v>
      </c>
      <c r="D820" s="29" t="n">
        <v>0.1304</v>
      </c>
      <c r="E820" s="2" t="n">
        <v>2</v>
      </c>
      <c r="F820" s="2" t="n">
        <v>0</v>
      </c>
      <c r="G820" s="2" t="n">
        <v>0</v>
      </c>
      <c r="H820" s="30">
        <f>IF(AND(B820&gt;=5,C820&lt;&gt;"",C820&lt;0.8),1,0)</f>
        <v/>
      </c>
      <c r="I820" s="30">
        <f>IF(AND(B820&gt;=8,D820&lt;&gt;"",D820&gt;=0.25,D820&lt;=0.75),1,0)</f>
        <v/>
      </c>
      <c r="J820" s="2" t="n"/>
    </row>
    <row r="821">
      <c r="A821" s="2" t="inlineStr">
        <is>
          <t>IMP00814</t>
        </is>
      </c>
      <c r="B821" s="2" t="n">
        <v>3</v>
      </c>
      <c r="C821" s="19" t="n">
        <v>1.021</v>
      </c>
      <c r="D821" s="29" t="n">
        <v>0</v>
      </c>
      <c r="E821" s="2" t="n">
        <v>1</v>
      </c>
      <c r="F821" s="2" t="n">
        <v>0</v>
      </c>
      <c r="G821" s="2" t="n">
        <v>0</v>
      </c>
      <c r="H821" s="30">
        <f>IF(AND(B821&gt;=5,C821&lt;&gt;"",C821&lt;0.8),1,0)</f>
        <v/>
      </c>
      <c r="I821" s="30">
        <f>IF(AND(B821&gt;=8,D821&lt;&gt;"",D821&gt;=0.25,D821&lt;=0.75),1,0)</f>
        <v/>
      </c>
      <c r="J821" s="2" t="n"/>
    </row>
    <row r="822">
      <c r="A822" s="2" t="inlineStr">
        <is>
          <t>IMP00815</t>
        </is>
      </c>
      <c r="B822" s="2" t="n">
        <v>351</v>
      </c>
      <c r="C822" s="19" t="n">
        <v>1.011</v>
      </c>
      <c r="D822" s="29" t="n">
        <v>0.1111</v>
      </c>
      <c r="E822" s="2" t="n">
        <v>2</v>
      </c>
      <c r="F822" s="2" t="n">
        <v>0</v>
      </c>
      <c r="G822" s="2" t="n">
        <v>0</v>
      </c>
      <c r="H822" s="30">
        <f>IF(AND(B822&gt;=5,C822&lt;&gt;"",C822&lt;0.8),1,0)</f>
        <v/>
      </c>
      <c r="I822" s="30">
        <f>IF(AND(B822&gt;=8,D822&lt;&gt;"",D822&gt;=0.25,D822&lt;=0.75),1,0)</f>
        <v/>
      </c>
      <c r="J822" s="2" t="n"/>
    </row>
    <row r="823">
      <c r="A823" s="2" t="inlineStr">
        <is>
          <t>IMP00816</t>
        </is>
      </c>
      <c r="B823" s="2" t="n">
        <v>1</v>
      </c>
      <c r="C823" s="19" t="n">
        <v>0.95</v>
      </c>
      <c r="D823" s="29" t="n">
        <v>0</v>
      </c>
      <c r="E823" s="2" t="n">
        <v>1</v>
      </c>
      <c r="F823" s="2" t="n">
        <v>0</v>
      </c>
      <c r="G823" s="2" t="n">
        <v>0</v>
      </c>
      <c r="H823" s="30">
        <f>IF(AND(B823&gt;=5,C823&lt;&gt;"",C823&lt;0.8),1,0)</f>
        <v/>
      </c>
      <c r="I823" s="30">
        <f>IF(AND(B823&gt;=8,D823&lt;&gt;"",D823&gt;=0.25,D823&lt;=0.75),1,0)</f>
        <v/>
      </c>
      <c r="J823" s="2" t="n"/>
    </row>
    <row r="824">
      <c r="A824" s="2" t="inlineStr">
        <is>
          <t>IMP00817</t>
        </is>
      </c>
      <c r="B824" s="2" t="n">
        <v>0</v>
      </c>
      <c r="C824" s="19" t="n"/>
      <c r="D824" s="29" t="n"/>
      <c r="E824" s="2" t="n">
        <v>0</v>
      </c>
      <c r="F824" s="2" t="n">
        <v>0</v>
      </c>
      <c r="G824" s="2" t="n">
        <v>0</v>
      </c>
      <c r="H824" s="30">
        <f>IF(AND(B824&gt;=5,C824&lt;&gt;"",C824&lt;0.8),1,0)</f>
        <v/>
      </c>
      <c r="I824" s="30">
        <f>IF(AND(B824&gt;=8,D824&lt;&gt;"",D824&gt;=0.25,D824&lt;=0.75),1,0)</f>
        <v/>
      </c>
      <c r="J824" s="2" t="n"/>
    </row>
    <row r="825">
      <c r="A825" s="2" t="inlineStr">
        <is>
          <t>IMP00818</t>
        </is>
      </c>
      <c r="B825" s="2" t="n">
        <v>696</v>
      </c>
      <c r="C825" s="19" t="n">
        <v>0.988</v>
      </c>
      <c r="D825" s="29" t="n">
        <v>0.0057</v>
      </c>
      <c r="E825" s="2" t="n">
        <v>1</v>
      </c>
      <c r="F825" s="2" t="n">
        <v>0</v>
      </c>
      <c r="G825" s="2" t="n">
        <v>0</v>
      </c>
      <c r="H825" s="30">
        <f>IF(AND(B825&gt;=5,C825&lt;&gt;"",C825&lt;0.8),1,0)</f>
        <v/>
      </c>
      <c r="I825" s="30">
        <f>IF(AND(B825&gt;=8,D825&lt;&gt;"",D825&gt;=0.25,D825&lt;=0.75),1,0)</f>
        <v/>
      </c>
      <c r="J825" s="2" t="n"/>
    </row>
    <row r="826">
      <c r="A826" s="2" t="inlineStr">
        <is>
          <t>IMP00819</t>
        </is>
      </c>
      <c r="B826" s="2" t="n">
        <v>3</v>
      </c>
      <c r="C826" s="19" t="n">
        <v>0.856</v>
      </c>
      <c r="D826" s="29" t="n">
        <v>0</v>
      </c>
      <c r="E826" s="2" t="n">
        <v>1</v>
      </c>
      <c r="F826" s="2" t="n">
        <v>0</v>
      </c>
      <c r="G826" s="2" t="n">
        <v>0</v>
      </c>
      <c r="H826" s="30">
        <f>IF(AND(B826&gt;=5,C826&lt;&gt;"",C826&lt;0.8),1,0)</f>
        <v/>
      </c>
      <c r="I826" s="30">
        <f>IF(AND(B826&gt;=8,D826&lt;&gt;"",D826&gt;=0.25,D826&lt;=0.75),1,0)</f>
        <v/>
      </c>
      <c r="J826" s="2" t="n"/>
    </row>
    <row r="827">
      <c r="A827" s="2" t="inlineStr">
        <is>
          <t>IMP00820</t>
        </is>
      </c>
      <c r="B827" s="2" t="n">
        <v>26</v>
      </c>
      <c r="C827" s="19" t="n">
        <v>0.803</v>
      </c>
      <c r="D827" s="29" t="n">
        <v>0.4231</v>
      </c>
      <c r="E827" s="2" t="n">
        <v>1</v>
      </c>
      <c r="F827" s="2" t="n">
        <v>0</v>
      </c>
      <c r="G827" s="2" t="n">
        <v>1</v>
      </c>
      <c r="H827" s="30">
        <f>IF(AND(B827&gt;=5,C827&lt;&gt;"",C827&lt;0.8),1,0)</f>
        <v/>
      </c>
      <c r="I827" s="30">
        <f>IF(AND(B827&gt;=8,D827&lt;&gt;"",D827&gt;=0.25,D827&lt;=0.75),1,0)</f>
        <v/>
      </c>
      <c r="J827" s="2" t="n"/>
    </row>
    <row r="828">
      <c r="A828" s="2" t="inlineStr">
        <is>
          <t>IMP00821</t>
        </is>
      </c>
      <c r="B828" s="2" t="n">
        <v>13</v>
      </c>
      <c r="C828" s="19" t="n">
        <v>1.064</v>
      </c>
      <c r="D828" s="29" t="n">
        <v>0.0769</v>
      </c>
      <c r="E828" s="2" t="n">
        <v>1</v>
      </c>
      <c r="F828" s="2" t="n">
        <v>0</v>
      </c>
      <c r="G828" s="2" t="n">
        <v>0</v>
      </c>
      <c r="H828" s="30">
        <f>IF(AND(B828&gt;=5,C828&lt;&gt;"",C828&lt;0.8),1,0)</f>
        <v/>
      </c>
      <c r="I828" s="30">
        <f>IF(AND(B828&gt;=8,D828&lt;&gt;"",D828&gt;=0.25,D828&lt;=0.75),1,0)</f>
        <v/>
      </c>
      <c r="J828" s="2" t="n"/>
    </row>
    <row r="829">
      <c r="A829" s="2" t="inlineStr">
        <is>
          <t>IMP00822</t>
        </is>
      </c>
      <c r="B829" s="2" t="n">
        <v>4</v>
      </c>
      <c r="C829" s="19" t="n">
        <v>1.107</v>
      </c>
      <c r="D829" s="29" t="n">
        <v>0</v>
      </c>
      <c r="E829" s="2" t="n">
        <v>2</v>
      </c>
      <c r="F829" s="2" t="n">
        <v>0</v>
      </c>
      <c r="G829" s="2" t="n">
        <v>0</v>
      </c>
      <c r="H829" s="30">
        <f>IF(AND(B829&gt;=5,C829&lt;&gt;"",C829&lt;0.8),1,0)</f>
        <v/>
      </c>
      <c r="I829" s="30">
        <f>IF(AND(B829&gt;=8,D829&lt;&gt;"",D829&gt;=0.25,D829&lt;=0.75),1,0)</f>
        <v/>
      </c>
      <c r="J829" s="2" t="n"/>
    </row>
    <row r="830">
      <c r="A830" s="2" t="inlineStr">
        <is>
          <t>IMP00823</t>
        </is>
      </c>
      <c r="B830" s="2" t="n">
        <v>41</v>
      </c>
      <c r="C830" s="19" t="n">
        <v>1.047</v>
      </c>
      <c r="D830" s="29" t="n">
        <v>0.3415</v>
      </c>
      <c r="E830" s="2" t="n">
        <v>1</v>
      </c>
      <c r="F830" s="2" t="n">
        <v>0</v>
      </c>
      <c r="G830" s="2" t="n">
        <v>1</v>
      </c>
      <c r="H830" s="30">
        <f>IF(AND(B830&gt;=5,C830&lt;&gt;"",C830&lt;0.8),1,0)</f>
        <v/>
      </c>
      <c r="I830" s="30">
        <f>IF(AND(B830&gt;=8,D830&lt;&gt;"",D830&gt;=0.25,D830&lt;=0.75),1,0)</f>
        <v/>
      </c>
      <c r="J830" s="2" t="n"/>
    </row>
    <row r="831">
      <c r="A831" s="2" t="inlineStr">
        <is>
          <t>IMP00824</t>
        </is>
      </c>
      <c r="B831" s="2" t="n">
        <v>76</v>
      </c>
      <c r="C831" s="19" t="n">
        <v>0.9875</v>
      </c>
      <c r="D831" s="29" t="n">
        <v>0.1053</v>
      </c>
      <c r="E831" s="2" t="n">
        <v>1</v>
      </c>
      <c r="F831" s="2" t="n">
        <v>0</v>
      </c>
      <c r="G831" s="2" t="n">
        <v>0</v>
      </c>
      <c r="H831" s="30">
        <f>IF(AND(B831&gt;=5,C831&lt;&gt;"",C831&lt;0.8),1,0)</f>
        <v/>
      </c>
      <c r="I831" s="30">
        <f>IF(AND(B831&gt;=8,D831&lt;&gt;"",D831&gt;=0.25,D831&lt;=0.75),1,0)</f>
        <v/>
      </c>
      <c r="J831" s="2" t="n"/>
    </row>
    <row r="832">
      <c r="A832" s="2" t="inlineStr">
        <is>
          <t>IMP00825</t>
        </is>
      </c>
      <c r="B832" s="2" t="n">
        <v>12</v>
      </c>
      <c r="C832" s="19" t="n">
        <v>0.6915</v>
      </c>
      <c r="D832" s="29" t="n">
        <v>0.6667</v>
      </c>
      <c r="E832" s="2" t="n">
        <v>1</v>
      </c>
      <c r="F832" s="2" t="n">
        <v>1</v>
      </c>
      <c r="G832" s="2" t="n">
        <v>1</v>
      </c>
      <c r="H832" s="30">
        <f>IF(AND(B832&gt;=5,C832&lt;&gt;"",C832&lt;0.8),1,0)</f>
        <v/>
      </c>
      <c r="I832" s="30">
        <f>IF(AND(B832&gt;=8,D832&lt;&gt;"",D832&gt;=0.25,D832&lt;=0.75),1,0)</f>
        <v/>
      </c>
      <c r="J832" s="2" t="n"/>
    </row>
    <row r="833">
      <c r="A833" s="2" t="inlineStr">
        <is>
          <t>IMP00826</t>
        </is>
      </c>
      <c r="B833" s="2" t="n">
        <v>51</v>
      </c>
      <c r="C833" s="19" t="n">
        <v>0.965</v>
      </c>
      <c r="D833" s="29" t="n">
        <v>0.0196</v>
      </c>
      <c r="E833" s="2" t="n">
        <v>1</v>
      </c>
      <c r="F833" s="2" t="n">
        <v>0</v>
      </c>
      <c r="G833" s="2" t="n">
        <v>0</v>
      </c>
      <c r="H833" s="30">
        <f>IF(AND(B833&gt;=5,C833&lt;&gt;"",C833&lt;0.8),1,0)</f>
        <v/>
      </c>
      <c r="I833" s="30">
        <f>IF(AND(B833&gt;=8,D833&lt;&gt;"",D833&gt;=0.25,D833&lt;=0.75),1,0)</f>
        <v/>
      </c>
      <c r="J833" s="2" t="n"/>
    </row>
    <row r="834">
      <c r="A834" s="2" t="inlineStr">
        <is>
          <t>IMP00827</t>
        </is>
      </c>
      <c r="B834" s="2" t="n">
        <v>27</v>
      </c>
      <c r="C834" s="19" t="n">
        <v>1.029</v>
      </c>
      <c r="D834" s="29" t="n">
        <v>0</v>
      </c>
      <c r="E834" s="2" t="n">
        <v>1</v>
      </c>
      <c r="F834" s="2" t="n">
        <v>0</v>
      </c>
      <c r="G834" s="2" t="n">
        <v>0</v>
      </c>
      <c r="H834" s="30">
        <f>IF(AND(B834&gt;=5,C834&lt;&gt;"",C834&lt;0.8),1,0)</f>
        <v/>
      </c>
      <c r="I834" s="30">
        <f>IF(AND(B834&gt;=8,D834&lt;&gt;"",D834&gt;=0.25,D834&lt;=0.75),1,0)</f>
        <v/>
      </c>
      <c r="J834" s="2" t="n"/>
    </row>
    <row r="835">
      <c r="A835" s="2" t="inlineStr">
        <is>
          <t>IMP00828</t>
        </is>
      </c>
      <c r="B835" s="2" t="n">
        <v>0</v>
      </c>
      <c r="C835" s="19" t="n"/>
      <c r="D835" s="29" t="n"/>
      <c r="E835" s="2" t="n">
        <v>0</v>
      </c>
      <c r="F835" s="2" t="n">
        <v>0</v>
      </c>
      <c r="G835" s="2" t="n">
        <v>0</v>
      </c>
      <c r="H835" s="30">
        <f>IF(AND(B835&gt;=5,C835&lt;&gt;"",C835&lt;0.8),1,0)</f>
        <v/>
      </c>
      <c r="I835" s="30">
        <f>IF(AND(B835&gt;=8,D835&lt;&gt;"",D835&gt;=0.25,D835&lt;=0.75),1,0)</f>
        <v/>
      </c>
      <c r="J835" s="2" t="n"/>
    </row>
    <row r="836">
      <c r="A836" s="2" t="inlineStr">
        <is>
          <t>IMP00829</t>
        </is>
      </c>
      <c r="B836" s="2" t="n">
        <v>86</v>
      </c>
      <c r="C836" s="19" t="n">
        <v>1.043</v>
      </c>
      <c r="D836" s="29" t="n">
        <v>0.0116</v>
      </c>
      <c r="E836" s="2" t="n">
        <v>1</v>
      </c>
      <c r="F836" s="2" t="n">
        <v>0</v>
      </c>
      <c r="G836" s="2" t="n">
        <v>0</v>
      </c>
      <c r="H836" s="30">
        <f>IF(AND(B836&gt;=5,C836&lt;&gt;"",C836&lt;0.8),1,0)</f>
        <v/>
      </c>
      <c r="I836" s="30">
        <f>IF(AND(B836&gt;=8,D836&lt;&gt;"",D836&gt;=0.25,D836&lt;=0.75),1,0)</f>
        <v/>
      </c>
      <c r="J836" s="2" t="n"/>
    </row>
    <row r="837">
      <c r="A837" s="2" t="inlineStr">
        <is>
          <t>IMP00830</t>
        </is>
      </c>
      <c r="B837" s="2" t="n">
        <v>2</v>
      </c>
      <c r="C837" s="19" t="n">
        <v>0.8764999999999999</v>
      </c>
      <c r="D837" s="29" t="n">
        <v>0</v>
      </c>
      <c r="E837" s="2" t="n">
        <v>2</v>
      </c>
      <c r="F837" s="2" t="n">
        <v>0</v>
      </c>
      <c r="G837" s="2" t="n">
        <v>0</v>
      </c>
      <c r="H837" s="30">
        <f>IF(AND(B837&gt;=5,C837&lt;&gt;"",C837&lt;0.8),1,0)</f>
        <v/>
      </c>
      <c r="I837" s="30">
        <f>IF(AND(B837&gt;=8,D837&lt;&gt;"",D837&gt;=0.25,D837&lt;=0.75),1,0)</f>
        <v/>
      </c>
      <c r="J837" s="2" t="n"/>
    </row>
    <row r="838">
      <c r="A838" s="2" t="inlineStr">
        <is>
          <t>IMP00831</t>
        </is>
      </c>
      <c r="B838" s="2" t="n">
        <v>3</v>
      </c>
      <c r="C838" s="19" t="n">
        <v>0.9360000000000001</v>
      </c>
      <c r="D838" s="29" t="n">
        <v>0</v>
      </c>
      <c r="E838" s="2" t="n">
        <v>2</v>
      </c>
      <c r="F838" s="2" t="n">
        <v>0</v>
      </c>
      <c r="G838" s="2" t="n">
        <v>0</v>
      </c>
      <c r="H838" s="30">
        <f>IF(AND(B838&gt;=5,C838&lt;&gt;"",C838&lt;0.8),1,0)</f>
        <v/>
      </c>
      <c r="I838" s="30">
        <f>IF(AND(B838&gt;=8,D838&lt;&gt;"",D838&gt;=0.25,D838&lt;=0.75),1,0)</f>
        <v/>
      </c>
      <c r="J838" s="2" t="n"/>
    </row>
    <row r="839">
      <c r="A839" s="2" t="inlineStr">
        <is>
          <t>IMP00832</t>
        </is>
      </c>
      <c r="B839" s="2" t="n">
        <v>234</v>
      </c>
      <c r="C839" s="19" t="n">
        <v>0.908</v>
      </c>
      <c r="D839" s="29" t="n">
        <v>0.0769</v>
      </c>
      <c r="E839" s="2" t="n">
        <v>1</v>
      </c>
      <c r="F839" s="2" t="n">
        <v>0</v>
      </c>
      <c r="G839" s="2" t="n">
        <v>0</v>
      </c>
      <c r="H839" s="30">
        <f>IF(AND(B839&gt;=5,C839&lt;&gt;"",C839&lt;0.8),1,0)</f>
        <v/>
      </c>
      <c r="I839" s="30">
        <f>IF(AND(B839&gt;=8,D839&lt;&gt;"",D839&gt;=0.25,D839&lt;=0.75),1,0)</f>
        <v/>
      </c>
      <c r="J839" s="2" t="n"/>
    </row>
    <row r="840">
      <c r="A840" s="2" t="inlineStr">
        <is>
          <t>IMP00833</t>
        </is>
      </c>
      <c r="B840" s="2" t="n">
        <v>6</v>
      </c>
      <c r="C840" s="19" t="n">
        <v>1.038</v>
      </c>
      <c r="D840" s="29" t="n">
        <v>0</v>
      </c>
      <c r="E840" s="2" t="n">
        <v>1</v>
      </c>
      <c r="F840" s="2" t="n">
        <v>0</v>
      </c>
      <c r="G840" s="2" t="n">
        <v>0</v>
      </c>
      <c r="H840" s="30">
        <f>IF(AND(B840&gt;=5,C840&lt;&gt;"",C840&lt;0.8),1,0)</f>
        <v/>
      </c>
      <c r="I840" s="30">
        <f>IF(AND(B840&gt;=8,D840&lt;&gt;"",D840&gt;=0.25,D840&lt;=0.75),1,0)</f>
        <v/>
      </c>
      <c r="J840" s="2" t="n"/>
    </row>
    <row r="841">
      <c r="A841" s="2" t="inlineStr">
        <is>
          <t>IMP00834</t>
        </is>
      </c>
      <c r="B841" s="2" t="n">
        <v>13</v>
      </c>
      <c r="C841" s="19" t="n">
        <v>1.044</v>
      </c>
      <c r="D841" s="29" t="n">
        <v>0.2308</v>
      </c>
      <c r="E841" s="2" t="n">
        <v>1</v>
      </c>
      <c r="F841" s="2" t="n">
        <v>0</v>
      </c>
      <c r="G841" s="2" t="n">
        <v>0</v>
      </c>
      <c r="H841" s="30">
        <f>IF(AND(B841&gt;=5,C841&lt;&gt;"",C841&lt;0.8),1,0)</f>
        <v/>
      </c>
      <c r="I841" s="30">
        <f>IF(AND(B841&gt;=8,D841&lt;&gt;"",D841&gt;=0.25,D841&lt;=0.75),1,0)</f>
        <v/>
      </c>
      <c r="J841" s="2" t="n"/>
    </row>
    <row r="842">
      <c r="A842" s="2" t="inlineStr">
        <is>
          <t>IMP00835</t>
        </is>
      </c>
      <c r="B842" s="2" t="n">
        <v>47</v>
      </c>
      <c r="C842" s="19" t="n">
        <v>0.7905</v>
      </c>
      <c r="D842" s="29" t="n">
        <v>0.2766</v>
      </c>
      <c r="E842" s="2" t="n">
        <v>1</v>
      </c>
      <c r="F842" s="2" t="n">
        <v>1</v>
      </c>
      <c r="G842" s="2" t="n">
        <v>1</v>
      </c>
      <c r="H842" s="30">
        <f>IF(AND(B842&gt;=5,C842&lt;&gt;"",C842&lt;0.8),1,0)</f>
        <v/>
      </c>
      <c r="I842" s="30">
        <f>IF(AND(B842&gt;=8,D842&lt;&gt;"",D842&gt;=0.25,D842&lt;=0.75),1,0)</f>
        <v/>
      </c>
      <c r="J842" s="2" t="n"/>
    </row>
    <row r="843">
      <c r="A843" s="2" t="inlineStr">
        <is>
          <t>IMP00836</t>
        </is>
      </c>
      <c r="B843" s="2" t="n">
        <v>19</v>
      </c>
      <c r="C843" s="19" t="n">
        <v>0.889</v>
      </c>
      <c r="D843" s="29" t="n">
        <v>0.1053</v>
      </c>
      <c r="E843" s="2" t="n">
        <v>1</v>
      </c>
      <c r="F843" s="2" t="n">
        <v>0</v>
      </c>
      <c r="G843" s="2" t="n">
        <v>0</v>
      </c>
      <c r="H843" s="30">
        <f>IF(AND(B843&gt;=5,C843&lt;&gt;"",C843&lt;0.8),1,0)</f>
        <v/>
      </c>
      <c r="I843" s="30">
        <f>IF(AND(B843&gt;=8,D843&lt;&gt;"",D843&gt;=0.25,D843&lt;=0.75),1,0)</f>
        <v/>
      </c>
      <c r="J843" s="2" t="n"/>
    </row>
    <row r="844">
      <c r="A844" s="2" t="inlineStr">
        <is>
          <t>IMP00837</t>
        </is>
      </c>
      <c r="B844" s="2" t="n">
        <v>100</v>
      </c>
      <c r="C844" s="19" t="n">
        <v>1.183</v>
      </c>
      <c r="D844" s="29" t="n">
        <v>0.08</v>
      </c>
      <c r="E844" s="2" t="n">
        <v>2</v>
      </c>
      <c r="F844" s="2" t="n">
        <v>0</v>
      </c>
      <c r="G844" s="2" t="n">
        <v>0</v>
      </c>
      <c r="H844" s="30">
        <f>IF(AND(B844&gt;=5,C844&lt;&gt;"",C844&lt;0.8),1,0)</f>
        <v/>
      </c>
      <c r="I844" s="30">
        <f>IF(AND(B844&gt;=8,D844&lt;&gt;"",D844&gt;=0.25,D844&lt;=0.75),1,0)</f>
        <v/>
      </c>
      <c r="J844" s="2" t="n"/>
    </row>
    <row r="845">
      <c r="A845" s="2" t="inlineStr">
        <is>
          <t>IMP00838</t>
        </is>
      </c>
      <c r="B845" s="2" t="n">
        <v>116</v>
      </c>
      <c r="C845" s="19" t="n">
        <v>0.9985000000000001</v>
      </c>
      <c r="D845" s="29" t="n">
        <v>0.0172</v>
      </c>
      <c r="E845" s="2" t="n">
        <v>1</v>
      </c>
      <c r="F845" s="2" t="n">
        <v>0</v>
      </c>
      <c r="G845" s="2" t="n">
        <v>0</v>
      </c>
      <c r="H845" s="30">
        <f>IF(AND(B845&gt;=5,C845&lt;&gt;"",C845&lt;0.8),1,0)</f>
        <v/>
      </c>
      <c r="I845" s="30">
        <f>IF(AND(B845&gt;=8,D845&lt;&gt;"",D845&gt;=0.25,D845&lt;=0.75),1,0)</f>
        <v/>
      </c>
      <c r="J845" s="2" t="n"/>
    </row>
    <row r="846">
      <c r="A846" s="2" t="inlineStr">
        <is>
          <t>IMP00839</t>
        </is>
      </c>
      <c r="B846" s="2" t="n">
        <v>6</v>
      </c>
      <c r="C846" s="19" t="n">
        <v>0.8080000000000001</v>
      </c>
      <c r="D846" s="29" t="n">
        <v>0.1667</v>
      </c>
      <c r="E846" s="2" t="n">
        <v>1</v>
      </c>
      <c r="F846" s="2" t="n">
        <v>0</v>
      </c>
      <c r="G846" s="2" t="n">
        <v>0</v>
      </c>
      <c r="H846" s="30">
        <f>IF(AND(B846&gt;=5,C846&lt;&gt;"",C846&lt;0.8),1,0)</f>
        <v/>
      </c>
      <c r="I846" s="30">
        <f>IF(AND(B846&gt;=8,D846&lt;&gt;"",D846&gt;=0.25,D846&lt;=0.75),1,0)</f>
        <v/>
      </c>
      <c r="J846" s="2" t="n"/>
    </row>
    <row r="847">
      <c r="A847" s="2" t="inlineStr">
        <is>
          <t>IMP00840</t>
        </is>
      </c>
      <c r="B847" s="2" t="n">
        <v>0</v>
      </c>
      <c r="C847" s="19" t="n"/>
      <c r="D847" s="29" t="n"/>
      <c r="E847" s="2" t="n">
        <v>0</v>
      </c>
      <c r="F847" s="2" t="n">
        <v>0</v>
      </c>
      <c r="G847" s="2" t="n">
        <v>0</v>
      </c>
      <c r="H847" s="30">
        <f>IF(AND(B847&gt;=5,C847&lt;&gt;"",C847&lt;0.8),1,0)</f>
        <v/>
      </c>
      <c r="I847" s="30">
        <f>IF(AND(B847&gt;=8,D847&lt;&gt;"",D847&gt;=0.25,D847&lt;=0.75),1,0)</f>
        <v/>
      </c>
      <c r="J847" s="2" t="n"/>
    </row>
    <row r="848">
      <c r="A848" s="2" t="inlineStr">
        <is>
          <t>IMP00841</t>
        </is>
      </c>
      <c r="B848" s="2" t="n">
        <v>8</v>
      </c>
      <c r="C848" s="19" t="n">
        <v>1.2195</v>
      </c>
      <c r="D848" s="29" t="n">
        <v>0</v>
      </c>
      <c r="E848" s="2" t="n">
        <v>2</v>
      </c>
      <c r="F848" s="2" t="n">
        <v>0</v>
      </c>
      <c r="G848" s="2" t="n">
        <v>0</v>
      </c>
      <c r="H848" s="30">
        <f>IF(AND(B848&gt;=5,C848&lt;&gt;"",C848&lt;0.8),1,0)</f>
        <v/>
      </c>
      <c r="I848" s="30">
        <f>IF(AND(B848&gt;=8,D848&lt;&gt;"",D848&gt;=0.25,D848&lt;=0.75),1,0)</f>
        <v/>
      </c>
      <c r="J848" s="2" t="n"/>
    </row>
    <row r="849">
      <c r="A849" s="2" t="inlineStr">
        <is>
          <t>IMP00842</t>
        </is>
      </c>
      <c r="B849" s="2" t="n">
        <v>36</v>
      </c>
      <c r="C849" s="19" t="n">
        <v>0.641</v>
      </c>
      <c r="D849" s="29" t="n">
        <v>0.5278</v>
      </c>
      <c r="E849" s="2" t="n">
        <v>4</v>
      </c>
      <c r="F849" s="2" t="n">
        <v>1</v>
      </c>
      <c r="G849" s="2" t="n">
        <v>1</v>
      </c>
      <c r="H849" s="30">
        <f>IF(AND(B849&gt;=5,C849&lt;&gt;"",C849&lt;0.8),1,0)</f>
        <v/>
      </c>
      <c r="I849" s="30">
        <f>IF(AND(B849&gt;=8,D849&lt;&gt;"",D849&gt;=0.25,D849&lt;=0.75),1,0)</f>
        <v/>
      </c>
      <c r="J849" s="2" t="n"/>
    </row>
    <row r="850">
      <c r="A850" s="2" t="inlineStr">
        <is>
          <t>IMP00843</t>
        </is>
      </c>
      <c r="B850" s="2" t="n">
        <v>52</v>
      </c>
      <c r="C850" s="19" t="n">
        <v>1.0015</v>
      </c>
      <c r="D850" s="29" t="n">
        <v>0.0192</v>
      </c>
      <c r="E850" s="2" t="n">
        <v>1</v>
      </c>
      <c r="F850" s="2" t="n">
        <v>0</v>
      </c>
      <c r="G850" s="2" t="n">
        <v>0</v>
      </c>
      <c r="H850" s="30">
        <f>IF(AND(B850&gt;=5,C850&lt;&gt;"",C850&lt;0.8),1,0)</f>
        <v/>
      </c>
      <c r="I850" s="30">
        <f>IF(AND(B850&gt;=8,D850&lt;&gt;"",D850&gt;=0.25,D850&lt;=0.75),1,0)</f>
        <v/>
      </c>
      <c r="J850" s="2" t="n"/>
    </row>
    <row r="851">
      <c r="A851" s="2" t="inlineStr">
        <is>
          <t>IMP00844</t>
        </is>
      </c>
      <c r="B851" s="2" t="n">
        <v>0</v>
      </c>
      <c r="C851" s="19" t="n"/>
      <c r="D851" s="29" t="n"/>
      <c r="E851" s="2" t="n">
        <v>0</v>
      </c>
      <c r="F851" s="2" t="n">
        <v>0</v>
      </c>
      <c r="G851" s="2" t="n">
        <v>0</v>
      </c>
      <c r="H851" s="30">
        <f>IF(AND(B851&gt;=5,C851&lt;&gt;"",C851&lt;0.8),1,0)</f>
        <v/>
      </c>
      <c r="I851" s="30">
        <f>IF(AND(B851&gt;=8,D851&lt;&gt;"",D851&gt;=0.25,D851&lt;=0.75),1,0)</f>
        <v/>
      </c>
      <c r="J851" s="2" t="n"/>
    </row>
    <row r="852">
      <c r="A852" s="2" t="inlineStr">
        <is>
          <t>IMP00845</t>
        </is>
      </c>
      <c r="B852" s="2" t="n">
        <v>1</v>
      </c>
      <c r="C852" s="19" t="n">
        <v>0.896</v>
      </c>
      <c r="D852" s="29" t="n">
        <v>0</v>
      </c>
      <c r="E852" s="2" t="n">
        <v>2</v>
      </c>
      <c r="F852" s="2" t="n">
        <v>0</v>
      </c>
      <c r="G852" s="2" t="n">
        <v>0</v>
      </c>
      <c r="H852" s="30">
        <f>IF(AND(B852&gt;=5,C852&lt;&gt;"",C852&lt;0.8),1,0)</f>
        <v/>
      </c>
      <c r="I852" s="30">
        <f>IF(AND(B852&gt;=8,D852&lt;&gt;"",D852&gt;=0.25,D852&lt;=0.75),1,0)</f>
        <v/>
      </c>
      <c r="J852" s="2" t="n"/>
    </row>
    <row r="853">
      <c r="A853" s="2" t="inlineStr">
        <is>
          <t>IMP00846</t>
        </is>
      </c>
      <c r="B853" s="2" t="n">
        <v>26</v>
      </c>
      <c r="C853" s="19" t="n">
        <v>1.2195</v>
      </c>
      <c r="D853" s="29" t="n">
        <v>0</v>
      </c>
      <c r="E853" s="2" t="n">
        <v>1</v>
      </c>
      <c r="F853" s="2" t="n">
        <v>0</v>
      </c>
      <c r="G853" s="2" t="n">
        <v>0</v>
      </c>
      <c r="H853" s="30">
        <f>IF(AND(B853&gt;=5,C853&lt;&gt;"",C853&lt;0.8),1,0)</f>
        <v/>
      </c>
      <c r="I853" s="30">
        <f>IF(AND(B853&gt;=8,D853&lt;&gt;"",D853&gt;=0.25,D853&lt;=0.75),1,0)</f>
        <v/>
      </c>
      <c r="J853" s="2" t="n"/>
    </row>
    <row r="854">
      <c r="A854" s="2" t="inlineStr">
        <is>
          <t>IMP00847</t>
        </is>
      </c>
      <c r="B854" s="2" t="n">
        <v>2</v>
      </c>
      <c r="C854" s="19" t="n">
        <v>1.4195</v>
      </c>
      <c r="D854" s="29" t="n">
        <v>0</v>
      </c>
      <c r="E854" s="2" t="n">
        <v>1</v>
      </c>
      <c r="F854" s="2" t="n">
        <v>0</v>
      </c>
      <c r="G854" s="2" t="n">
        <v>0</v>
      </c>
      <c r="H854" s="30">
        <f>IF(AND(B854&gt;=5,C854&lt;&gt;"",C854&lt;0.8),1,0)</f>
        <v/>
      </c>
      <c r="I854" s="30">
        <f>IF(AND(B854&gt;=8,D854&lt;&gt;"",D854&gt;=0.25,D854&lt;=0.75),1,0)</f>
        <v/>
      </c>
      <c r="J854" s="2" t="n"/>
    </row>
    <row r="855">
      <c r="A855" s="2" t="inlineStr">
        <is>
          <t>IMP00848</t>
        </is>
      </c>
      <c r="B855" s="2" t="n">
        <v>11</v>
      </c>
      <c r="C855" s="19" t="n">
        <v>1.199</v>
      </c>
      <c r="D855" s="29" t="n">
        <v>0</v>
      </c>
      <c r="E855" s="2" t="n">
        <v>1</v>
      </c>
      <c r="F855" s="2" t="n">
        <v>0</v>
      </c>
      <c r="G855" s="2" t="n">
        <v>0</v>
      </c>
      <c r="H855" s="30">
        <f>IF(AND(B855&gt;=5,C855&lt;&gt;"",C855&lt;0.8),1,0)</f>
        <v/>
      </c>
      <c r="I855" s="30">
        <f>IF(AND(B855&gt;=8,D855&lt;&gt;"",D855&gt;=0.25,D855&lt;=0.75),1,0)</f>
        <v/>
      </c>
      <c r="J855" s="2" t="n"/>
    </row>
    <row r="856">
      <c r="A856" s="2" t="inlineStr">
        <is>
          <t>IMP00849</t>
        </is>
      </c>
      <c r="B856" s="2" t="n">
        <v>1</v>
      </c>
      <c r="C856" s="19" t="n">
        <v>1.826</v>
      </c>
      <c r="D856" s="29" t="n">
        <v>0</v>
      </c>
      <c r="E856" s="2" t="n">
        <v>1</v>
      </c>
      <c r="F856" s="2" t="n">
        <v>0</v>
      </c>
      <c r="G856" s="2" t="n">
        <v>0</v>
      </c>
      <c r="H856" s="30">
        <f>IF(AND(B856&gt;=5,C856&lt;&gt;"",C856&lt;0.8),1,0)</f>
        <v/>
      </c>
      <c r="I856" s="30">
        <f>IF(AND(B856&gt;=8,D856&lt;&gt;"",D856&gt;=0.25,D856&lt;=0.75),1,0)</f>
        <v/>
      </c>
      <c r="J856" s="2" t="n"/>
    </row>
    <row r="857">
      <c r="A857" s="2" t="inlineStr">
        <is>
          <t>IMP00850</t>
        </is>
      </c>
      <c r="B857" s="2" t="n">
        <v>257</v>
      </c>
      <c r="C857" s="19" t="n">
        <v>1.008</v>
      </c>
      <c r="D857" s="29" t="n">
        <v>0.1673</v>
      </c>
      <c r="E857" s="2" t="n">
        <v>1</v>
      </c>
      <c r="F857" s="2" t="n">
        <v>0</v>
      </c>
      <c r="G857" s="2" t="n">
        <v>0</v>
      </c>
      <c r="H857" s="30">
        <f>IF(AND(B857&gt;=5,C857&lt;&gt;"",C857&lt;0.8),1,0)</f>
        <v/>
      </c>
      <c r="I857" s="30">
        <f>IF(AND(B857&gt;=8,D857&lt;&gt;"",D857&gt;=0.25,D857&lt;=0.75),1,0)</f>
        <v/>
      </c>
      <c r="J857" s="2" t="n"/>
    </row>
    <row r="858">
      <c r="A858" s="2" t="inlineStr">
        <is>
          <t>IMP00851</t>
        </is>
      </c>
      <c r="B858" s="2" t="n">
        <v>36</v>
      </c>
      <c r="C858" s="19" t="n">
        <v>1.1315</v>
      </c>
      <c r="D858" s="29" t="n">
        <v>0</v>
      </c>
      <c r="E858" s="2" t="n">
        <v>1</v>
      </c>
      <c r="F858" s="2" t="n">
        <v>0</v>
      </c>
      <c r="G858" s="2" t="n">
        <v>0</v>
      </c>
      <c r="H858" s="30">
        <f>IF(AND(B858&gt;=5,C858&lt;&gt;"",C858&lt;0.8),1,0)</f>
        <v/>
      </c>
      <c r="I858" s="30">
        <f>IF(AND(B858&gt;=8,D858&lt;&gt;"",D858&gt;=0.25,D858&lt;=0.75),1,0)</f>
        <v/>
      </c>
      <c r="J858" s="2" t="n"/>
    </row>
    <row r="859">
      <c r="A859" s="2" t="inlineStr">
        <is>
          <t>IMP00852</t>
        </is>
      </c>
      <c r="B859" s="2" t="n">
        <v>4</v>
      </c>
      <c r="C859" s="19" t="n">
        <v>0.839</v>
      </c>
      <c r="D859" s="29" t="n">
        <v>0.25</v>
      </c>
      <c r="E859" s="2" t="n">
        <v>2</v>
      </c>
      <c r="F859" s="2" t="n">
        <v>0</v>
      </c>
      <c r="G859" s="2" t="n">
        <v>0</v>
      </c>
      <c r="H859" s="30">
        <f>IF(AND(B859&gt;=5,C859&lt;&gt;"",C859&lt;0.8),1,0)</f>
        <v/>
      </c>
      <c r="I859" s="30">
        <f>IF(AND(B859&gt;=8,D859&lt;&gt;"",D859&gt;=0.25,D859&lt;=0.75),1,0)</f>
        <v/>
      </c>
      <c r="J859" s="2" t="n"/>
    </row>
    <row r="860">
      <c r="A860" s="2" t="inlineStr">
        <is>
          <t>IMP00853</t>
        </is>
      </c>
      <c r="B860" s="2" t="n">
        <v>20</v>
      </c>
      <c r="C860" s="19" t="n">
        <v>1.129</v>
      </c>
      <c r="D860" s="29" t="n">
        <v>0.05</v>
      </c>
      <c r="E860" s="2" t="n">
        <v>2</v>
      </c>
      <c r="F860" s="2" t="n">
        <v>0</v>
      </c>
      <c r="G860" s="2" t="n">
        <v>0</v>
      </c>
      <c r="H860" s="30">
        <f>IF(AND(B860&gt;=5,C860&lt;&gt;"",C860&lt;0.8),1,0)</f>
        <v/>
      </c>
      <c r="I860" s="30">
        <f>IF(AND(B860&gt;=8,D860&lt;&gt;"",D860&gt;=0.25,D860&lt;=0.75),1,0)</f>
        <v/>
      </c>
      <c r="J860" s="2" t="n"/>
    </row>
    <row r="861">
      <c r="A861" s="2" t="inlineStr">
        <is>
          <t>IMP00854</t>
        </is>
      </c>
      <c r="B861" s="2" t="n">
        <v>0</v>
      </c>
      <c r="C861" s="19" t="n"/>
      <c r="D861" s="29" t="n"/>
      <c r="E861" s="2" t="n">
        <v>0</v>
      </c>
      <c r="F861" s="2" t="n">
        <v>0</v>
      </c>
      <c r="G861" s="2" t="n">
        <v>0</v>
      </c>
      <c r="H861" s="30">
        <f>IF(AND(B861&gt;=5,C861&lt;&gt;"",C861&lt;0.8),1,0)</f>
        <v/>
      </c>
      <c r="I861" s="30">
        <f>IF(AND(B861&gt;=8,D861&lt;&gt;"",D861&gt;=0.25,D861&lt;=0.75),1,0)</f>
        <v/>
      </c>
      <c r="J861" s="2" t="n"/>
    </row>
    <row r="862">
      <c r="A862" s="2" t="inlineStr">
        <is>
          <t>IMP00855</t>
        </is>
      </c>
      <c r="B862" s="2" t="n">
        <v>19</v>
      </c>
      <c r="C862" s="19" t="n">
        <v>1.044</v>
      </c>
      <c r="D862" s="29" t="n">
        <v>0.0526</v>
      </c>
      <c r="E862" s="2" t="n">
        <v>1</v>
      </c>
      <c r="F862" s="2" t="n">
        <v>0</v>
      </c>
      <c r="G862" s="2" t="n">
        <v>0</v>
      </c>
      <c r="H862" s="30">
        <f>IF(AND(B862&gt;=5,C862&lt;&gt;"",C862&lt;0.8),1,0)</f>
        <v/>
      </c>
      <c r="I862" s="30">
        <f>IF(AND(B862&gt;=8,D862&lt;&gt;"",D862&gt;=0.25,D862&lt;=0.75),1,0)</f>
        <v/>
      </c>
      <c r="J862" s="2" t="n"/>
    </row>
    <row r="863">
      <c r="A863" s="2" t="inlineStr">
        <is>
          <t>IMP00856</t>
        </is>
      </c>
      <c r="B863" s="2" t="n">
        <v>0</v>
      </c>
      <c r="C863" s="19" t="n"/>
      <c r="D863" s="29" t="n"/>
      <c r="E863" s="2" t="n">
        <v>0</v>
      </c>
      <c r="F863" s="2" t="n">
        <v>0</v>
      </c>
      <c r="G863" s="2" t="n">
        <v>0</v>
      </c>
      <c r="H863" s="30">
        <f>IF(AND(B863&gt;=5,C863&lt;&gt;"",C863&lt;0.8),1,0)</f>
        <v/>
      </c>
      <c r="I863" s="30">
        <f>IF(AND(B863&gt;=8,D863&lt;&gt;"",D863&gt;=0.25,D863&lt;=0.75),1,0)</f>
        <v/>
      </c>
      <c r="J863" s="2" t="n"/>
    </row>
    <row r="864">
      <c r="A864" s="2" t="inlineStr">
        <is>
          <t>IMP00857</t>
        </is>
      </c>
      <c r="B864" s="2" t="n">
        <v>52</v>
      </c>
      <c r="C864" s="19" t="n">
        <v>0.992</v>
      </c>
      <c r="D864" s="29" t="n">
        <v>0</v>
      </c>
      <c r="E864" s="2" t="n">
        <v>1</v>
      </c>
      <c r="F864" s="2" t="n">
        <v>0</v>
      </c>
      <c r="G864" s="2" t="n">
        <v>0</v>
      </c>
      <c r="H864" s="30">
        <f>IF(AND(B864&gt;=5,C864&lt;&gt;"",C864&lt;0.8),1,0)</f>
        <v/>
      </c>
      <c r="I864" s="30">
        <f>IF(AND(B864&gt;=8,D864&lt;&gt;"",D864&gt;=0.25,D864&lt;=0.75),1,0)</f>
        <v/>
      </c>
      <c r="J864" s="2" t="n"/>
    </row>
    <row r="865">
      <c r="A865" s="2" t="inlineStr">
        <is>
          <t>IMP00858</t>
        </is>
      </c>
      <c r="B865" s="2" t="n">
        <v>8</v>
      </c>
      <c r="C865" s="19" t="n">
        <v>1.354</v>
      </c>
      <c r="D865" s="29" t="n">
        <v>0</v>
      </c>
      <c r="E865" s="2" t="n">
        <v>2</v>
      </c>
      <c r="F865" s="2" t="n">
        <v>0</v>
      </c>
      <c r="G865" s="2" t="n">
        <v>0</v>
      </c>
      <c r="H865" s="30">
        <f>IF(AND(B865&gt;=5,C865&lt;&gt;"",C865&lt;0.8),1,0)</f>
        <v/>
      </c>
      <c r="I865" s="30">
        <f>IF(AND(B865&gt;=8,D865&lt;&gt;"",D865&gt;=0.25,D865&lt;=0.75),1,0)</f>
        <v/>
      </c>
      <c r="J865" s="2" t="n"/>
    </row>
    <row r="866">
      <c r="A866" s="2" t="inlineStr">
        <is>
          <t>IMP00859</t>
        </is>
      </c>
      <c r="B866" s="2" t="n">
        <v>45</v>
      </c>
      <c r="C866" s="19" t="n">
        <v>1</v>
      </c>
      <c r="D866" s="29" t="n">
        <v>0.1111</v>
      </c>
      <c r="E866" s="2" t="n">
        <v>2</v>
      </c>
      <c r="F866" s="2" t="n">
        <v>0</v>
      </c>
      <c r="G866" s="2" t="n">
        <v>0</v>
      </c>
      <c r="H866" s="30">
        <f>IF(AND(B866&gt;=5,C866&lt;&gt;"",C866&lt;0.8),1,0)</f>
        <v/>
      </c>
      <c r="I866" s="30">
        <f>IF(AND(B866&gt;=8,D866&lt;&gt;"",D866&gt;=0.25,D866&lt;=0.75),1,0)</f>
        <v/>
      </c>
      <c r="J866" s="2" t="n"/>
    </row>
    <row r="867">
      <c r="A867" s="2" t="inlineStr">
        <is>
          <t>IMP00860</t>
        </is>
      </c>
      <c r="B867" s="2" t="n">
        <v>68</v>
      </c>
      <c r="C867" s="19" t="n">
        <v>0.9535</v>
      </c>
      <c r="D867" s="29" t="n">
        <v>0.0588</v>
      </c>
      <c r="E867" s="2" t="n">
        <v>1</v>
      </c>
      <c r="F867" s="2" t="n">
        <v>0</v>
      </c>
      <c r="G867" s="2" t="n">
        <v>0</v>
      </c>
      <c r="H867" s="30">
        <f>IF(AND(B867&gt;=5,C867&lt;&gt;"",C867&lt;0.8),1,0)</f>
        <v/>
      </c>
      <c r="I867" s="30">
        <f>IF(AND(B867&gt;=8,D867&lt;&gt;"",D867&gt;=0.25,D867&lt;=0.75),1,0)</f>
        <v/>
      </c>
      <c r="J867" s="2" t="n"/>
    </row>
    <row r="868">
      <c r="A868" s="2" t="inlineStr">
        <is>
          <t>IMP00861</t>
        </is>
      </c>
      <c r="B868" s="2" t="n">
        <v>325</v>
      </c>
      <c r="C868" s="19" t="n">
        <v>1.0015</v>
      </c>
      <c r="D868" s="29" t="n">
        <v>0.0123</v>
      </c>
      <c r="E868" s="2" t="n">
        <v>1</v>
      </c>
      <c r="F868" s="2" t="n">
        <v>0</v>
      </c>
      <c r="G868" s="2" t="n">
        <v>0</v>
      </c>
      <c r="H868" s="30">
        <f>IF(AND(B868&gt;=5,C868&lt;&gt;"",C868&lt;0.8),1,0)</f>
        <v/>
      </c>
      <c r="I868" s="30">
        <f>IF(AND(B868&gt;=8,D868&lt;&gt;"",D868&gt;=0.25,D868&lt;=0.75),1,0)</f>
        <v/>
      </c>
      <c r="J868" s="2" t="n"/>
    </row>
    <row r="869">
      <c r="A869" s="2" t="inlineStr">
        <is>
          <t>IMP00862</t>
        </is>
      </c>
      <c r="B869" s="2" t="n">
        <v>204</v>
      </c>
      <c r="C869" s="19" t="n">
        <v>0.911</v>
      </c>
      <c r="D869" s="29" t="n">
        <v>0.1569</v>
      </c>
      <c r="E869" s="2" t="n">
        <v>1</v>
      </c>
      <c r="F869" s="2" t="n">
        <v>0</v>
      </c>
      <c r="G869" s="2" t="n">
        <v>0</v>
      </c>
      <c r="H869" s="30">
        <f>IF(AND(B869&gt;=5,C869&lt;&gt;"",C869&lt;0.8),1,0)</f>
        <v/>
      </c>
      <c r="I869" s="30">
        <f>IF(AND(B869&gt;=8,D869&lt;&gt;"",D869&gt;=0.25,D869&lt;=0.75),1,0)</f>
        <v/>
      </c>
      <c r="J869" s="2" t="n"/>
    </row>
    <row r="870">
      <c r="A870" s="2" t="inlineStr">
        <is>
          <t>IMP00863</t>
        </is>
      </c>
      <c r="B870" s="2" t="n">
        <v>302</v>
      </c>
      <c r="C870" s="19" t="n">
        <v>1</v>
      </c>
      <c r="D870" s="29" t="n">
        <v>0.0497</v>
      </c>
      <c r="E870" s="2" t="n">
        <v>2</v>
      </c>
      <c r="F870" s="2" t="n">
        <v>0</v>
      </c>
      <c r="G870" s="2" t="n">
        <v>0</v>
      </c>
      <c r="H870" s="30">
        <f>IF(AND(B870&gt;=5,C870&lt;&gt;"",C870&lt;0.8),1,0)</f>
        <v/>
      </c>
      <c r="I870" s="30">
        <f>IF(AND(B870&gt;=8,D870&lt;&gt;"",D870&gt;=0.25,D870&lt;=0.75),1,0)</f>
        <v/>
      </c>
      <c r="J870" s="2" t="n"/>
    </row>
    <row r="871">
      <c r="A871" s="2" t="inlineStr">
        <is>
          <t>IMP00864</t>
        </is>
      </c>
      <c r="B871" s="2" t="n">
        <v>405</v>
      </c>
      <c r="C871" s="19" t="n">
        <v>1.022</v>
      </c>
      <c r="D871" s="29" t="n">
        <v>0.0568</v>
      </c>
      <c r="E871" s="2" t="n">
        <v>1</v>
      </c>
      <c r="F871" s="2" t="n">
        <v>0</v>
      </c>
      <c r="G871" s="2" t="n">
        <v>0</v>
      </c>
      <c r="H871" s="30">
        <f>IF(AND(B871&gt;=5,C871&lt;&gt;"",C871&lt;0.8),1,0)</f>
        <v/>
      </c>
      <c r="I871" s="30">
        <f>IF(AND(B871&gt;=8,D871&lt;&gt;"",D871&gt;=0.25,D871&lt;=0.75),1,0)</f>
        <v/>
      </c>
      <c r="J871" s="2" t="n"/>
    </row>
    <row r="872">
      <c r="A872" s="2" t="inlineStr">
        <is>
          <t>IMP00865</t>
        </is>
      </c>
      <c r="B872" s="2" t="n">
        <v>3</v>
      </c>
      <c r="C872" s="19" t="n">
        <v>0.696</v>
      </c>
      <c r="D872" s="29" t="n">
        <v>0.6667</v>
      </c>
      <c r="E872" s="2" t="n">
        <v>1</v>
      </c>
      <c r="F872" s="2" t="n">
        <v>0</v>
      </c>
      <c r="G872" s="2" t="n">
        <v>0</v>
      </c>
      <c r="H872" s="30">
        <f>IF(AND(B872&gt;=5,C872&lt;&gt;"",C872&lt;0.8),1,0)</f>
        <v/>
      </c>
      <c r="I872" s="30">
        <f>IF(AND(B872&gt;=8,D872&lt;&gt;"",D872&gt;=0.25,D872&lt;=0.75),1,0)</f>
        <v/>
      </c>
      <c r="J872" s="2" t="n"/>
    </row>
    <row r="873">
      <c r="A873" s="2" t="inlineStr">
        <is>
          <t>IMP00866</t>
        </is>
      </c>
      <c r="B873" s="2" t="n">
        <v>68</v>
      </c>
      <c r="C873" s="19" t="n">
        <v>0.8764999999999999</v>
      </c>
      <c r="D873" s="29" t="n">
        <v>0.1029</v>
      </c>
      <c r="E873" s="2" t="n">
        <v>2</v>
      </c>
      <c r="F873" s="2" t="n">
        <v>0</v>
      </c>
      <c r="G873" s="2" t="n">
        <v>0</v>
      </c>
      <c r="H873" s="30">
        <f>IF(AND(B873&gt;=5,C873&lt;&gt;"",C873&lt;0.8),1,0)</f>
        <v/>
      </c>
      <c r="I873" s="30">
        <f>IF(AND(B873&gt;=8,D873&lt;&gt;"",D873&gt;=0.25,D873&lt;=0.75),1,0)</f>
        <v/>
      </c>
      <c r="J873" s="2" t="n"/>
    </row>
    <row r="874">
      <c r="A874" s="2" t="inlineStr">
        <is>
          <t>IMP00867</t>
        </is>
      </c>
      <c r="B874" s="2" t="n">
        <v>0</v>
      </c>
      <c r="C874" s="19" t="n"/>
      <c r="D874" s="29" t="n"/>
      <c r="E874" s="2" t="n">
        <v>0</v>
      </c>
      <c r="F874" s="2" t="n">
        <v>0</v>
      </c>
      <c r="G874" s="2" t="n">
        <v>0</v>
      </c>
      <c r="H874" s="30">
        <f>IF(AND(B874&gt;=5,C874&lt;&gt;"",C874&lt;0.8),1,0)</f>
        <v/>
      </c>
      <c r="I874" s="30">
        <f>IF(AND(B874&gt;=8,D874&lt;&gt;"",D874&gt;=0.25,D874&lt;=0.75),1,0)</f>
        <v/>
      </c>
      <c r="J874" s="2" t="n"/>
    </row>
    <row r="875">
      <c r="A875" s="2" t="inlineStr">
        <is>
          <t>IMP00868</t>
        </is>
      </c>
      <c r="B875" s="2" t="n">
        <v>14</v>
      </c>
      <c r="C875" s="19" t="n">
        <v>0.982</v>
      </c>
      <c r="D875" s="29" t="n">
        <v>0</v>
      </c>
      <c r="E875" s="2" t="n">
        <v>1</v>
      </c>
      <c r="F875" s="2" t="n">
        <v>0</v>
      </c>
      <c r="G875" s="2" t="n">
        <v>0</v>
      </c>
      <c r="H875" s="30">
        <f>IF(AND(B875&gt;=5,C875&lt;&gt;"",C875&lt;0.8),1,0)</f>
        <v/>
      </c>
      <c r="I875" s="30">
        <f>IF(AND(B875&gt;=8,D875&lt;&gt;"",D875&gt;=0.25,D875&lt;=0.75),1,0)</f>
        <v/>
      </c>
      <c r="J875" s="2" t="n"/>
    </row>
    <row r="876">
      <c r="A876" s="2" t="inlineStr">
        <is>
          <t>IMP00869</t>
        </is>
      </c>
      <c r="B876" s="2" t="n">
        <v>0</v>
      </c>
      <c r="C876" s="19" t="n"/>
      <c r="D876" s="29" t="n"/>
      <c r="E876" s="2" t="n">
        <v>0</v>
      </c>
      <c r="F876" s="2" t="n">
        <v>0</v>
      </c>
      <c r="G876" s="2" t="n">
        <v>0</v>
      </c>
      <c r="H876" s="30">
        <f>IF(AND(B876&gt;=5,C876&lt;&gt;"",C876&lt;0.8),1,0)</f>
        <v/>
      </c>
      <c r="I876" s="30">
        <f>IF(AND(B876&gt;=8,D876&lt;&gt;"",D876&gt;=0.25,D876&lt;=0.75),1,0)</f>
        <v/>
      </c>
      <c r="J876" s="2" t="n"/>
    </row>
    <row r="877">
      <c r="A877" s="2" t="inlineStr">
        <is>
          <t>IMP00870</t>
        </is>
      </c>
      <c r="B877" s="2" t="n">
        <v>179</v>
      </c>
      <c r="C877" s="19" t="n">
        <v>1.067</v>
      </c>
      <c r="D877" s="29" t="n">
        <v>0.0391</v>
      </c>
      <c r="E877" s="2" t="n">
        <v>1</v>
      </c>
      <c r="F877" s="2" t="n">
        <v>0</v>
      </c>
      <c r="G877" s="2" t="n">
        <v>0</v>
      </c>
      <c r="H877" s="30">
        <f>IF(AND(B877&gt;=5,C877&lt;&gt;"",C877&lt;0.8),1,0)</f>
        <v/>
      </c>
      <c r="I877" s="30">
        <f>IF(AND(B877&gt;=8,D877&lt;&gt;"",D877&gt;=0.25,D877&lt;=0.75),1,0)</f>
        <v/>
      </c>
      <c r="J877" s="2" t="n"/>
    </row>
    <row r="878">
      <c r="A878" s="2" t="inlineStr">
        <is>
          <t>IMP00871</t>
        </is>
      </c>
      <c r="B878" s="2" t="n">
        <v>1</v>
      </c>
      <c r="C878" s="19" t="n">
        <v>1.155</v>
      </c>
      <c r="D878" s="29" t="n">
        <v>0</v>
      </c>
      <c r="E878" s="2" t="n">
        <v>3</v>
      </c>
      <c r="F878" s="2" t="n">
        <v>0</v>
      </c>
      <c r="G878" s="2" t="n">
        <v>0</v>
      </c>
      <c r="H878" s="30">
        <f>IF(AND(B878&gt;=5,C878&lt;&gt;"",C878&lt;0.8),1,0)</f>
        <v/>
      </c>
      <c r="I878" s="30">
        <f>IF(AND(B878&gt;=8,D878&lt;&gt;"",D878&gt;=0.25,D878&lt;=0.75),1,0)</f>
        <v/>
      </c>
      <c r="J878" s="2" t="n"/>
    </row>
    <row r="879">
      <c r="A879" s="2" t="inlineStr">
        <is>
          <t>IMP00872</t>
        </is>
      </c>
      <c r="B879" s="2" t="n">
        <v>0</v>
      </c>
      <c r="C879" s="19" t="n"/>
      <c r="D879" s="29" t="n"/>
      <c r="E879" s="2" t="n">
        <v>0</v>
      </c>
      <c r="F879" s="2" t="n">
        <v>0</v>
      </c>
      <c r="G879" s="2" t="n">
        <v>0</v>
      </c>
      <c r="H879" s="30">
        <f>IF(AND(B879&gt;=5,C879&lt;&gt;"",C879&lt;0.8),1,0)</f>
        <v/>
      </c>
      <c r="I879" s="30">
        <f>IF(AND(B879&gt;=8,D879&lt;&gt;"",D879&gt;=0.25,D879&lt;=0.75),1,0)</f>
        <v/>
      </c>
      <c r="J879" s="2" t="n"/>
    </row>
    <row r="880">
      <c r="A880" s="2" t="inlineStr">
        <is>
          <t>IMP00873</t>
        </is>
      </c>
      <c r="B880" s="2" t="n">
        <v>239</v>
      </c>
      <c r="C880" s="19" t="n">
        <v>0.996</v>
      </c>
      <c r="D880" s="29" t="n">
        <v>0.1757</v>
      </c>
      <c r="E880" s="2" t="n">
        <v>2</v>
      </c>
      <c r="F880" s="2" t="n">
        <v>0</v>
      </c>
      <c r="G880" s="2" t="n">
        <v>0</v>
      </c>
      <c r="H880" s="30">
        <f>IF(AND(B880&gt;=5,C880&lt;&gt;"",C880&lt;0.8),1,0)</f>
        <v/>
      </c>
      <c r="I880" s="30">
        <f>IF(AND(B880&gt;=8,D880&lt;&gt;"",D880&gt;=0.25,D880&lt;=0.75),1,0)</f>
        <v/>
      </c>
      <c r="J880" s="2" t="n"/>
    </row>
    <row r="881">
      <c r="A881" s="2" t="inlineStr">
        <is>
          <t>IMP00874</t>
        </is>
      </c>
      <c r="B881" s="2" t="n">
        <v>48</v>
      </c>
      <c r="C881" s="19" t="n">
        <v>1.3015</v>
      </c>
      <c r="D881" s="29" t="n">
        <v>0</v>
      </c>
      <c r="E881" s="2" t="n">
        <v>1</v>
      </c>
      <c r="F881" s="2" t="n">
        <v>0</v>
      </c>
      <c r="G881" s="2" t="n">
        <v>0</v>
      </c>
      <c r="H881" s="30">
        <f>IF(AND(B881&gt;=5,C881&lt;&gt;"",C881&lt;0.8),1,0)</f>
        <v/>
      </c>
      <c r="I881" s="30">
        <f>IF(AND(B881&gt;=8,D881&lt;&gt;"",D881&gt;=0.25,D881&lt;=0.75),1,0)</f>
        <v/>
      </c>
      <c r="J881" s="2" t="n"/>
    </row>
    <row r="882">
      <c r="A882" s="2" t="inlineStr">
        <is>
          <t>IMP00875</t>
        </is>
      </c>
      <c r="B882" s="2" t="n">
        <v>1</v>
      </c>
      <c r="C882" s="19" t="n">
        <v>1</v>
      </c>
      <c r="D882" s="29" t="n">
        <v>0</v>
      </c>
      <c r="E882" s="2" t="n">
        <v>1</v>
      </c>
      <c r="F882" s="2" t="n">
        <v>0</v>
      </c>
      <c r="G882" s="2" t="n">
        <v>0</v>
      </c>
      <c r="H882" s="30">
        <f>IF(AND(B882&gt;=5,C882&lt;&gt;"",C882&lt;0.8),1,0)</f>
        <v/>
      </c>
      <c r="I882" s="30">
        <f>IF(AND(B882&gt;=8,D882&lt;&gt;"",D882&gt;=0.25,D882&lt;=0.75),1,0)</f>
        <v/>
      </c>
      <c r="J882" s="2" t="n"/>
    </row>
    <row r="883">
      <c r="A883" s="2" t="inlineStr">
        <is>
          <t>IMP00876</t>
        </is>
      </c>
      <c r="B883" s="2" t="n">
        <v>50</v>
      </c>
      <c r="C883" s="19" t="n">
        <v>1.215</v>
      </c>
      <c r="D883" s="29" t="n">
        <v>0.02</v>
      </c>
      <c r="E883" s="2" t="n">
        <v>1</v>
      </c>
      <c r="F883" s="2" t="n">
        <v>0</v>
      </c>
      <c r="G883" s="2" t="n">
        <v>0</v>
      </c>
      <c r="H883" s="30">
        <f>IF(AND(B883&gt;=5,C883&lt;&gt;"",C883&lt;0.8),1,0)</f>
        <v/>
      </c>
      <c r="I883" s="30">
        <f>IF(AND(B883&gt;=8,D883&lt;&gt;"",D883&gt;=0.25,D883&lt;=0.75),1,0)</f>
        <v/>
      </c>
      <c r="J883" s="2" t="n"/>
    </row>
    <row r="884">
      <c r="A884" s="2" t="inlineStr">
        <is>
          <t>IMP00877</t>
        </is>
      </c>
      <c r="B884" s="2" t="n">
        <v>7</v>
      </c>
      <c r="C884" s="19" t="n">
        <v>0.966</v>
      </c>
      <c r="D884" s="29" t="n">
        <v>0</v>
      </c>
      <c r="E884" s="2" t="n">
        <v>1</v>
      </c>
      <c r="F884" s="2" t="n">
        <v>0</v>
      </c>
      <c r="G884" s="2" t="n">
        <v>0</v>
      </c>
      <c r="H884" s="30">
        <f>IF(AND(B884&gt;=5,C884&lt;&gt;"",C884&lt;0.8),1,0)</f>
        <v/>
      </c>
      <c r="I884" s="30">
        <f>IF(AND(B884&gt;=8,D884&lt;&gt;"",D884&gt;=0.25,D884&lt;=0.75),1,0)</f>
        <v/>
      </c>
      <c r="J884" s="2" t="n"/>
    </row>
    <row r="885">
      <c r="A885" s="2" t="inlineStr">
        <is>
          <t>IMP00878</t>
        </is>
      </c>
      <c r="B885" s="2" t="n">
        <v>45</v>
      </c>
      <c r="C885" s="19" t="n">
        <v>1.111</v>
      </c>
      <c r="D885" s="29" t="n">
        <v>0.0222</v>
      </c>
      <c r="E885" s="2" t="n">
        <v>1</v>
      </c>
      <c r="F885" s="2" t="n">
        <v>0</v>
      </c>
      <c r="G885" s="2" t="n">
        <v>0</v>
      </c>
      <c r="H885" s="30">
        <f>IF(AND(B885&gt;=5,C885&lt;&gt;"",C885&lt;0.8),1,0)</f>
        <v/>
      </c>
      <c r="I885" s="30">
        <f>IF(AND(B885&gt;=8,D885&lt;&gt;"",D885&gt;=0.25,D885&lt;=0.75),1,0)</f>
        <v/>
      </c>
      <c r="J885" s="2" t="n"/>
    </row>
    <row r="886">
      <c r="A886" s="2" t="inlineStr">
        <is>
          <t>IMP00879</t>
        </is>
      </c>
      <c r="B886" s="2" t="n">
        <v>67</v>
      </c>
      <c r="C886" s="19" t="n">
        <v>1.042</v>
      </c>
      <c r="D886" s="29" t="n">
        <v>0.1045</v>
      </c>
      <c r="E886" s="2" t="n">
        <v>1</v>
      </c>
      <c r="F886" s="2" t="n">
        <v>0</v>
      </c>
      <c r="G886" s="2" t="n">
        <v>0</v>
      </c>
      <c r="H886" s="30">
        <f>IF(AND(B886&gt;=5,C886&lt;&gt;"",C886&lt;0.8),1,0)</f>
        <v/>
      </c>
      <c r="I886" s="30">
        <f>IF(AND(B886&gt;=8,D886&lt;&gt;"",D886&gt;=0.25,D886&lt;=0.75),1,0)</f>
        <v/>
      </c>
      <c r="J886" s="2" t="n"/>
    </row>
    <row r="887">
      <c r="A887" s="2" t="inlineStr">
        <is>
          <t>IMP00880</t>
        </is>
      </c>
      <c r="B887" s="2" t="n">
        <v>43</v>
      </c>
      <c r="C887" s="19" t="n">
        <v>0.9065</v>
      </c>
      <c r="D887" s="29" t="n">
        <v>0.0698</v>
      </c>
      <c r="E887" s="2" t="n">
        <v>2</v>
      </c>
      <c r="F887" s="2" t="n">
        <v>0</v>
      </c>
      <c r="G887" s="2" t="n">
        <v>0</v>
      </c>
      <c r="H887" s="30">
        <f>IF(AND(B887&gt;=5,C887&lt;&gt;"",C887&lt;0.8),1,0)</f>
        <v/>
      </c>
      <c r="I887" s="30">
        <f>IF(AND(B887&gt;=8,D887&lt;&gt;"",D887&gt;=0.25,D887&lt;=0.75),1,0)</f>
        <v/>
      </c>
      <c r="J887" s="2" t="n"/>
    </row>
    <row r="888">
      <c r="A888" s="2" t="inlineStr">
        <is>
          <t>IMP00881</t>
        </is>
      </c>
      <c r="B888" s="2" t="n">
        <v>1</v>
      </c>
      <c r="C888" s="19" t="n">
        <v>1.186</v>
      </c>
      <c r="D888" s="29" t="n">
        <v>0</v>
      </c>
      <c r="E888" s="2" t="n">
        <v>1</v>
      </c>
      <c r="F888" s="2" t="n">
        <v>0</v>
      </c>
      <c r="G888" s="2" t="n">
        <v>0</v>
      </c>
      <c r="H888" s="30">
        <f>IF(AND(B888&gt;=5,C888&lt;&gt;"",C888&lt;0.8),1,0)</f>
        <v/>
      </c>
      <c r="I888" s="30">
        <f>IF(AND(B888&gt;=8,D888&lt;&gt;"",D888&gt;=0.25,D888&lt;=0.75),1,0)</f>
        <v/>
      </c>
      <c r="J888" s="2" t="n"/>
    </row>
    <row r="889">
      <c r="A889" s="2" t="inlineStr">
        <is>
          <t>IMP00882</t>
        </is>
      </c>
      <c r="B889" s="2" t="n">
        <v>28</v>
      </c>
      <c r="C889" s="19" t="n">
        <v>1.053</v>
      </c>
      <c r="D889" s="29" t="n">
        <v>0</v>
      </c>
      <c r="E889" s="2" t="n">
        <v>2</v>
      </c>
      <c r="F889" s="2" t="n">
        <v>0</v>
      </c>
      <c r="G889" s="2" t="n">
        <v>0</v>
      </c>
      <c r="H889" s="30">
        <f>IF(AND(B889&gt;=5,C889&lt;&gt;"",C889&lt;0.8),1,0)</f>
        <v/>
      </c>
      <c r="I889" s="30">
        <f>IF(AND(B889&gt;=8,D889&lt;&gt;"",D889&gt;=0.25,D889&lt;=0.75),1,0)</f>
        <v/>
      </c>
      <c r="J889" s="2" t="n"/>
    </row>
    <row r="890">
      <c r="A890" s="2" t="inlineStr">
        <is>
          <t>IMP00883</t>
        </is>
      </c>
      <c r="B890" s="2" t="n">
        <v>1</v>
      </c>
      <c r="C890" s="19" t="n">
        <v>1.12</v>
      </c>
      <c r="D890" s="29" t="n">
        <v>0</v>
      </c>
      <c r="E890" s="2" t="n">
        <v>2</v>
      </c>
      <c r="F890" s="2" t="n">
        <v>0</v>
      </c>
      <c r="G890" s="2" t="n">
        <v>0</v>
      </c>
      <c r="H890" s="30">
        <f>IF(AND(B890&gt;=5,C890&lt;&gt;"",C890&lt;0.8),1,0)</f>
        <v/>
      </c>
      <c r="I890" s="30">
        <f>IF(AND(B890&gt;=8,D890&lt;&gt;"",D890&gt;=0.25,D890&lt;=0.75),1,0)</f>
        <v/>
      </c>
      <c r="J890" s="2" t="n"/>
    </row>
    <row r="891">
      <c r="A891" s="2" t="inlineStr">
        <is>
          <t>IMP00884</t>
        </is>
      </c>
      <c r="B891" s="2" t="n">
        <v>0</v>
      </c>
      <c r="C891" s="19" t="n"/>
      <c r="D891" s="29" t="n"/>
      <c r="E891" s="2" t="n">
        <v>0</v>
      </c>
      <c r="F891" s="2" t="n">
        <v>0</v>
      </c>
      <c r="G891" s="2" t="n">
        <v>0</v>
      </c>
      <c r="H891" s="30">
        <f>IF(AND(B891&gt;=5,C891&lt;&gt;"",C891&lt;0.8),1,0)</f>
        <v/>
      </c>
      <c r="I891" s="30">
        <f>IF(AND(B891&gt;=8,D891&lt;&gt;"",D891&gt;=0.25,D891&lt;=0.75),1,0)</f>
        <v/>
      </c>
      <c r="J891" s="2" t="n"/>
    </row>
    <row r="892">
      <c r="A892" s="2" t="inlineStr">
        <is>
          <t>IMP00885</t>
        </is>
      </c>
      <c r="B892" s="2" t="n">
        <v>8</v>
      </c>
      <c r="C892" s="19" t="n">
        <v>1.052</v>
      </c>
      <c r="D892" s="29" t="n">
        <v>0.125</v>
      </c>
      <c r="E892" s="2" t="n">
        <v>1</v>
      </c>
      <c r="F892" s="2" t="n">
        <v>0</v>
      </c>
      <c r="G892" s="2" t="n">
        <v>0</v>
      </c>
      <c r="H892" s="30">
        <f>IF(AND(B892&gt;=5,C892&lt;&gt;"",C892&lt;0.8),1,0)</f>
        <v/>
      </c>
      <c r="I892" s="30">
        <f>IF(AND(B892&gt;=8,D892&lt;&gt;"",D892&gt;=0.25,D892&lt;=0.75),1,0)</f>
        <v/>
      </c>
      <c r="J892" s="2" t="n"/>
    </row>
    <row r="893">
      <c r="A893" s="2" t="inlineStr">
        <is>
          <t>IMP00886</t>
        </is>
      </c>
      <c r="B893" s="2" t="n">
        <v>5</v>
      </c>
      <c r="C893" s="19" t="n">
        <v>1.016</v>
      </c>
      <c r="D893" s="29" t="n">
        <v>0.2</v>
      </c>
      <c r="E893" s="2" t="n">
        <v>1</v>
      </c>
      <c r="F893" s="2" t="n">
        <v>0</v>
      </c>
      <c r="G893" s="2" t="n">
        <v>0</v>
      </c>
      <c r="H893" s="30">
        <f>IF(AND(B893&gt;=5,C893&lt;&gt;"",C893&lt;0.8),1,0)</f>
        <v/>
      </c>
      <c r="I893" s="30">
        <f>IF(AND(B893&gt;=8,D893&lt;&gt;"",D893&gt;=0.25,D893&lt;=0.75),1,0)</f>
        <v/>
      </c>
      <c r="J893" s="2" t="n"/>
    </row>
    <row r="894">
      <c r="A894" s="2" t="inlineStr">
        <is>
          <t>IMP00887</t>
        </is>
      </c>
      <c r="B894" s="2" t="n">
        <v>78</v>
      </c>
      <c r="C894" s="19" t="n">
        <v>0.991</v>
      </c>
      <c r="D894" s="29" t="n">
        <v>0.0128</v>
      </c>
      <c r="E894" s="2" t="n">
        <v>3</v>
      </c>
      <c r="F894" s="2" t="n">
        <v>0</v>
      </c>
      <c r="G894" s="2" t="n">
        <v>0</v>
      </c>
      <c r="H894" s="30">
        <f>IF(AND(B894&gt;=5,C894&lt;&gt;"",C894&lt;0.8),1,0)</f>
        <v/>
      </c>
      <c r="I894" s="30">
        <f>IF(AND(B894&gt;=8,D894&lt;&gt;"",D894&gt;=0.25,D894&lt;=0.75),1,0)</f>
        <v/>
      </c>
      <c r="J894" s="2" t="n"/>
    </row>
    <row r="895">
      <c r="A895" s="2" t="inlineStr">
        <is>
          <t>IMP00888</t>
        </is>
      </c>
      <c r="B895" s="2" t="n">
        <v>48</v>
      </c>
      <c r="C895" s="19" t="n">
        <v>0.9025</v>
      </c>
      <c r="D895" s="29" t="n">
        <v>0.0417</v>
      </c>
      <c r="E895" s="2" t="n">
        <v>1</v>
      </c>
      <c r="F895" s="2" t="n">
        <v>0</v>
      </c>
      <c r="G895" s="2" t="n">
        <v>0</v>
      </c>
      <c r="H895" s="30">
        <f>IF(AND(B895&gt;=5,C895&lt;&gt;"",C895&lt;0.8),1,0)</f>
        <v/>
      </c>
      <c r="I895" s="30">
        <f>IF(AND(B895&gt;=8,D895&lt;&gt;"",D895&gt;=0.25,D895&lt;=0.75),1,0)</f>
        <v/>
      </c>
      <c r="J895" s="2" t="n"/>
    </row>
    <row r="896">
      <c r="A896" s="2" t="inlineStr">
        <is>
          <t>IMP00889</t>
        </is>
      </c>
      <c r="B896" s="2" t="n">
        <v>152</v>
      </c>
      <c r="C896" s="19" t="n">
        <v>1.024</v>
      </c>
      <c r="D896" s="29" t="n">
        <v>0.07240000000000001</v>
      </c>
      <c r="E896" s="2" t="n">
        <v>2</v>
      </c>
      <c r="F896" s="2" t="n">
        <v>0</v>
      </c>
      <c r="G896" s="2" t="n">
        <v>0</v>
      </c>
      <c r="H896" s="30">
        <f>IF(AND(B896&gt;=5,C896&lt;&gt;"",C896&lt;0.8),1,0)</f>
        <v/>
      </c>
      <c r="I896" s="30">
        <f>IF(AND(B896&gt;=8,D896&lt;&gt;"",D896&gt;=0.25,D896&lt;=0.75),1,0)</f>
        <v/>
      </c>
      <c r="J896" s="2" t="n"/>
    </row>
    <row r="897">
      <c r="A897" s="2" t="inlineStr">
        <is>
          <t>IMP00890</t>
        </is>
      </c>
      <c r="B897" s="2" t="n">
        <v>5</v>
      </c>
      <c r="C897" s="19" t="n">
        <v>0.8905</v>
      </c>
      <c r="D897" s="29" t="n">
        <v>0</v>
      </c>
      <c r="E897" s="2" t="n">
        <v>1</v>
      </c>
      <c r="F897" s="2" t="n">
        <v>0</v>
      </c>
      <c r="G897" s="2" t="n">
        <v>0</v>
      </c>
      <c r="H897" s="30">
        <f>IF(AND(B897&gt;=5,C897&lt;&gt;"",C897&lt;0.8),1,0)</f>
        <v/>
      </c>
      <c r="I897" s="30">
        <f>IF(AND(B897&gt;=8,D897&lt;&gt;"",D897&gt;=0.25,D897&lt;=0.75),1,0)</f>
        <v/>
      </c>
      <c r="J897" s="2" t="n"/>
    </row>
    <row r="898">
      <c r="A898" s="2" t="inlineStr">
        <is>
          <t>IMP00891</t>
        </is>
      </c>
      <c r="B898" s="2" t="n">
        <v>0</v>
      </c>
      <c r="C898" s="19" t="n"/>
      <c r="D898" s="29" t="n"/>
      <c r="E898" s="2" t="n">
        <v>0</v>
      </c>
      <c r="F898" s="2" t="n">
        <v>0</v>
      </c>
      <c r="G898" s="2" t="n">
        <v>0</v>
      </c>
      <c r="H898" s="30">
        <f>IF(AND(B898&gt;=5,C898&lt;&gt;"",C898&lt;0.8),1,0)</f>
        <v/>
      </c>
      <c r="I898" s="30">
        <f>IF(AND(B898&gt;=8,D898&lt;&gt;"",D898&gt;=0.25,D898&lt;=0.75),1,0)</f>
        <v/>
      </c>
      <c r="J898" s="2" t="n"/>
    </row>
    <row r="899">
      <c r="A899" s="2" t="inlineStr">
        <is>
          <t>IMP00892</t>
        </is>
      </c>
      <c r="B899" s="2" t="n">
        <v>542</v>
      </c>
      <c r="C899" s="19" t="n">
        <v>0.9875</v>
      </c>
      <c r="D899" s="29" t="n">
        <v>0.0314</v>
      </c>
      <c r="E899" s="2" t="n">
        <v>1</v>
      </c>
      <c r="F899" s="2" t="n">
        <v>0</v>
      </c>
      <c r="G899" s="2" t="n">
        <v>0</v>
      </c>
      <c r="H899" s="30">
        <f>IF(AND(B899&gt;=5,C899&lt;&gt;"",C899&lt;0.8),1,0)</f>
        <v/>
      </c>
      <c r="I899" s="30">
        <f>IF(AND(B899&gt;=8,D899&lt;&gt;"",D899&gt;=0.25,D899&lt;=0.75),1,0)</f>
        <v/>
      </c>
      <c r="J899" s="2" t="n"/>
    </row>
    <row r="900">
      <c r="A900" s="2" t="inlineStr">
        <is>
          <t>IMP00893</t>
        </is>
      </c>
      <c r="B900" s="2" t="n">
        <v>5</v>
      </c>
      <c r="C900" s="19" t="n">
        <v>0.877</v>
      </c>
      <c r="D900" s="29" t="n">
        <v>0.4</v>
      </c>
      <c r="E900" s="2" t="n">
        <v>1</v>
      </c>
      <c r="F900" s="2" t="n">
        <v>0</v>
      </c>
      <c r="G900" s="2" t="n">
        <v>0</v>
      </c>
      <c r="H900" s="30">
        <f>IF(AND(B900&gt;=5,C900&lt;&gt;"",C900&lt;0.8),1,0)</f>
        <v/>
      </c>
      <c r="I900" s="30">
        <f>IF(AND(B900&gt;=8,D900&lt;&gt;"",D900&gt;=0.25,D900&lt;=0.75),1,0)</f>
        <v/>
      </c>
      <c r="J900" s="2" t="n"/>
    </row>
    <row r="901">
      <c r="A901" s="2" t="inlineStr">
        <is>
          <t>IMP00894</t>
        </is>
      </c>
      <c r="B901" s="2" t="n">
        <v>1</v>
      </c>
      <c r="C901" s="19" t="n">
        <v>1.186</v>
      </c>
      <c r="D901" s="29" t="n">
        <v>0</v>
      </c>
      <c r="E901" s="2" t="n">
        <v>1</v>
      </c>
      <c r="F901" s="2" t="n">
        <v>0</v>
      </c>
      <c r="G901" s="2" t="n">
        <v>0</v>
      </c>
      <c r="H901" s="30">
        <f>IF(AND(B901&gt;=5,C901&lt;&gt;"",C901&lt;0.8),1,0)</f>
        <v/>
      </c>
      <c r="I901" s="30">
        <f>IF(AND(B901&gt;=8,D901&lt;&gt;"",D901&gt;=0.25,D901&lt;=0.75),1,0)</f>
        <v/>
      </c>
      <c r="J901" s="2" t="n"/>
    </row>
    <row r="902">
      <c r="A902" s="2" t="inlineStr">
        <is>
          <t>IMP00895</t>
        </is>
      </c>
      <c r="B902" s="2" t="n">
        <v>27</v>
      </c>
      <c r="C902" s="19" t="n">
        <v>0.927</v>
      </c>
      <c r="D902" s="29" t="n">
        <v>0.1481</v>
      </c>
      <c r="E902" s="2" t="n">
        <v>2</v>
      </c>
      <c r="F902" s="2" t="n">
        <v>0</v>
      </c>
      <c r="G902" s="2" t="n">
        <v>0</v>
      </c>
      <c r="H902" s="30">
        <f>IF(AND(B902&gt;=5,C902&lt;&gt;"",C902&lt;0.8),1,0)</f>
        <v/>
      </c>
      <c r="I902" s="30">
        <f>IF(AND(B902&gt;=8,D902&lt;&gt;"",D902&gt;=0.25,D902&lt;=0.75),1,0)</f>
        <v/>
      </c>
      <c r="J902" s="2" t="n"/>
    </row>
    <row r="903">
      <c r="A903" s="2" t="inlineStr">
        <is>
          <t>IMP00896</t>
        </is>
      </c>
      <c r="B903" s="2" t="n">
        <v>111</v>
      </c>
      <c r="C903" s="19" t="n">
        <v>1.334</v>
      </c>
      <c r="D903" s="29" t="n">
        <v>0</v>
      </c>
      <c r="E903" s="2" t="n">
        <v>1</v>
      </c>
      <c r="F903" s="2" t="n">
        <v>0</v>
      </c>
      <c r="G903" s="2" t="n">
        <v>0</v>
      </c>
      <c r="H903" s="30">
        <f>IF(AND(B903&gt;=5,C903&lt;&gt;"",C903&lt;0.8),1,0)</f>
        <v/>
      </c>
      <c r="I903" s="30">
        <f>IF(AND(B903&gt;=8,D903&lt;&gt;"",D903&gt;=0.25,D903&lt;=0.75),1,0)</f>
        <v/>
      </c>
      <c r="J903" s="2" t="n"/>
    </row>
    <row r="904">
      <c r="A904" s="2" t="inlineStr">
        <is>
          <t>IMP00897</t>
        </is>
      </c>
      <c r="B904" s="2" t="n">
        <v>2446</v>
      </c>
      <c r="C904" s="19" t="n">
        <v>1.003</v>
      </c>
      <c r="D904" s="29" t="n">
        <v>0.1108</v>
      </c>
      <c r="E904" s="2" t="n">
        <v>1</v>
      </c>
      <c r="F904" s="2" t="n">
        <v>0</v>
      </c>
      <c r="G904" s="2" t="n">
        <v>0</v>
      </c>
      <c r="H904" s="30">
        <f>IF(AND(B904&gt;=5,C904&lt;&gt;"",C904&lt;0.8),1,0)</f>
        <v/>
      </c>
      <c r="I904" s="30">
        <f>IF(AND(B904&gt;=8,D904&lt;&gt;"",D904&gt;=0.25,D904&lt;=0.75),1,0)</f>
        <v/>
      </c>
      <c r="J904" s="2" t="n"/>
    </row>
    <row r="905">
      <c r="A905" s="2" t="inlineStr">
        <is>
          <t>IMP00898</t>
        </is>
      </c>
      <c r="B905" s="2" t="n">
        <v>75</v>
      </c>
      <c r="C905" s="19" t="n">
        <v>0.9409999999999999</v>
      </c>
      <c r="D905" s="29" t="n">
        <v>0.0533</v>
      </c>
      <c r="E905" s="2" t="n">
        <v>2</v>
      </c>
      <c r="F905" s="2" t="n">
        <v>0</v>
      </c>
      <c r="G905" s="2" t="n">
        <v>0</v>
      </c>
      <c r="H905" s="30">
        <f>IF(AND(B905&gt;=5,C905&lt;&gt;"",C905&lt;0.8),1,0)</f>
        <v/>
      </c>
      <c r="I905" s="30">
        <f>IF(AND(B905&gt;=8,D905&lt;&gt;"",D905&gt;=0.25,D905&lt;=0.75),1,0)</f>
        <v/>
      </c>
      <c r="J905" s="2" t="n"/>
    </row>
    <row r="906">
      <c r="A906" s="2" t="inlineStr">
        <is>
          <t>IMP00899</t>
        </is>
      </c>
      <c r="B906" s="2" t="n">
        <v>92</v>
      </c>
      <c r="C906" s="19" t="n">
        <v>1.03</v>
      </c>
      <c r="D906" s="29" t="n">
        <v>0.0761</v>
      </c>
      <c r="E906" s="2" t="n">
        <v>1</v>
      </c>
      <c r="F906" s="2" t="n">
        <v>0</v>
      </c>
      <c r="G906" s="2" t="n">
        <v>0</v>
      </c>
      <c r="H906" s="30">
        <f>IF(AND(B906&gt;=5,C906&lt;&gt;"",C906&lt;0.8),1,0)</f>
        <v/>
      </c>
      <c r="I906" s="30">
        <f>IF(AND(B906&gt;=8,D906&lt;&gt;"",D906&gt;=0.25,D906&lt;=0.75),1,0)</f>
        <v/>
      </c>
      <c r="J906" s="2" t="n"/>
    </row>
    <row r="907">
      <c r="A907" s="2" t="inlineStr">
        <is>
          <t>IMP00900</t>
        </is>
      </c>
      <c r="B907" s="2" t="n">
        <v>19</v>
      </c>
      <c r="C907" s="19" t="n">
        <v>0.773</v>
      </c>
      <c r="D907" s="29" t="n">
        <v>0.3158</v>
      </c>
      <c r="E907" s="2" t="n">
        <v>1</v>
      </c>
      <c r="F907" s="2" t="n">
        <v>1</v>
      </c>
      <c r="G907" s="2" t="n">
        <v>1</v>
      </c>
      <c r="H907" s="30">
        <f>IF(AND(B907&gt;=5,C907&lt;&gt;"",C907&lt;0.8),1,0)</f>
        <v/>
      </c>
      <c r="I907" s="30">
        <f>IF(AND(B907&gt;=8,D907&lt;&gt;"",D907&gt;=0.25,D907&lt;=0.75),1,0)</f>
        <v/>
      </c>
      <c r="J907" s="2" t="n"/>
    </row>
    <row r="908">
      <c r="A908" s="2" t="inlineStr">
        <is>
          <t>IMP00901</t>
        </is>
      </c>
      <c r="B908" s="2" t="n">
        <v>3</v>
      </c>
      <c r="C908" s="19" t="n">
        <v>1.412</v>
      </c>
      <c r="D908" s="29" t="n">
        <v>0</v>
      </c>
      <c r="E908" s="2" t="n">
        <v>13</v>
      </c>
      <c r="F908" s="2" t="n">
        <v>0</v>
      </c>
      <c r="G908" s="2" t="n">
        <v>0</v>
      </c>
      <c r="H908" s="30">
        <f>IF(AND(B908&gt;=5,C908&lt;&gt;"",C908&lt;0.8),1,0)</f>
        <v/>
      </c>
      <c r="I908" s="30">
        <f>IF(AND(B908&gt;=8,D908&lt;&gt;"",D908&gt;=0.25,D908&lt;=0.75),1,0)</f>
        <v/>
      </c>
      <c r="J908" s="2" t="n"/>
    </row>
    <row r="909">
      <c r="A909" s="2" t="inlineStr">
        <is>
          <t>IMP00902</t>
        </is>
      </c>
      <c r="B909" s="2" t="n">
        <v>32</v>
      </c>
      <c r="C909" s="19" t="n">
        <v>0.948</v>
      </c>
      <c r="D909" s="29" t="n">
        <v>0</v>
      </c>
      <c r="E909" s="2" t="n">
        <v>1</v>
      </c>
      <c r="F909" s="2" t="n">
        <v>0</v>
      </c>
      <c r="G909" s="2" t="n">
        <v>0</v>
      </c>
      <c r="H909" s="30">
        <f>IF(AND(B909&gt;=5,C909&lt;&gt;"",C909&lt;0.8),1,0)</f>
        <v/>
      </c>
      <c r="I909" s="30">
        <f>IF(AND(B909&gt;=8,D909&lt;&gt;"",D909&gt;=0.25,D909&lt;=0.75),1,0)</f>
        <v/>
      </c>
      <c r="J909" s="2" t="n"/>
    </row>
    <row r="910">
      <c r="A910" s="2" t="inlineStr">
        <is>
          <t>IMP00903</t>
        </is>
      </c>
      <c r="B910" s="2" t="n">
        <v>22</v>
      </c>
      <c r="C910" s="19" t="n">
        <v>1.0035</v>
      </c>
      <c r="D910" s="29" t="n">
        <v>0</v>
      </c>
      <c r="E910" s="2" t="n">
        <v>2</v>
      </c>
      <c r="F910" s="2" t="n">
        <v>0</v>
      </c>
      <c r="G910" s="2" t="n">
        <v>0</v>
      </c>
      <c r="H910" s="30">
        <f>IF(AND(B910&gt;=5,C910&lt;&gt;"",C910&lt;0.8),1,0)</f>
        <v/>
      </c>
      <c r="I910" s="30">
        <f>IF(AND(B910&gt;=8,D910&lt;&gt;"",D910&gt;=0.25,D910&lt;=0.75),1,0)</f>
        <v/>
      </c>
      <c r="J910" s="2" t="n"/>
    </row>
    <row r="911">
      <c r="A911" s="2" t="inlineStr">
        <is>
          <t>IMP00904</t>
        </is>
      </c>
      <c r="B911" s="2" t="n">
        <v>59</v>
      </c>
      <c r="C911" s="19" t="n">
        <v>0.744</v>
      </c>
      <c r="D911" s="29" t="n">
        <v>0.5254</v>
      </c>
      <c r="E911" s="2" t="n">
        <v>1</v>
      </c>
      <c r="F911" s="2" t="n">
        <v>1</v>
      </c>
      <c r="G911" s="2" t="n">
        <v>1</v>
      </c>
      <c r="H911" s="30">
        <f>IF(AND(B911&gt;=5,C911&lt;&gt;"",C911&lt;0.8),1,0)</f>
        <v/>
      </c>
      <c r="I911" s="30">
        <f>IF(AND(B911&gt;=8,D911&lt;&gt;"",D911&gt;=0.25,D911&lt;=0.75),1,0)</f>
        <v/>
      </c>
      <c r="J911" s="2" t="n"/>
    </row>
    <row r="912">
      <c r="A912" s="2" t="inlineStr">
        <is>
          <t>IMP00905</t>
        </is>
      </c>
      <c r="B912" s="2" t="n">
        <v>351</v>
      </c>
      <c r="C912" s="19" t="n">
        <v>0.997</v>
      </c>
      <c r="D912" s="29" t="n">
        <v>0.0057</v>
      </c>
      <c r="E912" s="2" t="n">
        <v>2</v>
      </c>
      <c r="F912" s="2" t="n">
        <v>0</v>
      </c>
      <c r="G912" s="2" t="n">
        <v>0</v>
      </c>
      <c r="H912" s="30">
        <f>IF(AND(B912&gt;=5,C912&lt;&gt;"",C912&lt;0.8),1,0)</f>
        <v/>
      </c>
      <c r="I912" s="30">
        <f>IF(AND(B912&gt;=8,D912&lt;&gt;"",D912&gt;=0.25,D912&lt;=0.75),1,0)</f>
        <v/>
      </c>
      <c r="J912" s="2" t="n"/>
    </row>
    <row r="913">
      <c r="A913" s="2" t="inlineStr">
        <is>
          <t>IMP00906</t>
        </is>
      </c>
      <c r="B913" s="2" t="n">
        <v>30</v>
      </c>
      <c r="C913" s="19" t="n">
        <v>0.915</v>
      </c>
      <c r="D913" s="29" t="n">
        <v>0.0333</v>
      </c>
      <c r="E913" s="2" t="n">
        <v>1</v>
      </c>
      <c r="F913" s="2" t="n">
        <v>0</v>
      </c>
      <c r="G913" s="2" t="n">
        <v>0</v>
      </c>
      <c r="H913" s="30">
        <f>IF(AND(B913&gt;=5,C913&lt;&gt;"",C913&lt;0.8),1,0)</f>
        <v/>
      </c>
      <c r="I913" s="30">
        <f>IF(AND(B913&gt;=8,D913&lt;&gt;"",D913&gt;=0.25,D913&lt;=0.75),1,0)</f>
        <v/>
      </c>
      <c r="J913" s="2" t="n"/>
    </row>
    <row r="914">
      <c r="A914" s="2" t="inlineStr">
        <is>
          <t>IMP00907</t>
        </is>
      </c>
      <c r="B914" s="2" t="n">
        <v>17</v>
      </c>
      <c r="C914" s="19" t="n">
        <v>1.276</v>
      </c>
      <c r="D914" s="29" t="n">
        <v>0</v>
      </c>
      <c r="E914" s="2" t="n">
        <v>2</v>
      </c>
      <c r="F914" s="2" t="n">
        <v>0</v>
      </c>
      <c r="G914" s="2" t="n">
        <v>0</v>
      </c>
      <c r="H914" s="30">
        <f>IF(AND(B914&gt;=5,C914&lt;&gt;"",C914&lt;0.8),1,0)</f>
        <v/>
      </c>
      <c r="I914" s="30">
        <f>IF(AND(B914&gt;=8,D914&lt;&gt;"",D914&gt;=0.25,D914&lt;=0.75),1,0)</f>
        <v/>
      </c>
      <c r="J914" s="2" t="n"/>
    </row>
    <row r="915">
      <c r="A915" s="2" t="inlineStr">
        <is>
          <t>IMP00908</t>
        </is>
      </c>
      <c r="B915" s="2" t="n">
        <v>9</v>
      </c>
      <c r="C915" s="19" t="n">
        <v>1.079</v>
      </c>
      <c r="D915" s="29" t="n">
        <v>0</v>
      </c>
      <c r="E915" s="2" t="n">
        <v>1</v>
      </c>
      <c r="F915" s="2" t="n">
        <v>0</v>
      </c>
      <c r="G915" s="2" t="n">
        <v>0</v>
      </c>
      <c r="H915" s="30">
        <f>IF(AND(B915&gt;=5,C915&lt;&gt;"",C915&lt;0.8),1,0)</f>
        <v/>
      </c>
      <c r="I915" s="30">
        <f>IF(AND(B915&gt;=8,D915&lt;&gt;"",D915&gt;=0.25,D915&lt;=0.75),1,0)</f>
        <v/>
      </c>
      <c r="J915" s="2" t="n"/>
    </row>
    <row r="916">
      <c r="A916" s="2" t="inlineStr">
        <is>
          <t>IMP00909</t>
        </is>
      </c>
      <c r="B916" s="2" t="n">
        <v>29</v>
      </c>
      <c r="C916" s="19" t="n">
        <v>0.95</v>
      </c>
      <c r="D916" s="29" t="n">
        <v>0.1724</v>
      </c>
      <c r="E916" s="2" t="n">
        <v>1</v>
      </c>
      <c r="F916" s="2" t="n">
        <v>0</v>
      </c>
      <c r="G916" s="2" t="n">
        <v>0</v>
      </c>
      <c r="H916" s="30">
        <f>IF(AND(B916&gt;=5,C916&lt;&gt;"",C916&lt;0.8),1,0)</f>
        <v/>
      </c>
      <c r="I916" s="30">
        <f>IF(AND(B916&gt;=8,D916&lt;&gt;"",D916&gt;=0.25,D916&lt;=0.75),1,0)</f>
        <v/>
      </c>
      <c r="J916" s="2" t="n"/>
    </row>
    <row r="917">
      <c r="A917" s="2" t="inlineStr">
        <is>
          <t>IMP00910</t>
        </is>
      </c>
      <c r="B917" s="2" t="n">
        <v>21</v>
      </c>
      <c r="C917" s="19" t="n">
        <v>0.971</v>
      </c>
      <c r="D917" s="29" t="n">
        <v>0.09520000000000001</v>
      </c>
      <c r="E917" s="2" t="n">
        <v>2</v>
      </c>
      <c r="F917" s="2" t="n">
        <v>0</v>
      </c>
      <c r="G917" s="2" t="n">
        <v>0</v>
      </c>
      <c r="H917" s="30">
        <f>IF(AND(B917&gt;=5,C917&lt;&gt;"",C917&lt;0.8),1,0)</f>
        <v/>
      </c>
      <c r="I917" s="30">
        <f>IF(AND(B917&gt;=8,D917&lt;&gt;"",D917&gt;=0.25,D917&lt;=0.75),1,0)</f>
        <v/>
      </c>
      <c r="J917" s="2" t="n"/>
    </row>
    <row r="918">
      <c r="A918" s="2" t="inlineStr">
        <is>
          <t>IMP00911</t>
        </is>
      </c>
      <c r="B918" s="2" t="n">
        <v>0</v>
      </c>
      <c r="C918" s="19" t="n"/>
      <c r="D918" s="29" t="n"/>
      <c r="E918" s="2" t="n">
        <v>0</v>
      </c>
      <c r="F918" s="2" t="n">
        <v>0</v>
      </c>
      <c r="G918" s="2" t="n">
        <v>0</v>
      </c>
      <c r="H918" s="30">
        <f>IF(AND(B918&gt;=5,C918&lt;&gt;"",C918&lt;0.8),1,0)</f>
        <v/>
      </c>
      <c r="I918" s="30">
        <f>IF(AND(B918&gt;=8,D918&lt;&gt;"",D918&gt;=0.25,D918&lt;=0.75),1,0)</f>
        <v/>
      </c>
      <c r="J918" s="2" t="n"/>
    </row>
    <row r="919">
      <c r="A919" s="2" t="inlineStr">
        <is>
          <t>IMP00912</t>
        </is>
      </c>
      <c r="B919" s="2" t="n">
        <v>5</v>
      </c>
      <c r="C919" s="19" t="n">
        <v>1.378</v>
      </c>
      <c r="D919" s="29" t="n">
        <v>0</v>
      </c>
      <c r="E919" s="2" t="n">
        <v>2</v>
      </c>
      <c r="F919" s="2" t="n">
        <v>0</v>
      </c>
      <c r="G919" s="2" t="n">
        <v>0</v>
      </c>
      <c r="H919" s="30">
        <f>IF(AND(B919&gt;=5,C919&lt;&gt;"",C919&lt;0.8),1,0)</f>
        <v/>
      </c>
      <c r="I919" s="30">
        <f>IF(AND(B919&gt;=8,D919&lt;&gt;"",D919&gt;=0.25,D919&lt;=0.75),1,0)</f>
        <v/>
      </c>
      <c r="J919" s="2" t="n"/>
    </row>
    <row r="920">
      <c r="A920" s="2" t="inlineStr">
        <is>
          <t>IMP00913</t>
        </is>
      </c>
      <c r="B920" s="2" t="n">
        <v>109</v>
      </c>
      <c r="C920" s="19" t="n">
        <v>1.035</v>
      </c>
      <c r="D920" s="29" t="n">
        <v>0.0367</v>
      </c>
      <c r="E920" s="2" t="n">
        <v>1</v>
      </c>
      <c r="F920" s="2" t="n">
        <v>0</v>
      </c>
      <c r="G920" s="2" t="n">
        <v>0</v>
      </c>
      <c r="H920" s="30">
        <f>IF(AND(B920&gt;=5,C920&lt;&gt;"",C920&lt;0.8),1,0)</f>
        <v/>
      </c>
      <c r="I920" s="30">
        <f>IF(AND(B920&gt;=8,D920&lt;&gt;"",D920&gt;=0.25,D920&lt;=0.75),1,0)</f>
        <v/>
      </c>
      <c r="J920" s="2" t="n"/>
    </row>
    <row r="921">
      <c r="A921" s="2" t="inlineStr">
        <is>
          <t>IMP00914</t>
        </is>
      </c>
      <c r="B921" s="2" t="n">
        <v>9</v>
      </c>
      <c r="C921" s="19" t="n">
        <v>0.782</v>
      </c>
      <c r="D921" s="29" t="n">
        <v>0.4444</v>
      </c>
      <c r="E921" s="2" t="n">
        <v>1</v>
      </c>
      <c r="F921" s="2" t="n">
        <v>1</v>
      </c>
      <c r="G921" s="2" t="n">
        <v>1</v>
      </c>
      <c r="H921" s="30">
        <f>IF(AND(B921&gt;=5,C921&lt;&gt;"",C921&lt;0.8),1,0)</f>
        <v/>
      </c>
      <c r="I921" s="30">
        <f>IF(AND(B921&gt;=8,D921&lt;&gt;"",D921&gt;=0.25,D921&lt;=0.75),1,0)</f>
        <v/>
      </c>
      <c r="J921" s="2" t="n"/>
    </row>
    <row r="922">
      <c r="A922" s="2" t="inlineStr">
        <is>
          <t>IMP00915</t>
        </is>
      </c>
      <c r="B922" s="2" t="n">
        <v>204</v>
      </c>
      <c r="C922" s="19" t="n">
        <v>0.9715</v>
      </c>
      <c r="D922" s="29" t="n">
        <v>0.0147</v>
      </c>
      <c r="E922" s="2" t="n">
        <v>1</v>
      </c>
      <c r="F922" s="2" t="n">
        <v>0</v>
      </c>
      <c r="G922" s="2" t="n">
        <v>0</v>
      </c>
      <c r="H922" s="30">
        <f>IF(AND(B922&gt;=5,C922&lt;&gt;"",C922&lt;0.8),1,0)</f>
        <v/>
      </c>
      <c r="I922" s="30">
        <f>IF(AND(B922&gt;=8,D922&lt;&gt;"",D922&gt;=0.25,D922&lt;=0.75),1,0)</f>
        <v/>
      </c>
      <c r="J922" s="2" t="n"/>
    </row>
    <row r="923">
      <c r="A923" s="2" t="inlineStr">
        <is>
          <t>IMP00916</t>
        </is>
      </c>
      <c r="B923" s="2" t="n">
        <v>2</v>
      </c>
      <c r="C923" s="19" t="n">
        <v>0.6405</v>
      </c>
      <c r="D923" s="29" t="n">
        <v>1</v>
      </c>
      <c r="E923" s="2" t="n">
        <v>4</v>
      </c>
      <c r="F923" s="2" t="n">
        <v>0</v>
      </c>
      <c r="G923" s="2" t="n">
        <v>0</v>
      </c>
      <c r="H923" s="30">
        <f>IF(AND(B923&gt;=5,C923&lt;&gt;"",C923&lt;0.8),1,0)</f>
        <v/>
      </c>
      <c r="I923" s="30">
        <f>IF(AND(B923&gt;=8,D923&lt;&gt;"",D923&gt;=0.25,D923&lt;=0.75),1,0)</f>
        <v/>
      </c>
      <c r="J923" s="2" t="n"/>
    </row>
    <row r="924">
      <c r="A924" s="2" t="inlineStr">
        <is>
          <t>IMP00917</t>
        </is>
      </c>
      <c r="B924" s="2" t="n">
        <v>0</v>
      </c>
      <c r="C924" s="19" t="n"/>
      <c r="D924" s="29" t="n"/>
      <c r="E924" s="2" t="n">
        <v>0</v>
      </c>
      <c r="F924" s="2" t="n">
        <v>0</v>
      </c>
      <c r="G924" s="2" t="n">
        <v>0</v>
      </c>
      <c r="H924" s="30">
        <f>IF(AND(B924&gt;=5,C924&lt;&gt;"",C924&lt;0.8),1,0)</f>
        <v/>
      </c>
      <c r="I924" s="30">
        <f>IF(AND(B924&gt;=8,D924&lt;&gt;"",D924&gt;=0.25,D924&lt;=0.75),1,0)</f>
        <v/>
      </c>
      <c r="J924" s="2" t="n"/>
    </row>
    <row r="925">
      <c r="A925" s="2" t="inlineStr">
        <is>
          <t>IMP00918</t>
        </is>
      </c>
      <c r="B925" s="2" t="n">
        <v>27</v>
      </c>
      <c r="C925" s="19" t="n">
        <v>0.889</v>
      </c>
      <c r="D925" s="29" t="n">
        <v>0.2222</v>
      </c>
      <c r="E925" s="2" t="n">
        <v>1</v>
      </c>
      <c r="F925" s="2" t="n">
        <v>0</v>
      </c>
      <c r="G925" s="2" t="n">
        <v>0</v>
      </c>
      <c r="H925" s="30">
        <f>IF(AND(B925&gt;=5,C925&lt;&gt;"",C925&lt;0.8),1,0)</f>
        <v/>
      </c>
      <c r="I925" s="30">
        <f>IF(AND(B925&gt;=8,D925&lt;&gt;"",D925&gt;=0.25,D925&lt;=0.75),1,0)</f>
        <v/>
      </c>
      <c r="J925" s="2" t="n"/>
    </row>
    <row r="926">
      <c r="A926" s="2" t="inlineStr">
        <is>
          <t>IMP00919</t>
        </is>
      </c>
      <c r="B926" s="2" t="n">
        <v>37</v>
      </c>
      <c r="C926" s="19" t="n">
        <v>1.117</v>
      </c>
      <c r="D926" s="29" t="n">
        <v>0</v>
      </c>
      <c r="E926" s="2" t="n">
        <v>1</v>
      </c>
      <c r="F926" s="2" t="n">
        <v>0</v>
      </c>
      <c r="G926" s="2" t="n">
        <v>0</v>
      </c>
      <c r="H926" s="30">
        <f>IF(AND(B926&gt;=5,C926&lt;&gt;"",C926&lt;0.8),1,0)</f>
        <v/>
      </c>
      <c r="I926" s="30">
        <f>IF(AND(B926&gt;=8,D926&lt;&gt;"",D926&gt;=0.25,D926&lt;=0.75),1,0)</f>
        <v/>
      </c>
      <c r="J926" s="2" t="n"/>
    </row>
    <row r="927">
      <c r="A927" s="2" t="inlineStr">
        <is>
          <t>IMP00920</t>
        </is>
      </c>
      <c r="B927" s="2" t="n">
        <v>0</v>
      </c>
      <c r="C927" s="19" t="n"/>
      <c r="D927" s="29" t="n"/>
      <c r="E927" s="2" t="n">
        <v>0</v>
      </c>
      <c r="F927" s="2" t="n">
        <v>0</v>
      </c>
      <c r="G927" s="2" t="n">
        <v>0</v>
      </c>
      <c r="H927" s="30">
        <f>IF(AND(B927&gt;=5,C927&lt;&gt;"",C927&lt;0.8),1,0)</f>
        <v/>
      </c>
      <c r="I927" s="30">
        <f>IF(AND(B927&gt;=8,D927&lt;&gt;"",D927&gt;=0.25,D927&lt;=0.75),1,0)</f>
        <v/>
      </c>
      <c r="J927" s="2" t="n"/>
    </row>
    <row r="928">
      <c r="A928" s="2" t="inlineStr">
        <is>
          <t>IMP00921</t>
        </is>
      </c>
      <c r="B928" s="2" t="n">
        <v>78</v>
      </c>
      <c r="C928" s="19" t="n">
        <v>0.791</v>
      </c>
      <c r="D928" s="29" t="n">
        <v>0.2436</v>
      </c>
      <c r="E928" s="2" t="n">
        <v>1</v>
      </c>
      <c r="F928" s="2" t="n">
        <v>1</v>
      </c>
      <c r="G928" s="2" t="n">
        <v>0</v>
      </c>
      <c r="H928" s="30">
        <f>IF(AND(B928&gt;=5,C928&lt;&gt;"",C928&lt;0.8),1,0)</f>
        <v/>
      </c>
      <c r="I928" s="30">
        <f>IF(AND(B928&gt;=8,D928&lt;&gt;"",D928&gt;=0.25,D928&lt;=0.75),1,0)</f>
        <v/>
      </c>
      <c r="J928" s="2" t="n"/>
    </row>
    <row r="929">
      <c r="A929" s="2" t="inlineStr">
        <is>
          <t>IMP00922</t>
        </is>
      </c>
      <c r="B929" s="2" t="n">
        <v>117</v>
      </c>
      <c r="C929" s="19" t="n">
        <v>1.03</v>
      </c>
      <c r="D929" s="29" t="n">
        <v>0</v>
      </c>
      <c r="E929" s="2" t="n">
        <v>1</v>
      </c>
      <c r="F929" s="2" t="n">
        <v>0</v>
      </c>
      <c r="G929" s="2" t="n">
        <v>0</v>
      </c>
      <c r="H929" s="30">
        <f>IF(AND(B929&gt;=5,C929&lt;&gt;"",C929&lt;0.8),1,0)</f>
        <v/>
      </c>
      <c r="I929" s="30">
        <f>IF(AND(B929&gt;=8,D929&lt;&gt;"",D929&gt;=0.25,D929&lt;=0.75),1,0)</f>
        <v/>
      </c>
      <c r="J929" s="2" t="n"/>
    </row>
    <row r="930">
      <c r="A930" s="2" t="inlineStr">
        <is>
          <t>IMP00923</t>
        </is>
      </c>
      <c r="B930" s="2" t="n">
        <v>288</v>
      </c>
      <c r="C930" s="19" t="n">
        <v>1.004</v>
      </c>
      <c r="D930" s="29" t="n">
        <v>0.0104</v>
      </c>
      <c r="E930" s="2" t="n">
        <v>1</v>
      </c>
      <c r="F930" s="2" t="n">
        <v>0</v>
      </c>
      <c r="G930" s="2" t="n">
        <v>0</v>
      </c>
      <c r="H930" s="30">
        <f>IF(AND(B930&gt;=5,C930&lt;&gt;"",C930&lt;0.8),1,0)</f>
        <v/>
      </c>
      <c r="I930" s="30">
        <f>IF(AND(B930&gt;=8,D930&lt;&gt;"",D930&gt;=0.25,D930&lt;=0.75),1,0)</f>
        <v/>
      </c>
      <c r="J930" s="2" t="n"/>
    </row>
    <row r="931">
      <c r="A931" s="2" t="inlineStr">
        <is>
          <t>IMP00924</t>
        </is>
      </c>
      <c r="B931" s="2" t="n">
        <v>0</v>
      </c>
      <c r="C931" s="19" t="n"/>
      <c r="D931" s="29" t="n"/>
      <c r="E931" s="2" t="n">
        <v>0</v>
      </c>
      <c r="F931" s="2" t="n">
        <v>0</v>
      </c>
      <c r="G931" s="2" t="n">
        <v>0</v>
      </c>
      <c r="H931" s="30">
        <f>IF(AND(B931&gt;=5,C931&lt;&gt;"",C931&lt;0.8),1,0)</f>
        <v/>
      </c>
      <c r="I931" s="30">
        <f>IF(AND(B931&gt;=8,D931&lt;&gt;"",D931&gt;=0.25,D931&lt;=0.75),1,0)</f>
        <v/>
      </c>
      <c r="J931" s="2" t="n"/>
    </row>
    <row r="932">
      <c r="A932" s="2" t="inlineStr">
        <is>
          <t>IMP00925</t>
        </is>
      </c>
      <c r="B932" s="2" t="n">
        <v>10</v>
      </c>
      <c r="C932" s="19" t="n">
        <v>0.927</v>
      </c>
      <c r="D932" s="29" t="n">
        <v>0.2</v>
      </c>
      <c r="E932" s="2" t="n">
        <v>1</v>
      </c>
      <c r="F932" s="2" t="n">
        <v>0</v>
      </c>
      <c r="G932" s="2" t="n">
        <v>0</v>
      </c>
      <c r="H932" s="30">
        <f>IF(AND(B932&gt;=5,C932&lt;&gt;"",C932&lt;0.8),1,0)</f>
        <v/>
      </c>
      <c r="I932" s="30">
        <f>IF(AND(B932&gt;=8,D932&lt;&gt;"",D932&gt;=0.25,D932&lt;=0.75),1,0)</f>
        <v/>
      </c>
      <c r="J932" s="2" t="n"/>
    </row>
    <row r="933">
      <c r="A933" s="2" t="inlineStr">
        <is>
          <t>IMP00926</t>
        </is>
      </c>
      <c r="B933" s="2" t="n">
        <v>2209</v>
      </c>
      <c r="C933" s="19" t="n">
        <v>0.975</v>
      </c>
      <c r="D933" s="29" t="n">
        <v>0.0258</v>
      </c>
      <c r="E933" s="2" t="n">
        <v>1</v>
      </c>
      <c r="F933" s="2" t="n">
        <v>0</v>
      </c>
      <c r="G933" s="2" t="n">
        <v>0</v>
      </c>
      <c r="H933" s="30">
        <f>IF(AND(B933&gt;=5,C933&lt;&gt;"",C933&lt;0.8),1,0)</f>
        <v/>
      </c>
      <c r="I933" s="30">
        <f>IF(AND(B933&gt;=8,D933&lt;&gt;"",D933&gt;=0.25,D933&lt;=0.75),1,0)</f>
        <v/>
      </c>
      <c r="J933" s="2" t="n"/>
    </row>
    <row r="934">
      <c r="A934" s="2" t="inlineStr">
        <is>
          <t>IMP00927</t>
        </is>
      </c>
      <c r="B934" s="2" t="n">
        <v>27</v>
      </c>
      <c r="C934" s="19" t="n">
        <v>0.957</v>
      </c>
      <c r="D934" s="29" t="n">
        <v>0.037</v>
      </c>
      <c r="E934" s="2" t="n">
        <v>1</v>
      </c>
      <c r="F934" s="2" t="n">
        <v>0</v>
      </c>
      <c r="G934" s="2" t="n">
        <v>0</v>
      </c>
      <c r="H934" s="30">
        <f>IF(AND(B934&gt;=5,C934&lt;&gt;"",C934&lt;0.8),1,0)</f>
        <v/>
      </c>
      <c r="I934" s="30">
        <f>IF(AND(B934&gt;=8,D934&lt;&gt;"",D934&gt;=0.25,D934&lt;=0.75),1,0)</f>
        <v/>
      </c>
      <c r="J934" s="2" t="n"/>
    </row>
    <row r="935">
      <c r="A935" s="2" t="inlineStr">
        <is>
          <t>IMP00928</t>
        </is>
      </c>
      <c r="B935" s="2" t="n">
        <v>11</v>
      </c>
      <c r="C935" s="19" t="n">
        <v>0.909</v>
      </c>
      <c r="D935" s="29" t="n">
        <v>0.3636</v>
      </c>
      <c r="E935" s="2" t="n">
        <v>2</v>
      </c>
      <c r="F935" s="2" t="n">
        <v>0</v>
      </c>
      <c r="G935" s="2" t="n">
        <v>1</v>
      </c>
      <c r="H935" s="30">
        <f>IF(AND(B935&gt;=5,C935&lt;&gt;"",C935&lt;0.8),1,0)</f>
        <v/>
      </c>
      <c r="I935" s="30">
        <f>IF(AND(B935&gt;=8,D935&lt;&gt;"",D935&gt;=0.25,D935&lt;=0.75),1,0)</f>
        <v/>
      </c>
      <c r="J935" s="2" t="n"/>
    </row>
    <row r="936">
      <c r="A936" s="2" t="inlineStr">
        <is>
          <t>IMP00929</t>
        </is>
      </c>
      <c r="B936" s="2" t="n">
        <v>4</v>
      </c>
      <c r="C936" s="19" t="n">
        <v>0.9409999999999999</v>
      </c>
      <c r="D936" s="29" t="n">
        <v>0.25</v>
      </c>
      <c r="E936" s="2" t="n">
        <v>1</v>
      </c>
      <c r="F936" s="2" t="n">
        <v>0</v>
      </c>
      <c r="G936" s="2" t="n">
        <v>0</v>
      </c>
      <c r="H936" s="30">
        <f>IF(AND(B936&gt;=5,C936&lt;&gt;"",C936&lt;0.8),1,0)</f>
        <v/>
      </c>
      <c r="I936" s="30">
        <f>IF(AND(B936&gt;=8,D936&lt;&gt;"",D936&gt;=0.25,D936&lt;=0.75),1,0)</f>
        <v/>
      </c>
      <c r="J936" s="2" t="n"/>
    </row>
    <row r="937">
      <c r="A937" s="2" t="inlineStr">
        <is>
          <t>IMP00930</t>
        </is>
      </c>
      <c r="B937" s="2" t="n">
        <v>46</v>
      </c>
      <c r="C937" s="19" t="n">
        <v>0.9015</v>
      </c>
      <c r="D937" s="29" t="n">
        <v>0.1304</v>
      </c>
      <c r="E937" s="2" t="n">
        <v>1</v>
      </c>
      <c r="F937" s="2" t="n">
        <v>0</v>
      </c>
      <c r="G937" s="2" t="n">
        <v>0</v>
      </c>
      <c r="H937" s="30">
        <f>IF(AND(B937&gt;=5,C937&lt;&gt;"",C937&lt;0.8),1,0)</f>
        <v/>
      </c>
      <c r="I937" s="30">
        <f>IF(AND(B937&gt;=8,D937&lt;&gt;"",D937&gt;=0.25,D937&lt;=0.75),1,0)</f>
        <v/>
      </c>
      <c r="J937" s="2" t="n"/>
    </row>
    <row r="938">
      <c r="A938" s="2" t="inlineStr">
        <is>
          <t>IMP00931</t>
        </is>
      </c>
      <c r="B938" s="2" t="n">
        <v>0</v>
      </c>
      <c r="C938" s="19" t="n"/>
      <c r="D938" s="29" t="n"/>
      <c r="E938" s="2" t="n">
        <v>0</v>
      </c>
      <c r="F938" s="2" t="n">
        <v>0</v>
      </c>
      <c r="G938" s="2" t="n">
        <v>0</v>
      </c>
      <c r="H938" s="30">
        <f>IF(AND(B938&gt;=5,C938&lt;&gt;"",C938&lt;0.8),1,0)</f>
        <v/>
      </c>
      <c r="I938" s="30">
        <f>IF(AND(B938&gt;=8,D938&lt;&gt;"",D938&gt;=0.25,D938&lt;=0.75),1,0)</f>
        <v/>
      </c>
      <c r="J938" s="2" t="n"/>
    </row>
    <row r="939">
      <c r="A939" s="2" t="inlineStr">
        <is>
          <t>IMP00932</t>
        </is>
      </c>
      <c r="B939" s="2" t="n">
        <v>21</v>
      </c>
      <c r="C939" s="19" t="n">
        <v>0.916</v>
      </c>
      <c r="D939" s="29" t="n">
        <v>0.1905</v>
      </c>
      <c r="E939" s="2" t="n">
        <v>3</v>
      </c>
      <c r="F939" s="2" t="n">
        <v>0</v>
      </c>
      <c r="G939" s="2" t="n">
        <v>0</v>
      </c>
      <c r="H939" s="30">
        <f>IF(AND(B939&gt;=5,C939&lt;&gt;"",C939&lt;0.8),1,0)</f>
        <v/>
      </c>
      <c r="I939" s="30">
        <f>IF(AND(B939&gt;=8,D939&lt;&gt;"",D939&gt;=0.25,D939&lt;=0.75),1,0)</f>
        <v/>
      </c>
      <c r="J939" s="2" t="n"/>
    </row>
    <row r="940">
      <c r="A940" s="2" t="inlineStr">
        <is>
          <t>IMP00933</t>
        </is>
      </c>
      <c r="B940" s="2" t="n">
        <v>0</v>
      </c>
      <c r="C940" s="19" t="n"/>
      <c r="D940" s="29" t="n"/>
      <c r="E940" s="2" t="n">
        <v>0</v>
      </c>
      <c r="F940" s="2" t="n">
        <v>0</v>
      </c>
      <c r="G940" s="2" t="n">
        <v>0</v>
      </c>
      <c r="H940" s="30">
        <f>IF(AND(B940&gt;=5,C940&lt;&gt;"",C940&lt;0.8),1,0)</f>
        <v/>
      </c>
      <c r="I940" s="30">
        <f>IF(AND(B940&gt;=8,D940&lt;&gt;"",D940&gt;=0.25,D940&lt;=0.75),1,0)</f>
        <v/>
      </c>
      <c r="J940" s="2" t="n"/>
    </row>
    <row r="941">
      <c r="A941" s="2" t="inlineStr">
        <is>
          <t>IMP00934</t>
        </is>
      </c>
      <c r="B941" s="2" t="n">
        <v>54</v>
      </c>
      <c r="C941" s="19" t="n">
        <v>0.7524999999999999</v>
      </c>
      <c r="D941" s="29" t="n">
        <v>0.5</v>
      </c>
      <c r="E941" s="2" t="n">
        <v>2</v>
      </c>
      <c r="F941" s="2" t="n">
        <v>1</v>
      </c>
      <c r="G941" s="2" t="n">
        <v>1</v>
      </c>
      <c r="H941" s="30">
        <f>IF(AND(B941&gt;=5,C941&lt;&gt;"",C941&lt;0.8),1,0)</f>
        <v/>
      </c>
      <c r="I941" s="30">
        <f>IF(AND(B941&gt;=8,D941&lt;&gt;"",D941&gt;=0.25,D941&lt;=0.75),1,0)</f>
        <v/>
      </c>
      <c r="J941" s="2" t="n"/>
    </row>
    <row r="942">
      <c r="A942" s="2" t="inlineStr">
        <is>
          <t>IMP00935</t>
        </is>
      </c>
      <c r="B942" s="2" t="n">
        <v>96</v>
      </c>
      <c r="C942" s="19" t="n">
        <v>0.91</v>
      </c>
      <c r="D942" s="29" t="n">
        <v>0.125</v>
      </c>
      <c r="E942" s="2" t="n">
        <v>2</v>
      </c>
      <c r="F942" s="2" t="n">
        <v>0</v>
      </c>
      <c r="G942" s="2" t="n">
        <v>0</v>
      </c>
      <c r="H942" s="30">
        <f>IF(AND(B942&gt;=5,C942&lt;&gt;"",C942&lt;0.8),1,0)</f>
        <v/>
      </c>
      <c r="I942" s="30">
        <f>IF(AND(B942&gt;=8,D942&lt;&gt;"",D942&gt;=0.25,D942&lt;=0.75),1,0)</f>
        <v/>
      </c>
      <c r="J942" s="2" t="n"/>
    </row>
    <row r="943">
      <c r="A943" s="2" t="inlineStr">
        <is>
          <t>IMP00936</t>
        </is>
      </c>
      <c r="B943" s="2" t="n">
        <v>128</v>
      </c>
      <c r="C943" s="19" t="n">
        <v>0.91</v>
      </c>
      <c r="D943" s="29" t="n">
        <v>0.1094</v>
      </c>
      <c r="E943" s="2" t="n">
        <v>2</v>
      </c>
      <c r="F943" s="2" t="n">
        <v>0</v>
      </c>
      <c r="G943" s="2" t="n">
        <v>0</v>
      </c>
      <c r="H943" s="30">
        <f>IF(AND(B943&gt;=5,C943&lt;&gt;"",C943&lt;0.8),1,0)</f>
        <v/>
      </c>
      <c r="I943" s="30">
        <f>IF(AND(B943&gt;=8,D943&lt;&gt;"",D943&gt;=0.25,D943&lt;=0.75),1,0)</f>
        <v/>
      </c>
      <c r="J943" s="2" t="n"/>
    </row>
    <row r="944">
      <c r="A944" s="2" t="inlineStr">
        <is>
          <t>IMP00937</t>
        </is>
      </c>
      <c r="B944" s="2" t="n">
        <v>218</v>
      </c>
      <c r="C944" s="19" t="n">
        <v>1.166</v>
      </c>
      <c r="D944" s="29" t="n">
        <v>0.0046</v>
      </c>
      <c r="E944" s="2" t="n">
        <v>2</v>
      </c>
      <c r="F944" s="2" t="n">
        <v>0</v>
      </c>
      <c r="G944" s="2" t="n">
        <v>0</v>
      </c>
      <c r="H944" s="30">
        <f>IF(AND(B944&gt;=5,C944&lt;&gt;"",C944&lt;0.8),1,0)</f>
        <v/>
      </c>
      <c r="I944" s="30">
        <f>IF(AND(B944&gt;=8,D944&lt;&gt;"",D944&gt;=0.25,D944&lt;=0.75),1,0)</f>
        <v/>
      </c>
      <c r="J944" s="2" t="n"/>
    </row>
    <row r="945">
      <c r="A945" s="2" t="inlineStr">
        <is>
          <t>IMP00938</t>
        </is>
      </c>
      <c r="B945" s="2" t="n">
        <v>0</v>
      </c>
      <c r="C945" s="19" t="n"/>
      <c r="D945" s="29" t="n"/>
      <c r="E945" s="2" t="n">
        <v>0</v>
      </c>
      <c r="F945" s="2" t="n">
        <v>0</v>
      </c>
      <c r="G945" s="2" t="n">
        <v>0</v>
      </c>
      <c r="H945" s="30">
        <f>IF(AND(B945&gt;=5,C945&lt;&gt;"",C945&lt;0.8),1,0)</f>
        <v/>
      </c>
      <c r="I945" s="30">
        <f>IF(AND(B945&gt;=8,D945&lt;&gt;"",D945&gt;=0.25,D945&lt;=0.75),1,0)</f>
        <v/>
      </c>
      <c r="J945" s="2" t="n"/>
    </row>
    <row r="946">
      <c r="A946" s="2" t="inlineStr">
        <is>
          <t>IMP00939</t>
        </is>
      </c>
      <c r="B946" s="2" t="n">
        <v>1</v>
      </c>
      <c r="C946" s="19" t="n">
        <v>0.901</v>
      </c>
      <c r="D946" s="29" t="n">
        <v>0</v>
      </c>
      <c r="E946" s="2" t="n">
        <v>13</v>
      </c>
      <c r="F946" s="2" t="n">
        <v>0</v>
      </c>
      <c r="G946" s="2" t="n">
        <v>0</v>
      </c>
      <c r="H946" s="30">
        <f>IF(AND(B946&gt;=5,C946&lt;&gt;"",C946&lt;0.8),1,0)</f>
        <v/>
      </c>
      <c r="I946" s="30">
        <f>IF(AND(B946&gt;=8,D946&lt;&gt;"",D946&gt;=0.25,D946&lt;=0.75),1,0)</f>
        <v/>
      </c>
      <c r="J946" s="2" t="n"/>
    </row>
    <row r="947">
      <c r="A947" s="2" t="inlineStr">
        <is>
          <t>IMP00940</t>
        </is>
      </c>
      <c r="B947" s="2" t="n">
        <v>0</v>
      </c>
      <c r="C947" s="19" t="n"/>
      <c r="D947" s="29" t="n"/>
      <c r="E947" s="2" t="n">
        <v>0</v>
      </c>
      <c r="F947" s="2" t="n">
        <v>0</v>
      </c>
      <c r="G947" s="2" t="n">
        <v>0</v>
      </c>
      <c r="H947" s="30">
        <f>IF(AND(B947&gt;=5,C947&lt;&gt;"",C947&lt;0.8),1,0)</f>
        <v/>
      </c>
      <c r="I947" s="30">
        <f>IF(AND(B947&gt;=8,D947&lt;&gt;"",D947&gt;=0.25,D947&lt;=0.75),1,0)</f>
        <v/>
      </c>
      <c r="J947" s="2" t="n"/>
    </row>
    <row r="948">
      <c r="A948" s="2" t="inlineStr">
        <is>
          <t>IMP00941</t>
        </is>
      </c>
      <c r="B948" s="2" t="n">
        <v>29</v>
      </c>
      <c r="C948" s="19" t="n">
        <v>1.244</v>
      </c>
      <c r="D948" s="29" t="n">
        <v>0.0345</v>
      </c>
      <c r="E948" s="2" t="n">
        <v>1</v>
      </c>
      <c r="F948" s="2" t="n">
        <v>0</v>
      </c>
      <c r="G948" s="2" t="n">
        <v>0</v>
      </c>
      <c r="H948" s="30">
        <f>IF(AND(B948&gt;=5,C948&lt;&gt;"",C948&lt;0.8),1,0)</f>
        <v/>
      </c>
      <c r="I948" s="30">
        <f>IF(AND(B948&gt;=8,D948&lt;&gt;"",D948&gt;=0.25,D948&lt;=0.75),1,0)</f>
        <v/>
      </c>
      <c r="J948" s="2" t="n"/>
    </row>
    <row r="949">
      <c r="A949" s="2" t="inlineStr">
        <is>
          <t>IMP00942</t>
        </is>
      </c>
      <c r="B949" s="2" t="n">
        <v>181</v>
      </c>
      <c r="C949" s="19" t="n">
        <v>1.001</v>
      </c>
      <c r="D949" s="29" t="n">
        <v>0.116</v>
      </c>
      <c r="E949" s="2" t="n">
        <v>1</v>
      </c>
      <c r="F949" s="2" t="n">
        <v>0</v>
      </c>
      <c r="G949" s="2" t="n">
        <v>0</v>
      </c>
      <c r="H949" s="30">
        <f>IF(AND(B949&gt;=5,C949&lt;&gt;"",C949&lt;0.8),1,0)</f>
        <v/>
      </c>
      <c r="I949" s="30">
        <f>IF(AND(B949&gt;=8,D949&lt;&gt;"",D949&gt;=0.25,D949&lt;=0.75),1,0)</f>
        <v/>
      </c>
      <c r="J949" s="2" t="n"/>
    </row>
    <row r="950">
      <c r="A950" s="2" t="inlineStr">
        <is>
          <t>IMP00943</t>
        </is>
      </c>
      <c r="B950" s="2" t="n">
        <v>12</v>
      </c>
      <c r="C950" s="19" t="n">
        <v>0.965</v>
      </c>
      <c r="D950" s="29" t="n">
        <v>0</v>
      </c>
      <c r="E950" s="2" t="n">
        <v>1</v>
      </c>
      <c r="F950" s="2" t="n">
        <v>0</v>
      </c>
      <c r="G950" s="2" t="n">
        <v>0</v>
      </c>
      <c r="H950" s="30">
        <f>IF(AND(B950&gt;=5,C950&lt;&gt;"",C950&lt;0.8),1,0)</f>
        <v/>
      </c>
      <c r="I950" s="30">
        <f>IF(AND(B950&gt;=8,D950&lt;&gt;"",D950&gt;=0.25,D950&lt;=0.75),1,0)</f>
        <v/>
      </c>
      <c r="J950" s="2" t="n"/>
    </row>
    <row r="951">
      <c r="A951" s="2" t="inlineStr">
        <is>
          <t>IMP00944</t>
        </is>
      </c>
      <c r="B951" s="2" t="n">
        <v>0</v>
      </c>
      <c r="C951" s="19" t="n"/>
      <c r="D951" s="29" t="n"/>
      <c r="E951" s="2" t="n">
        <v>0</v>
      </c>
      <c r="F951" s="2" t="n">
        <v>0</v>
      </c>
      <c r="G951" s="2" t="n">
        <v>0</v>
      </c>
      <c r="H951" s="30">
        <f>IF(AND(B951&gt;=5,C951&lt;&gt;"",C951&lt;0.8),1,0)</f>
        <v/>
      </c>
      <c r="I951" s="30">
        <f>IF(AND(B951&gt;=8,D951&lt;&gt;"",D951&gt;=0.25,D951&lt;=0.75),1,0)</f>
        <v/>
      </c>
      <c r="J951" s="2" t="n"/>
    </row>
    <row r="952">
      <c r="A952" s="2" t="inlineStr">
        <is>
          <t>IMP00945</t>
        </is>
      </c>
      <c r="B952" s="2" t="n">
        <v>16</v>
      </c>
      <c r="C952" s="19" t="n">
        <v>0.992</v>
      </c>
      <c r="D952" s="29" t="n">
        <v>0.0625</v>
      </c>
      <c r="E952" s="2" t="n">
        <v>2</v>
      </c>
      <c r="F952" s="2" t="n">
        <v>0</v>
      </c>
      <c r="G952" s="2" t="n">
        <v>0</v>
      </c>
      <c r="H952" s="30">
        <f>IF(AND(B952&gt;=5,C952&lt;&gt;"",C952&lt;0.8),1,0)</f>
        <v/>
      </c>
      <c r="I952" s="30">
        <f>IF(AND(B952&gt;=8,D952&lt;&gt;"",D952&gt;=0.25,D952&lt;=0.75),1,0)</f>
        <v/>
      </c>
      <c r="J952" s="2" t="n"/>
    </row>
    <row r="953">
      <c r="A953" s="2" t="inlineStr">
        <is>
          <t>IMP00946</t>
        </is>
      </c>
      <c r="B953" s="2" t="n">
        <v>126</v>
      </c>
      <c r="C953" s="19" t="n">
        <v>0.9445</v>
      </c>
      <c r="D953" s="29" t="n">
        <v>0.0635</v>
      </c>
      <c r="E953" s="2" t="n">
        <v>13</v>
      </c>
      <c r="F953" s="2" t="n">
        <v>0</v>
      </c>
      <c r="G953" s="2" t="n">
        <v>0</v>
      </c>
      <c r="H953" s="30">
        <f>IF(AND(B953&gt;=5,C953&lt;&gt;"",C953&lt;0.8),1,0)</f>
        <v/>
      </c>
      <c r="I953" s="30">
        <f>IF(AND(B953&gt;=8,D953&lt;&gt;"",D953&gt;=0.25,D953&lt;=0.75),1,0)</f>
        <v/>
      </c>
      <c r="J953" s="2" t="n"/>
    </row>
    <row r="954">
      <c r="A954" s="2" t="inlineStr">
        <is>
          <t>IMP00947</t>
        </is>
      </c>
      <c r="B954" s="2" t="n">
        <v>9</v>
      </c>
      <c r="C954" s="19" t="n">
        <v>1.013</v>
      </c>
      <c r="D954" s="29" t="n">
        <v>0.1111</v>
      </c>
      <c r="E954" s="2" t="n">
        <v>1</v>
      </c>
      <c r="F954" s="2" t="n">
        <v>0</v>
      </c>
      <c r="G954" s="2" t="n">
        <v>0</v>
      </c>
      <c r="H954" s="30">
        <f>IF(AND(B954&gt;=5,C954&lt;&gt;"",C954&lt;0.8),1,0)</f>
        <v/>
      </c>
      <c r="I954" s="30">
        <f>IF(AND(B954&gt;=8,D954&lt;&gt;"",D954&gt;=0.25,D954&lt;=0.75),1,0)</f>
        <v/>
      </c>
      <c r="J954" s="2" t="n"/>
    </row>
    <row r="955">
      <c r="A955" s="2" t="inlineStr">
        <is>
          <t>IMP00948</t>
        </is>
      </c>
      <c r="B955" s="2" t="n">
        <v>0</v>
      </c>
      <c r="C955" s="19" t="n"/>
      <c r="D955" s="29" t="n"/>
      <c r="E955" s="2" t="n">
        <v>0</v>
      </c>
      <c r="F955" s="2" t="n">
        <v>0</v>
      </c>
      <c r="G955" s="2" t="n">
        <v>0</v>
      </c>
      <c r="H955" s="30">
        <f>IF(AND(B955&gt;=5,C955&lt;&gt;"",C955&lt;0.8),1,0)</f>
        <v/>
      </c>
      <c r="I955" s="30">
        <f>IF(AND(B955&gt;=8,D955&lt;&gt;"",D955&gt;=0.25,D955&lt;=0.75),1,0)</f>
        <v/>
      </c>
      <c r="J955" s="2" t="n"/>
    </row>
    <row r="956">
      <c r="A956" s="2" t="inlineStr">
        <is>
          <t>IMP00949</t>
        </is>
      </c>
      <c r="B956" s="2" t="n">
        <v>40</v>
      </c>
      <c r="C956" s="19" t="n">
        <v>1.261</v>
      </c>
      <c r="D956" s="29" t="n">
        <v>0</v>
      </c>
      <c r="E956" s="2" t="n">
        <v>2</v>
      </c>
      <c r="F956" s="2" t="n">
        <v>0</v>
      </c>
      <c r="G956" s="2" t="n">
        <v>0</v>
      </c>
      <c r="H956" s="30">
        <f>IF(AND(B956&gt;=5,C956&lt;&gt;"",C956&lt;0.8),1,0)</f>
        <v/>
      </c>
      <c r="I956" s="30">
        <f>IF(AND(B956&gt;=8,D956&lt;&gt;"",D956&gt;=0.25,D956&lt;=0.75),1,0)</f>
        <v/>
      </c>
      <c r="J956" s="2" t="n"/>
    </row>
    <row r="957">
      <c r="A957" s="2" t="inlineStr">
        <is>
          <t>IMP00950</t>
        </is>
      </c>
      <c r="B957" s="2" t="n">
        <v>1326</v>
      </c>
      <c r="C957" s="19" t="n">
        <v>1.004</v>
      </c>
      <c r="D957" s="29" t="n">
        <v>0.07539999999999999</v>
      </c>
      <c r="E957" s="2" t="n">
        <v>3</v>
      </c>
      <c r="F957" s="2" t="n">
        <v>0</v>
      </c>
      <c r="G957" s="2" t="n">
        <v>0</v>
      </c>
      <c r="H957" s="30">
        <f>IF(AND(B957&gt;=5,C957&lt;&gt;"",C957&lt;0.8),1,0)</f>
        <v/>
      </c>
      <c r="I957" s="30">
        <f>IF(AND(B957&gt;=8,D957&lt;&gt;"",D957&gt;=0.25,D957&lt;=0.75),1,0)</f>
        <v/>
      </c>
      <c r="J957" s="2" t="n"/>
    </row>
    <row r="958">
      <c r="A958" s="2" t="inlineStr">
        <is>
          <t>IMP00951</t>
        </is>
      </c>
      <c r="B958" s="2" t="n">
        <v>54</v>
      </c>
      <c r="C958" s="19" t="n">
        <v>0.9350000000000001</v>
      </c>
      <c r="D958" s="29" t="n">
        <v>0.1111</v>
      </c>
      <c r="E958" s="2" t="n">
        <v>1</v>
      </c>
      <c r="F958" s="2" t="n">
        <v>0</v>
      </c>
      <c r="G958" s="2" t="n">
        <v>0</v>
      </c>
      <c r="H958" s="30">
        <f>IF(AND(B958&gt;=5,C958&lt;&gt;"",C958&lt;0.8),1,0)</f>
        <v/>
      </c>
      <c r="I958" s="30">
        <f>IF(AND(B958&gt;=8,D958&lt;&gt;"",D958&gt;=0.25,D958&lt;=0.75),1,0)</f>
        <v/>
      </c>
      <c r="J958" s="2" t="n"/>
    </row>
    <row r="959">
      <c r="A959" s="2" t="inlineStr">
        <is>
          <t>IMP00952</t>
        </is>
      </c>
      <c r="B959" s="2" t="n">
        <v>19</v>
      </c>
      <c r="C959" s="19" t="n">
        <v>0.945</v>
      </c>
      <c r="D959" s="29" t="n">
        <v>0.1579</v>
      </c>
      <c r="E959" s="2" t="n">
        <v>2</v>
      </c>
      <c r="F959" s="2" t="n">
        <v>0</v>
      </c>
      <c r="G959" s="2" t="n">
        <v>0</v>
      </c>
      <c r="H959" s="30">
        <f>IF(AND(B959&gt;=5,C959&lt;&gt;"",C959&lt;0.8),1,0)</f>
        <v/>
      </c>
      <c r="I959" s="30">
        <f>IF(AND(B959&gt;=8,D959&lt;&gt;"",D959&gt;=0.25,D959&lt;=0.75),1,0)</f>
        <v/>
      </c>
      <c r="J959" s="2" t="n"/>
    </row>
    <row r="960">
      <c r="A960" s="2" t="inlineStr">
        <is>
          <t>IMP00953</t>
        </is>
      </c>
      <c r="B960" s="2" t="n">
        <v>15</v>
      </c>
      <c r="C960" s="19" t="n">
        <v>0.915</v>
      </c>
      <c r="D960" s="29" t="n">
        <v>0.0667</v>
      </c>
      <c r="E960" s="2" t="n">
        <v>1</v>
      </c>
      <c r="F960" s="2" t="n">
        <v>0</v>
      </c>
      <c r="G960" s="2" t="n">
        <v>0</v>
      </c>
      <c r="H960" s="30">
        <f>IF(AND(B960&gt;=5,C960&lt;&gt;"",C960&lt;0.8),1,0)</f>
        <v/>
      </c>
      <c r="I960" s="30">
        <f>IF(AND(B960&gt;=8,D960&lt;&gt;"",D960&gt;=0.25,D960&lt;=0.75),1,0)</f>
        <v/>
      </c>
      <c r="J960" s="2" t="n"/>
    </row>
    <row r="961">
      <c r="A961" s="2" t="inlineStr">
        <is>
          <t>IMP00954</t>
        </is>
      </c>
      <c r="B961" s="2" t="n">
        <v>8</v>
      </c>
      <c r="C961" s="19" t="n">
        <v>0.9665</v>
      </c>
      <c r="D961" s="29" t="n">
        <v>0</v>
      </c>
      <c r="E961" s="2" t="n">
        <v>1</v>
      </c>
      <c r="F961" s="2" t="n">
        <v>0</v>
      </c>
      <c r="G961" s="2" t="n">
        <v>0</v>
      </c>
      <c r="H961" s="30">
        <f>IF(AND(B961&gt;=5,C961&lt;&gt;"",C961&lt;0.8),1,0)</f>
        <v/>
      </c>
      <c r="I961" s="30">
        <f>IF(AND(B961&gt;=8,D961&lt;&gt;"",D961&gt;=0.25,D961&lt;=0.75),1,0)</f>
        <v/>
      </c>
      <c r="J961" s="2" t="n"/>
    </row>
    <row r="962">
      <c r="A962" s="2" t="inlineStr">
        <is>
          <t>IMP00955</t>
        </is>
      </c>
      <c r="B962" s="2" t="n">
        <v>45</v>
      </c>
      <c r="C962" s="19" t="n">
        <v>1.043</v>
      </c>
      <c r="D962" s="29" t="n">
        <v>0.0444</v>
      </c>
      <c r="E962" s="2" t="n">
        <v>2</v>
      </c>
      <c r="F962" s="2" t="n">
        <v>0</v>
      </c>
      <c r="G962" s="2" t="n">
        <v>0</v>
      </c>
      <c r="H962" s="30">
        <f>IF(AND(B962&gt;=5,C962&lt;&gt;"",C962&lt;0.8),1,0)</f>
        <v/>
      </c>
      <c r="I962" s="30">
        <f>IF(AND(B962&gt;=8,D962&lt;&gt;"",D962&gt;=0.25,D962&lt;=0.75),1,0)</f>
        <v/>
      </c>
      <c r="J962" s="2" t="n"/>
    </row>
    <row r="963">
      <c r="A963" s="2" t="inlineStr">
        <is>
          <t>IMP00956</t>
        </is>
      </c>
      <c r="B963" s="2" t="n">
        <v>2</v>
      </c>
      <c r="C963" s="19" t="n">
        <v>1.008</v>
      </c>
      <c r="D963" s="29" t="n">
        <v>0</v>
      </c>
      <c r="E963" s="2" t="n">
        <v>2</v>
      </c>
      <c r="F963" s="2" t="n">
        <v>0</v>
      </c>
      <c r="G963" s="2" t="n">
        <v>0</v>
      </c>
      <c r="H963" s="30">
        <f>IF(AND(B963&gt;=5,C963&lt;&gt;"",C963&lt;0.8),1,0)</f>
        <v/>
      </c>
      <c r="I963" s="30">
        <f>IF(AND(B963&gt;=8,D963&lt;&gt;"",D963&gt;=0.25,D963&lt;=0.75),1,0)</f>
        <v/>
      </c>
      <c r="J963" s="2" t="n"/>
    </row>
    <row r="964">
      <c r="A964" s="2" t="inlineStr">
        <is>
          <t>IMP00957</t>
        </is>
      </c>
      <c r="B964" s="2" t="n">
        <v>0</v>
      </c>
      <c r="C964" s="19" t="n"/>
      <c r="D964" s="29" t="n"/>
      <c r="E964" s="2" t="n">
        <v>0</v>
      </c>
      <c r="F964" s="2" t="n">
        <v>0</v>
      </c>
      <c r="G964" s="2" t="n">
        <v>0</v>
      </c>
      <c r="H964" s="30">
        <f>IF(AND(B964&gt;=5,C964&lt;&gt;"",C964&lt;0.8),1,0)</f>
        <v/>
      </c>
      <c r="I964" s="30">
        <f>IF(AND(B964&gt;=8,D964&lt;&gt;"",D964&gt;=0.25,D964&lt;=0.75),1,0)</f>
        <v/>
      </c>
      <c r="J964" s="2" t="n"/>
    </row>
    <row r="965">
      <c r="A965" s="2" t="inlineStr">
        <is>
          <t>IMP00958</t>
        </is>
      </c>
      <c r="B965" s="2" t="n">
        <v>0</v>
      </c>
      <c r="C965" s="19" t="n"/>
      <c r="D965" s="29" t="n"/>
      <c r="E965" s="2" t="n">
        <v>0</v>
      </c>
      <c r="F965" s="2" t="n">
        <v>0</v>
      </c>
      <c r="G965" s="2" t="n">
        <v>0</v>
      </c>
      <c r="H965" s="30">
        <f>IF(AND(B965&gt;=5,C965&lt;&gt;"",C965&lt;0.8),1,0)</f>
        <v/>
      </c>
      <c r="I965" s="30">
        <f>IF(AND(B965&gt;=8,D965&lt;&gt;"",D965&gt;=0.25,D965&lt;=0.75),1,0)</f>
        <v/>
      </c>
      <c r="J965" s="2" t="n"/>
    </row>
    <row r="966">
      <c r="A966" s="2" t="inlineStr">
        <is>
          <t>IMP00959</t>
        </is>
      </c>
      <c r="B966" s="2" t="n">
        <v>155</v>
      </c>
      <c r="C966" s="19" t="n">
        <v>0.8745000000000001</v>
      </c>
      <c r="D966" s="29" t="n">
        <v>0.0774</v>
      </c>
      <c r="E966" s="2" t="n">
        <v>3</v>
      </c>
      <c r="F966" s="2" t="n">
        <v>0</v>
      </c>
      <c r="G966" s="2" t="n">
        <v>0</v>
      </c>
      <c r="H966" s="30">
        <f>IF(AND(B966&gt;=5,C966&lt;&gt;"",C966&lt;0.8),1,0)</f>
        <v/>
      </c>
      <c r="I966" s="30">
        <f>IF(AND(B966&gt;=8,D966&lt;&gt;"",D966&gt;=0.25,D966&lt;=0.75),1,0)</f>
        <v/>
      </c>
      <c r="J966" s="2" t="n"/>
    </row>
    <row r="967">
      <c r="A967" s="2" t="inlineStr">
        <is>
          <t>IMP00960</t>
        </is>
      </c>
      <c r="B967" s="2" t="n">
        <v>14</v>
      </c>
      <c r="C967" s="19" t="n">
        <v>0.9745</v>
      </c>
      <c r="D967" s="29" t="n">
        <v>0.07140000000000001</v>
      </c>
      <c r="E967" s="2" t="n">
        <v>1</v>
      </c>
      <c r="F967" s="2" t="n">
        <v>0</v>
      </c>
      <c r="G967" s="2" t="n">
        <v>0</v>
      </c>
      <c r="H967" s="30">
        <f>IF(AND(B967&gt;=5,C967&lt;&gt;"",C967&lt;0.8),1,0)</f>
        <v/>
      </c>
      <c r="I967" s="30">
        <f>IF(AND(B967&gt;=8,D967&lt;&gt;"",D967&gt;=0.25,D967&lt;=0.75),1,0)</f>
        <v/>
      </c>
      <c r="J967" s="2" t="n"/>
    </row>
    <row r="968">
      <c r="A968" s="2" t="inlineStr">
        <is>
          <t>IMP00961</t>
        </is>
      </c>
      <c r="B968" s="2" t="n">
        <v>18</v>
      </c>
      <c r="C968" s="19" t="n">
        <v>1.0215</v>
      </c>
      <c r="D968" s="29" t="n">
        <v>0.2778</v>
      </c>
      <c r="E968" s="2" t="n">
        <v>1</v>
      </c>
      <c r="F968" s="2" t="n">
        <v>0</v>
      </c>
      <c r="G968" s="2" t="n">
        <v>1</v>
      </c>
      <c r="H968" s="30">
        <f>IF(AND(B968&gt;=5,C968&lt;&gt;"",C968&lt;0.8),1,0)</f>
        <v/>
      </c>
      <c r="I968" s="30">
        <f>IF(AND(B968&gt;=8,D968&lt;&gt;"",D968&gt;=0.25,D968&lt;=0.75),1,0)</f>
        <v/>
      </c>
      <c r="J968" s="2" t="n"/>
    </row>
    <row r="969">
      <c r="A969" s="2" t="inlineStr">
        <is>
          <t>IMP00962</t>
        </is>
      </c>
      <c r="B969" s="2" t="n">
        <v>11</v>
      </c>
      <c r="C969" s="19" t="n">
        <v>1.1275</v>
      </c>
      <c r="D969" s="29" t="n">
        <v>0.2727</v>
      </c>
      <c r="E969" s="2" t="n">
        <v>2</v>
      </c>
      <c r="F969" s="2" t="n">
        <v>0</v>
      </c>
      <c r="G969" s="2" t="n">
        <v>1</v>
      </c>
      <c r="H969" s="30">
        <f>IF(AND(B969&gt;=5,C969&lt;&gt;"",C969&lt;0.8),1,0)</f>
        <v/>
      </c>
      <c r="I969" s="30">
        <f>IF(AND(B969&gt;=8,D969&lt;&gt;"",D969&gt;=0.25,D969&lt;=0.75),1,0)</f>
        <v/>
      </c>
      <c r="J969" s="2" t="n"/>
    </row>
    <row r="970">
      <c r="A970" s="2" t="inlineStr">
        <is>
          <t>IMP00963</t>
        </is>
      </c>
      <c r="B970" s="2" t="n">
        <v>8</v>
      </c>
      <c r="C970" s="19" t="n">
        <v>1.009</v>
      </c>
      <c r="D970" s="29" t="n">
        <v>0</v>
      </c>
      <c r="E970" s="2" t="n">
        <v>2</v>
      </c>
      <c r="F970" s="2" t="n">
        <v>0</v>
      </c>
      <c r="G970" s="2" t="n">
        <v>0</v>
      </c>
      <c r="H970" s="30">
        <f>IF(AND(B970&gt;=5,C970&lt;&gt;"",C970&lt;0.8),1,0)</f>
        <v/>
      </c>
      <c r="I970" s="30">
        <f>IF(AND(B970&gt;=8,D970&lt;&gt;"",D970&gt;=0.25,D970&lt;=0.75),1,0)</f>
        <v/>
      </c>
      <c r="J970" s="2" t="n"/>
    </row>
    <row r="971">
      <c r="A971" s="2" t="inlineStr">
        <is>
          <t>IMP00964</t>
        </is>
      </c>
      <c r="B971" s="2" t="n">
        <v>22</v>
      </c>
      <c r="C971" s="19" t="n">
        <v>0.952</v>
      </c>
      <c r="D971" s="29" t="n">
        <v>0.09089999999999999</v>
      </c>
      <c r="E971" s="2" t="n">
        <v>2</v>
      </c>
      <c r="F971" s="2" t="n">
        <v>0</v>
      </c>
      <c r="G971" s="2" t="n">
        <v>0</v>
      </c>
      <c r="H971" s="30">
        <f>IF(AND(B971&gt;=5,C971&lt;&gt;"",C971&lt;0.8),1,0)</f>
        <v/>
      </c>
      <c r="I971" s="30">
        <f>IF(AND(B971&gt;=8,D971&lt;&gt;"",D971&gt;=0.25,D971&lt;=0.75),1,0)</f>
        <v/>
      </c>
      <c r="J971" s="2" t="n"/>
    </row>
    <row r="972">
      <c r="A972" s="2" t="inlineStr">
        <is>
          <t>IMP00965</t>
        </is>
      </c>
      <c r="B972" s="2" t="n">
        <v>0</v>
      </c>
      <c r="C972" s="19" t="n"/>
      <c r="D972" s="29" t="n"/>
      <c r="E972" s="2" t="n">
        <v>0</v>
      </c>
      <c r="F972" s="2" t="n">
        <v>0</v>
      </c>
      <c r="G972" s="2" t="n">
        <v>0</v>
      </c>
      <c r="H972" s="30">
        <f>IF(AND(B972&gt;=5,C972&lt;&gt;"",C972&lt;0.8),1,0)</f>
        <v/>
      </c>
      <c r="I972" s="30">
        <f>IF(AND(B972&gt;=8,D972&lt;&gt;"",D972&gt;=0.25,D972&lt;=0.75),1,0)</f>
        <v/>
      </c>
      <c r="J972" s="2" t="n"/>
    </row>
    <row r="973">
      <c r="A973" s="2" t="inlineStr">
        <is>
          <t>IMP00966</t>
        </is>
      </c>
      <c r="B973" s="2" t="n">
        <v>0</v>
      </c>
      <c r="C973" s="19" t="n"/>
      <c r="D973" s="29" t="n"/>
      <c r="E973" s="2" t="n">
        <v>0</v>
      </c>
      <c r="F973" s="2" t="n">
        <v>0</v>
      </c>
      <c r="G973" s="2" t="n">
        <v>0</v>
      </c>
      <c r="H973" s="30">
        <f>IF(AND(B973&gt;=5,C973&lt;&gt;"",C973&lt;0.8),1,0)</f>
        <v/>
      </c>
      <c r="I973" s="30">
        <f>IF(AND(B973&gt;=8,D973&lt;&gt;"",D973&gt;=0.25,D973&lt;=0.75),1,0)</f>
        <v/>
      </c>
      <c r="J973" s="2" t="n"/>
    </row>
    <row r="974">
      <c r="A974" s="2" t="inlineStr">
        <is>
          <t>IMP00967</t>
        </is>
      </c>
      <c r="B974" s="2" t="n">
        <v>28</v>
      </c>
      <c r="C974" s="19" t="n">
        <v>0.954</v>
      </c>
      <c r="D974" s="29" t="n">
        <v>0.2143</v>
      </c>
      <c r="E974" s="2" t="n">
        <v>1</v>
      </c>
      <c r="F974" s="2" t="n">
        <v>0</v>
      </c>
      <c r="G974" s="2" t="n">
        <v>0</v>
      </c>
      <c r="H974" s="30">
        <f>IF(AND(B974&gt;=5,C974&lt;&gt;"",C974&lt;0.8),1,0)</f>
        <v/>
      </c>
      <c r="I974" s="30">
        <f>IF(AND(B974&gt;=8,D974&lt;&gt;"",D974&gt;=0.25,D974&lt;=0.75),1,0)</f>
        <v/>
      </c>
      <c r="J974" s="2" t="n"/>
    </row>
    <row r="975">
      <c r="A975" s="2" t="inlineStr">
        <is>
          <t>IMP00968</t>
        </is>
      </c>
      <c r="B975" s="2" t="n">
        <v>6</v>
      </c>
      <c r="C975" s="19" t="n">
        <v>0.972</v>
      </c>
      <c r="D975" s="29" t="n">
        <v>0</v>
      </c>
      <c r="E975" s="2" t="n">
        <v>1</v>
      </c>
      <c r="F975" s="2" t="n">
        <v>0</v>
      </c>
      <c r="G975" s="2" t="n">
        <v>0</v>
      </c>
      <c r="H975" s="30">
        <f>IF(AND(B975&gt;=5,C975&lt;&gt;"",C975&lt;0.8),1,0)</f>
        <v/>
      </c>
      <c r="I975" s="30">
        <f>IF(AND(B975&gt;=8,D975&lt;&gt;"",D975&gt;=0.25,D975&lt;=0.75),1,0)</f>
        <v/>
      </c>
      <c r="J975" s="2" t="n"/>
    </row>
    <row r="976">
      <c r="A976" s="2" t="inlineStr">
        <is>
          <t>IMP00969</t>
        </is>
      </c>
      <c r="B976" s="2" t="n">
        <v>0</v>
      </c>
      <c r="C976" s="19" t="n"/>
      <c r="D976" s="29" t="n"/>
      <c r="E976" s="2" t="n">
        <v>0</v>
      </c>
      <c r="F976" s="2" t="n">
        <v>0</v>
      </c>
      <c r="G976" s="2" t="n">
        <v>0</v>
      </c>
      <c r="H976" s="30">
        <f>IF(AND(B976&gt;=5,C976&lt;&gt;"",C976&lt;0.8),1,0)</f>
        <v/>
      </c>
      <c r="I976" s="30">
        <f>IF(AND(B976&gt;=8,D976&lt;&gt;"",D976&gt;=0.25,D976&lt;=0.75),1,0)</f>
        <v/>
      </c>
      <c r="J976" s="2" t="n"/>
    </row>
    <row r="977">
      <c r="A977" s="2" t="inlineStr">
        <is>
          <t>IMP00970</t>
        </is>
      </c>
      <c r="B977" s="2" t="n">
        <v>361</v>
      </c>
      <c r="C977" s="19" t="n">
        <v>0.944</v>
      </c>
      <c r="D977" s="29" t="n">
        <v>0.0471</v>
      </c>
      <c r="E977" s="2" t="n">
        <v>1</v>
      </c>
      <c r="F977" s="2" t="n">
        <v>0</v>
      </c>
      <c r="G977" s="2" t="n">
        <v>0</v>
      </c>
      <c r="H977" s="30">
        <f>IF(AND(B977&gt;=5,C977&lt;&gt;"",C977&lt;0.8),1,0)</f>
        <v/>
      </c>
      <c r="I977" s="30">
        <f>IF(AND(B977&gt;=8,D977&lt;&gt;"",D977&gt;=0.25,D977&lt;=0.75),1,0)</f>
        <v/>
      </c>
      <c r="J977" s="2" t="n"/>
    </row>
    <row r="978">
      <c r="A978" s="2" t="inlineStr">
        <is>
          <t>IMP00971</t>
        </is>
      </c>
      <c r="B978" s="2" t="n">
        <v>0</v>
      </c>
      <c r="C978" s="19" t="n"/>
      <c r="D978" s="29" t="n"/>
      <c r="E978" s="2" t="n">
        <v>0</v>
      </c>
      <c r="F978" s="2" t="n">
        <v>0</v>
      </c>
      <c r="G978" s="2" t="n">
        <v>0</v>
      </c>
      <c r="H978" s="30">
        <f>IF(AND(B978&gt;=5,C978&lt;&gt;"",C978&lt;0.8),1,0)</f>
        <v/>
      </c>
      <c r="I978" s="30">
        <f>IF(AND(B978&gt;=8,D978&lt;&gt;"",D978&gt;=0.25,D978&lt;=0.75),1,0)</f>
        <v/>
      </c>
      <c r="J978" s="2" t="n"/>
    </row>
    <row r="979">
      <c r="A979" s="2" t="inlineStr">
        <is>
          <t>IMP00972</t>
        </is>
      </c>
      <c r="B979" s="2" t="n">
        <v>1</v>
      </c>
      <c r="C979" s="19" t="n">
        <v>0.906</v>
      </c>
      <c r="D979" s="29" t="n">
        <v>0</v>
      </c>
      <c r="E979" s="2" t="n">
        <v>1</v>
      </c>
      <c r="F979" s="2" t="n">
        <v>0</v>
      </c>
      <c r="G979" s="2" t="n">
        <v>0</v>
      </c>
      <c r="H979" s="30">
        <f>IF(AND(B979&gt;=5,C979&lt;&gt;"",C979&lt;0.8),1,0)</f>
        <v/>
      </c>
      <c r="I979" s="30">
        <f>IF(AND(B979&gt;=8,D979&lt;&gt;"",D979&gt;=0.25,D979&lt;=0.75),1,0)</f>
        <v/>
      </c>
      <c r="J979" s="2" t="n"/>
    </row>
    <row r="980">
      <c r="A980" s="2" t="inlineStr">
        <is>
          <t>IMP00973</t>
        </is>
      </c>
      <c r="B980" s="2" t="n">
        <v>0</v>
      </c>
      <c r="C980" s="19" t="n"/>
      <c r="D980" s="29" t="n"/>
      <c r="E980" s="2" t="n">
        <v>0</v>
      </c>
      <c r="F980" s="2" t="n">
        <v>0</v>
      </c>
      <c r="G980" s="2" t="n">
        <v>0</v>
      </c>
      <c r="H980" s="30">
        <f>IF(AND(B980&gt;=5,C980&lt;&gt;"",C980&lt;0.8),1,0)</f>
        <v/>
      </c>
      <c r="I980" s="30">
        <f>IF(AND(B980&gt;=8,D980&lt;&gt;"",D980&gt;=0.25,D980&lt;=0.75),1,0)</f>
        <v/>
      </c>
      <c r="J980" s="2" t="n"/>
    </row>
    <row r="981">
      <c r="A981" s="2" t="inlineStr">
        <is>
          <t>IMP00974</t>
        </is>
      </c>
      <c r="B981" s="2" t="n">
        <v>85</v>
      </c>
      <c r="C981" s="19" t="n">
        <v>1.04</v>
      </c>
      <c r="D981" s="29" t="n">
        <v>0</v>
      </c>
      <c r="E981" s="2" t="n">
        <v>1</v>
      </c>
      <c r="F981" s="2" t="n">
        <v>0</v>
      </c>
      <c r="G981" s="2" t="n">
        <v>0</v>
      </c>
      <c r="H981" s="30">
        <f>IF(AND(B981&gt;=5,C981&lt;&gt;"",C981&lt;0.8),1,0)</f>
        <v/>
      </c>
      <c r="I981" s="30">
        <f>IF(AND(B981&gt;=8,D981&lt;&gt;"",D981&gt;=0.25,D981&lt;=0.75),1,0)</f>
        <v/>
      </c>
      <c r="J981" s="2" t="n"/>
    </row>
    <row r="982">
      <c r="A982" s="2" t="inlineStr">
        <is>
          <t>IMP00975</t>
        </is>
      </c>
      <c r="B982" s="2" t="n">
        <v>27</v>
      </c>
      <c r="C982" s="19" t="n">
        <v>1.029</v>
      </c>
      <c r="D982" s="29" t="n">
        <v>0.1111</v>
      </c>
      <c r="E982" s="2" t="n">
        <v>1</v>
      </c>
      <c r="F982" s="2" t="n">
        <v>0</v>
      </c>
      <c r="G982" s="2" t="n">
        <v>0</v>
      </c>
      <c r="H982" s="30">
        <f>IF(AND(B982&gt;=5,C982&lt;&gt;"",C982&lt;0.8),1,0)</f>
        <v/>
      </c>
      <c r="I982" s="30">
        <f>IF(AND(B982&gt;=8,D982&lt;&gt;"",D982&gt;=0.25,D982&lt;=0.75),1,0)</f>
        <v/>
      </c>
      <c r="J982" s="2" t="n"/>
    </row>
    <row r="983">
      <c r="A983" s="2" t="inlineStr">
        <is>
          <t>IMP00976</t>
        </is>
      </c>
      <c r="B983" s="2" t="n">
        <v>7</v>
      </c>
      <c r="C983" s="19" t="n">
        <v>1.244</v>
      </c>
      <c r="D983" s="29" t="n">
        <v>0</v>
      </c>
      <c r="E983" s="2" t="n">
        <v>1</v>
      </c>
      <c r="F983" s="2" t="n">
        <v>0</v>
      </c>
      <c r="G983" s="2" t="n">
        <v>0</v>
      </c>
      <c r="H983" s="30">
        <f>IF(AND(B983&gt;=5,C983&lt;&gt;"",C983&lt;0.8),1,0)</f>
        <v/>
      </c>
      <c r="I983" s="30">
        <f>IF(AND(B983&gt;=8,D983&lt;&gt;"",D983&gt;=0.25,D983&lt;=0.75),1,0)</f>
        <v/>
      </c>
      <c r="J983" s="2" t="n"/>
    </row>
    <row r="984">
      <c r="A984" s="2" t="inlineStr">
        <is>
          <t>IMP00977</t>
        </is>
      </c>
      <c r="B984" s="2" t="n">
        <v>10</v>
      </c>
      <c r="C984" s="19" t="n">
        <v>1.2165</v>
      </c>
      <c r="D984" s="29" t="n">
        <v>0</v>
      </c>
      <c r="E984" s="2" t="n">
        <v>1</v>
      </c>
      <c r="F984" s="2" t="n">
        <v>0</v>
      </c>
      <c r="G984" s="2" t="n">
        <v>0</v>
      </c>
      <c r="H984" s="30">
        <f>IF(AND(B984&gt;=5,C984&lt;&gt;"",C984&lt;0.8),1,0)</f>
        <v/>
      </c>
      <c r="I984" s="30">
        <f>IF(AND(B984&gt;=8,D984&lt;&gt;"",D984&gt;=0.25,D984&lt;=0.75),1,0)</f>
        <v/>
      </c>
      <c r="J984" s="2" t="n"/>
    </row>
    <row r="985">
      <c r="A985" s="2" t="inlineStr">
        <is>
          <t>IMP00978</t>
        </is>
      </c>
      <c r="B985" s="2" t="n">
        <v>8</v>
      </c>
      <c r="C985" s="19" t="n">
        <v>1.0305</v>
      </c>
      <c r="D985" s="29" t="n">
        <v>0.25</v>
      </c>
      <c r="E985" s="2" t="n">
        <v>1</v>
      </c>
      <c r="F985" s="2" t="n">
        <v>0</v>
      </c>
      <c r="G985" s="2" t="n">
        <v>1</v>
      </c>
      <c r="H985" s="30">
        <f>IF(AND(B985&gt;=5,C985&lt;&gt;"",C985&lt;0.8),1,0)</f>
        <v/>
      </c>
      <c r="I985" s="30">
        <f>IF(AND(B985&gt;=8,D985&lt;&gt;"",D985&gt;=0.25,D985&lt;=0.75),1,0)</f>
        <v/>
      </c>
      <c r="J985" s="2" t="n"/>
    </row>
    <row r="986">
      <c r="A986" s="2" t="inlineStr">
        <is>
          <t>IMP00979</t>
        </is>
      </c>
      <c r="B986" s="2" t="n">
        <v>86</v>
      </c>
      <c r="C986" s="19" t="n">
        <v>0.919</v>
      </c>
      <c r="D986" s="29" t="n">
        <v>0.0465</v>
      </c>
      <c r="E986" s="2" t="n">
        <v>2</v>
      </c>
      <c r="F986" s="2" t="n">
        <v>0</v>
      </c>
      <c r="G986" s="2" t="n">
        <v>0</v>
      </c>
      <c r="H986" s="30">
        <f>IF(AND(B986&gt;=5,C986&lt;&gt;"",C986&lt;0.8),1,0)</f>
        <v/>
      </c>
      <c r="I986" s="30">
        <f>IF(AND(B986&gt;=8,D986&lt;&gt;"",D986&gt;=0.25,D986&lt;=0.75),1,0)</f>
        <v/>
      </c>
      <c r="J986" s="2" t="n"/>
    </row>
    <row r="987">
      <c r="A987" s="2" t="inlineStr">
        <is>
          <t>IMP00980</t>
        </is>
      </c>
      <c r="B987" s="2" t="n">
        <v>136</v>
      </c>
      <c r="C987" s="19" t="n">
        <v>0.9409999999999999</v>
      </c>
      <c r="D987" s="29" t="n">
        <v>0.0368</v>
      </c>
      <c r="E987" s="2" t="n">
        <v>1</v>
      </c>
      <c r="F987" s="2" t="n">
        <v>0</v>
      </c>
      <c r="G987" s="2" t="n">
        <v>0</v>
      </c>
      <c r="H987" s="30">
        <f>IF(AND(B987&gt;=5,C987&lt;&gt;"",C987&lt;0.8),1,0)</f>
        <v/>
      </c>
      <c r="I987" s="30">
        <f>IF(AND(B987&gt;=8,D987&lt;&gt;"",D987&gt;=0.25,D987&lt;=0.75),1,0)</f>
        <v/>
      </c>
      <c r="J987" s="2" t="n"/>
    </row>
    <row r="988">
      <c r="A988" s="2" t="inlineStr">
        <is>
          <t>IMP00981</t>
        </is>
      </c>
      <c r="B988" s="2" t="n">
        <v>1</v>
      </c>
      <c r="C988" s="19" t="n">
        <v>0.9360000000000001</v>
      </c>
      <c r="D988" s="29" t="n">
        <v>0</v>
      </c>
      <c r="E988" s="2" t="n">
        <v>1</v>
      </c>
      <c r="F988" s="2" t="n">
        <v>0</v>
      </c>
      <c r="G988" s="2" t="n">
        <v>0</v>
      </c>
      <c r="H988" s="30">
        <f>IF(AND(B988&gt;=5,C988&lt;&gt;"",C988&lt;0.8),1,0)</f>
        <v/>
      </c>
      <c r="I988" s="30">
        <f>IF(AND(B988&gt;=8,D988&lt;&gt;"",D988&gt;=0.25,D988&lt;=0.75),1,0)</f>
        <v/>
      </c>
      <c r="J988" s="2" t="n"/>
    </row>
    <row r="989">
      <c r="A989" s="2" t="inlineStr">
        <is>
          <t>IMP00982</t>
        </is>
      </c>
      <c r="B989" s="2" t="n">
        <v>4</v>
      </c>
      <c r="C989" s="19" t="n">
        <v>1.08</v>
      </c>
      <c r="D989" s="29" t="n">
        <v>0</v>
      </c>
      <c r="E989" s="2" t="n">
        <v>1</v>
      </c>
      <c r="F989" s="2" t="n">
        <v>0</v>
      </c>
      <c r="G989" s="2" t="n">
        <v>0</v>
      </c>
      <c r="H989" s="30">
        <f>IF(AND(B989&gt;=5,C989&lt;&gt;"",C989&lt;0.8),1,0)</f>
        <v/>
      </c>
      <c r="I989" s="30">
        <f>IF(AND(B989&gt;=8,D989&lt;&gt;"",D989&gt;=0.25,D989&lt;=0.75),1,0)</f>
        <v/>
      </c>
      <c r="J989" s="2" t="n"/>
    </row>
    <row r="990">
      <c r="A990" s="2" t="inlineStr">
        <is>
          <t>IMP00983</t>
        </is>
      </c>
      <c r="B990" s="2" t="n">
        <v>8</v>
      </c>
      <c r="C990" s="19" t="n">
        <v>1.1765</v>
      </c>
      <c r="D990" s="29" t="n">
        <v>0</v>
      </c>
      <c r="E990" s="2" t="n">
        <v>1</v>
      </c>
      <c r="F990" s="2" t="n">
        <v>0</v>
      </c>
      <c r="G990" s="2" t="n">
        <v>0</v>
      </c>
      <c r="H990" s="30">
        <f>IF(AND(B990&gt;=5,C990&lt;&gt;"",C990&lt;0.8),1,0)</f>
        <v/>
      </c>
      <c r="I990" s="30">
        <f>IF(AND(B990&gt;=8,D990&lt;&gt;"",D990&gt;=0.25,D990&lt;=0.75),1,0)</f>
        <v/>
      </c>
      <c r="J990" s="2" t="n"/>
    </row>
    <row r="991">
      <c r="A991" s="2" t="inlineStr">
        <is>
          <t>IMP00984</t>
        </is>
      </c>
      <c r="B991" s="2" t="n">
        <v>2</v>
      </c>
      <c r="C991" s="19" t="n">
        <v>1.071</v>
      </c>
      <c r="D991" s="29" t="n">
        <v>0</v>
      </c>
      <c r="E991" s="2" t="n">
        <v>1</v>
      </c>
      <c r="F991" s="2" t="n">
        <v>0</v>
      </c>
      <c r="G991" s="2" t="n">
        <v>0</v>
      </c>
      <c r="H991" s="30">
        <f>IF(AND(B991&gt;=5,C991&lt;&gt;"",C991&lt;0.8),1,0)</f>
        <v/>
      </c>
      <c r="I991" s="30">
        <f>IF(AND(B991&gt;=8,D991&lt;&gt;"",D991&gt;=0.25,D991&lt;=0.75),1,0)</f>
        <v/>
      </c>
      <c r="J991" s="2" t="n"/>
    </row>
    <row r="992">
      <c r="A992" s="2" t="inlineStr">
        <is>
          <t>IMP00985</t>
        </is>
      </c>
      <c r="B992" s="2" t="n">
        <v>3</v>
      </c>
      <c r="C992" s="19" t="n">
        <v>0.963</v>
      </c>
      <c r="D992" s="29" t="n">
        <v>0.3333</v>
      </c>
      <c r="E992" s="2" t="n">
        <v>1</v>
      </c>
      <c r="F992" s="2" t="n">
        <v>0</v>
      </c>
      <c r="G992" s="2" t="n">
        <v>0</v>
      </c>
      <c r="H992" s="30">
        <f>IF(AND(B992&gt;=5,C992&lt;&gt;"",C992&lt;0.8),1,0)</f>
        <v/>
      </c>
      <c r="I992" s="30">
        <f>IF(AND(B992&gt;=8,D992&lt;&gt;"",D992&gt;=0.25,D992&lt;=0.75),1,0)</f>
        <v/>
      </c>
      <c r="J992" s="2" t="n"/>
    </row>
    <row r="993">
      <c r="A993" s="2" t="inlineStr">
        <is>
          <t>IMP00986</t>
        </is>
      </c>
      <c r="B993" s="2" t="n">
        <v>3</v>
      </c>
      <c r="C993" s="19" t="n">
        <v>1.062</v>
      </c>
      <c r="D993" s="29" t="n">
        <v>0</v>
      </c>
      <c r="E993" s="2" t="n">
        <v>2</v>
      </c>
      <c r="F993" s="2" t="n">
        <v>0</v>
      </c>
      <c r="G993" s="2" t="n">
        <v>0</v>
      </c>
      <c r="H993" s="30">
        <f>IF(AND(B993&gt;=5,C993&lt;&gt;"",C993&lt;0.8),1,0)</f>
        <v/>
      </c>
      <c r="I993" s="30">
        <f>IF(AND(B993&gt;=8,D993&lt;&gt;"",D993&gt;=0.25,D993&lt;=0.75),1,0)</f>
        <v/>
      </c>
      <c r="J993" s="2" t="n"/>
    </row>
    <row r="994">
      <c r="A994" s="2" t="inlineStr">
        <is>
          <t>IMP00987</t>
        </is>
      </c>
      <c r="B994" s="2" t="n">
        <v>78</v>
      </c>
      <c r="C994" s="19" t="n">
        <v>0.895</v>
      </c>
      <c r="D994" s="29" t="n">
        <v>0.0769</v>
      </c>
      <c r="E994" s="2" t="n">
        <v>1</v>
      </c>
      <c r="F994" s="2" t="n">
        <v>0</v>
      </c>
      <c r="G994" s="2" t="n">
        <v>0</v>
      </c>
      <c r="H994" s="30">
        <f>IF(AND(B994&gt;=5,C994&lt;&gt;"",C994&lt;0.8),1,0)</f>
        <v/>
      </c>
      <c r="I994" s="30">
        <f>IF(AND(B994&gt;=8,D994&lt;&gt;"",D994&gt;=0.25,D994&lt;=0.75),1,0)</f>
        <v/>
      </c>
      <c r="J994" s="2" t="n"/>
    </row>
    <row r="995">
      <c r="A995" s="2" t="inlineStr">
        <is>
          <t>IMP00988</t>
        </is>
      </c>
      <c r="B995" s="2" t="n">
        <v>2</v>
      </c>
      <c r="C995" s="19" t="n">
        <v>0.9855</v>
      </c>
      <c r="D995" s="29" t="n">
        <v>0</v>
      </c>
      <c r="E995" s="2" t="n">
        <v>2</v>
      </c>
      <c r="F995" s="2" t="n">
        <v>0</v>
      </c>
      <c r="G995" s="2" t="n">
        <v>0</v>
      </c>
      <c r="H995" s="30">
        <f>IF(AND(B995&gt;=5,C995&lt;&gt;"",C995&lt;0.8),1,0)</f>
        <v/>
      </c>
      <c r="I995" s="30">
        <f>IF(AND(B995&gt;=8,D995&lt;&gt;"",D995&gt;=0.25,D995&lt;=0.75),1,0)</f>
        <v/>
      </c>
      <c r="J995" s="2" t="n"/>
    </row>
    <row r="996">
      <c r="A996" s="2" t="inlineStr">
        <is>
          <t>IMP00989</t>
        </is>
      </c>
      <c r="B996" s="2" t="n">
        <v>173</v>
      </c>
      <c r="C996" s="19" t="n">
        <v>0.974</v>
      </c>
      <c r="D996" s="29" t="n">
        <v>0.1908</v>
      </c>
      <c r="E996" s="2" t="n">
        <v>1</v>
      </c>
      <c r="F996" s="2" t="n">
        <v>0</v>
      </c>
      <c r="G996" s="2" t="n">
        <v>0</v>
      </c>
      <c r="H996" s="30">
        <f>IF(AND(B996&gt;=5,C996&lt;&gt;"",C996&lt;0.8),1,0)</f>
        <v/>
      </c>
      <c r="I996" s="30">
        <f>IF(AND(B996&gt;=8,D996&lt;&gt;"",D996&gt;=0.25,D996&lt;=0.75),1,0)</f>
        <v/>
      </c>
      <c r="J996" s="2" t="n"/>
    </row>
    <row r="997">
      <c r="A997" s="2" t="inlineStr">
        <is>
          <t>IMP00990</t>
        </is>
      </c>
      <c r="B997" s="2" t="n">
        <v>21</v>
      </c>
      <c r="C997" s="19" t="n">
        <v>0.9399999999999999</v>
      </c>
      <c r="D997" s="29" t="n">
        <v>0.2381</v>
      </c>
      <c r="E997" s="2" t="n">
        <v>9</v>
      </c>
      <c r="F997" s="2" t="n">
        <v>0</v>
      </c>
      <c r="G997" s="2" t="n">
        <v>0</v>
      </c>
      <c r="H997" s="30">
        <f>IF(AND(B997&gt;=5,C997&lt;&gt;"",C997&lt;0.8),1,0)</f>
        <v/>
      </c>
      <c r="I997" s="30">
        <f>IF(AND(B997&gt;=8,D997&lt;&gt;"",D997&gt;=0.25,D997&lt;=0.75),1,0)</f>
        <v/>
      </c>
      <c r="J997" s="2" t="n"/>
    </row>
    <row r="998">
      <c r="A998" s="2" t="inlineStr">
        <is>
          <t>IMP00991</t>
        </is>
      </c>
      <c r="B998" s="2" t="n">
        <v>1</v>
      </c>
      <c r="C998" s="19" t="n">
        <v>1.197</v>
      </c>
      <c r="D998" s="29" t="n">
        <v>0</v>
      </c>
      <c r="E998" s="2" t="n">
        <v>3</v>
      </c>
      <c r="F998" s="2" t="n">
        <v>0</v>
      </c>
      <c r="G998" s="2" t="n">
        <v>0</v>
      </c>
      <c r="H998" s="30">
        <f>IF(AND(B998&gt;=5,C998&lt;&gt;"",C998&lt;0.8),1,0)</f>
        <v/>
      </c>
      <c r="I998" s="30">
        <f>IF(AND(B998&gt;=8,D998&lt;&gt;"",D998&gt;=0.25,D998&lt;=0.75),1,0)</f>
        <v/>
      </c>
      <c r="J998" s="2" t="n"/>
    </row>
    <row r="999">
      <c r="A999" s="2" t="inlineStr">
        <is>
          <t>IMP00992</t>
        </is>
      </c>
      <c r="B999" s="2" t="n">
        <v>264</v>
      </c>
      <c r="C999" s="19" t="n">
        <v>1.016</v>
      </c>
      <c r="D999" s="29" t="n">
        <v>0.0455</v>
      </c>
      <c r="E999" s="2" t="n">
        <v>1</v>
      </c>
      <c r="F999" s="2" t="n">
        <v>0</v>
      </c>
      <c r="G999" s="2" t="n">
        <v>0</v>
      </c>
      <c r="H999" s="30">
        <f>IF(AND(B999&gt;=5,C999&lt;&gt;"",C999&lt;0.8),1,0)</f>
        <v/>
      </c>
      <c r="I999" s="30">
        <f>IF(AND(B999&gt;=8,D999&lt;&gt;"",D999&gt;=0.25,D999&lt;=0.75),1,0)</f>
        <v/>
      </c>
      <c r="J999" s="2" t="n"/>
    </row>
    <row r="1000">
      <c r="A1000" s="2" t="inlineStr">
        <is>
          <t>IMP00993</t>
        </is>
      </c>
      <c r="B1000" s="2" t="n">
        <v>1</v>
      </c>
      <c r="C1000" s="19" t="n">
        <v>0.979</v>
      </c>
      <c r="D1000" s="29" t="n">
        <v>0</v>
      </c>
      <c r="E1000" s="2" t="n">
        <v>1</v>
      </c>
      <c r="F1000" s="2" t="n">
        <v>0</v>
      </c>
      <c r="G1000" s="2" t="n">
        <v>0</v>
      </c>
      <c r="H1000" s="30">
        <f>IF(AND(B1000&gt;=5,C1000&lt;&gt;"",C1000&lt;0.8),1,0)</f>
        <v/>
      </c>
      <c r="I1000" s="30">
        <f>IF(AND(B1000&gt;=8,D1000&lt;&gt;"",D1000&gt;=0.25,D1000&lt;=0.75),1,0)</f>
        <v/>
      </c>
      <c r="J1000" s="2" t="n"/>
    </row>
    <row r="1001">
      <c r="A1001" s="2" t="inlineStr">
        <is>
          <t>IMP00994</t>
        </is>
      </c>
      <c r="B1001" s="2" t="n">
        <v>1</v>
      </c>
      <c r="C1001" s="19" t="n">
        <v>0.681</v>
      </c>
      <c r="D1001" s="29" t="n">
        <v>1</v>
      </c>
      <c r="E1001" s="2" t="n">
        <v>1</v>
      </c>
      <c r="F1001" s="2" t="n">
        <v>0</v>
      </c>
      <c r="G1001" s="2" t="n">
        <v>0</v>
      </c>
      <c r="H1001" s="30">
        <f>IF(AND(B1001&gt;=5,C1001&lt;&gt;"",C1001&lt;0.8),1,0)</f>
        <v/>
      </c>
      <c r="I1001" s="30">
        <f>IF(AND(B1001&gt;=8,D1001&lt;&gt;"",D1001&gt;=0.25,D1001&lt;=0.75),1,0)</f>
        <v/>
      </c>
      <c r="J1001" s="2" t="n"/>
    </row>
    <row r="1002">
      <c r="A1002" s="2" t="inlineStr">
        <is>
          <t>IMP00995</t>
        </is>
      </c>
      <c r="B1002" s="2" t="n">
        <v>19</v>
      </c>
      <c r="C1002" s="19" t="n">
        <v>0.87</v>
      </c>
      <c r="D1002" s="29" t="n">
        <v>0.1579</v>
      </c>
      <c r="E1002" s="2" t="n">
        <v>1</v>
      </c>
      <c r="F1002" s="2" t="n">
        <v>0</v>
      </c>
      <c r="G1002" s="2" t="n">
        <v>0</v>
      </c>
      <c r="H1002" s="30">
        <f>IF(AND(B1002&gt;=5,C1002&lt;&gt;"",C1002&lt;0.8),1,0)</f>
        <v/>
      </c>
      <c r="I1002" s="30">
        <f>IF(AND(B1002&gt;=8,D1002&lt;&gt;"",D1002&gt;=0.25,D1002&lt;=0.75),1,0)</f>
        <v/>
      </c>
      <c r="J1002" s="2" t="n"/>
    </row>
    <row r="1003">
      <c r="A1003" s="2" t="inlineStr">
        <is>
          <t>IMP00996</t>
        </is>
      </c>
      <c r="B1003" s="2" t="n">
        <v>32</v>
      </c>
      <c r="C1003" s="19" t="n">
        <v>0.911</v>
      </c>
      <c r="D1003" s="29" t="n">
        <v>0.0312</v>
      </c>
      <c r="E1003" s="2" t="n">
        <v>1</v>
      </c>
      <c r="F1003" s="2" t="n">
        <v>0</v>
      </c>
      <c r="G1003" s="2" t="n">
        <v>0</v>
      </c>
      <c r="H1003" s="30">
        <f>IF(AND(B1003&gt;=5,C1003&lt;&gt;"",C1003&lt;0.8),1,0)</f>
        <v/>
      </c>
      <c r="I1003" s="30">
        <f>IF(AND(B1003&gt;=8,D1003&lt;&gt;"",D1003&gt;=0.25,D1003&lt;=0.75),1,0)</f>
        <v/>
      </c>
      <c r="J1003" s="2" t="n"/>
    </row>
    <row r="1004">
      <c r="A1004" s="2" t="inlineStr">
        <is>
          <t>IMP00997</t>
        </is>
      </c>
      <c r="B1004" s="2" t="n">
        <v>75</v>
      </c>
      <c r="C1004" s="19" t="n">
        <v>1.012</v>
      </c>
      <c r="D1004" s="29" t="n">
        <v>0.0133</v>
      </c>
      <c r="E1004" s="2" t="n">
        <v>2</v>
      </c>
      <c r="F1004" s="2" t="n">
        <v>0</v>
      </c>
      <c r="G1004" s="2" t="n">
        <v>0</v>
      </c>
      <c r="H1004" s="30">
        <f>IF(AND(B1004&gt;=5,C1004&lt;&gt;"",C1004&lt;0.8),1,0)</f>
        <v/>
      </c>
      <c r="I1004" s="30">
        <f>IF(AND(B1004&gt;=8,D1004&lt;&gt;"",D1004&gt;=0.25,D1004&lt;=0.75),1,0)</f>
        <v/>
      </c>
      <c r="J1004" s="2" t="n"/>
    </row>
    <row r="1005">
      <c r="A1005" s="2" t="inlineStr">
        <is>
          <t>IMP00998</t>
        </is>
      </c>
      <c r="B1005" s="2" t="n">
        <v>90</v>
      </c>
      <c r="C1005" s="19" t="n">
        <v>0.987</v>
      </c>
      <c r="D1005" s="29" t="n">
        <v>0.0111</v>
      </c>
      <c r="E1005" s="2" t="n">
        <v>1</v>
      </c>
      <c r="F1005" s="2" t="n">
        <v>0</v>
      </c>
      <c r="G1005" s="2" t="n">
        <v>0</v>
      </c>
      <c r="H1005" s="30">
        <f>IF(AND(B1005&gt;=5,C1005&lt;&gt;"",C1005&lt;0.8),1,0)</f>
        <v/>
      </c>
      <c r="I1005" s="30">
        <f>IF(AND(B1005&gt;=8,D1005&lt;&gt;"",D1005&gt;=0.25,D1005&lt;=0.75),1,0)</f>
        <v/>
      </c>
      <c r="J1005" s="2" t="n"/>
    </row>
    <row r="1006">
      <c r="A1006" s="2" t="inlineStr">
        <is>
          <t>IMP00999</t>
        </is>
      </c>
      <c r="B1006" s="2" t="n">
        <v>1327</v>
      </c>
      <c r="C1006" s="19" t="n">
        <v>0.984</v>
      </c>
      <c r="D1006" s="29" t="n">
        <v>0.08359999999999999</v>
      </c>
      <c r="E1006" s="2" t="n">
        <v>3</v>
      </c>
      <c r="F1006" s="2" t="n">
        <v>0</v>
      </c>
      <c r="G1006" s="2" t="n">
        <v>0</v>
      </c>
      <c r="H1006" s="30">
        <f>IF(AND(B1006&gt;=5,C1006&lt;&gt;"",C1006&lt;0.8),1,0)</f>
        <v/>
      </c>
      <c r="I1006" s="30">
        <f>IF(AND(B1006&gt;=8,D1006&lt;&gt;"",D1006&gt;=0.25,D1006&lt;=0.75),1,0)</f>
        <v/>
      </c>
      <c r="J1006" s="2" t="n"/>
    </row>
    <row r="1007">
      <c r="A1007" s="2" t="inlineStr">
        <is>
          <t>IMP01000</t>
        </is>
      </c>
      <c r="B1007" s="2" t="n">
        <v>37</v>
      </c>
      <c r="C1007" s="19" t="n">
        <v>1.095</v>
      </c>
      <c r="D1007" s="29" t="n">
        <v>0.027</v>
      </c>
      <c r="E1007" s="2" t="n">
        <v>1</v>
      </c>
      <c r="F1007" s="2" t="n">
        <v>0</v>
      </c>
      <c r="G1007" s="2" t="n">
        <v>0</v>
      </c>
      <c r="H1007" s="30">
        <f>IF(AND(B1007&gt;=5,C1007&lt;&gt;"",C1007&lt;0.8),1,0)</f>
        <v/>
      </c>
      <c r="I1007" s="30">
        <f>IF(AND(B1007&gt;=8,D1007&lt;&gt;"",D1007&gt;=0.25,D1007&lt;=0.75),1,0)</f>
        <v/>
      </c>
      <c r="J1007" s="2" t="n"/>
    </row>
    <row r="1008">
      <c r="A1008" s="2" t="inlineStr">
        <is>
          <t>IMP01001</t>
        </is>
      </c>
      <c r="B1008" s="2" t="n">
        <v>571</v>
      </c>
      <c r="C1008" s="19" t="n">
        <v>0.963</v>
      </c>
      <c r="D1008" s="29" t="n">
        <v>0.1068</v>
      </c>
      <c r="E1008" s="2" t="n">
        <v>2</v>
      </c>
      <c r="F1008" s="2" t="n">
        <v>0</v>
      </c>
      <c r="G1008" s="2" t="n">
        <v>0</v>
      </c>
      <c r="H1008" s="30">
        <f>IF(AND(B1008&gt;=5,C1008&lt;&gt;"",C1008&lt;0.8),1,0)</f>
        <v/>
      </c>
      <c r="I1008" s="30">
        <f>IF(AND(B1008&gt;=8,D1008&lt;&gt;"",D1008&gt;=0.25,D1008&lt;=0.75),1,0)</f>
        <v/>
      </c>
      <c r="J1008" s="2" t="n"/>
    </row>
    <row r="1009">
      <c r="A1009" s="2" t="inlineStr">
        <is>
          <t>IMP01002</t>
        </is>
      </c>
      <c r="B1009" s="2" t="n">
        <v>0</v>
      </c>
      <c r="C1009" s="19" t="n"/>
      <c r="D1009" s="29" t="n"/>
      <c r="E1009" s="2" t="n">
        <v>0</v>
      </c>
      <c r="F1009" s="2" t="n">
        <v>0</v>
      </c>
      <c r="G1009" s="2" t="n">
        <v>0</v>
      </c>
      <c r="H1009" s="30">
        <f>IF(AND(B1009&gt;=5,C1009&lt;&gt;"",C1009&lt;0.8),1,0)</f>
        <v/>
      </c>
      <c r="I1009" s="30">
        <f>IF(AND(B1009&gt;=8,D1009&lt;&gt;"",D1009&gt;=0.25,D1009&lt;=0.75),1,0)</f>
        <v/>
      </c>
      <c r="J1009" s="2" t="n"/>
    </row>
    <row r="1010">
      <c r="A1010" s="2" t="inlineStr">
        <is>
          <t>IMP01003</t>
        </is>
      </c>
      <c r="B1010" s="2" t="n">
        <v>8</v>
      </c>
      <c r="C1010" s="19" t="n">
        <v>0.9005</v>
      </c>
      <c r="D1010" s="29" t="n">
        <v>0.25</v>
      </c>
      <c r="E1010" s="2" t="n">
        <v>1</v>
      </c>
      <c r="F1010" s="2" t="n">
        <v>0</v>
      </c>
      <c r="G1010" s="2" t="n">
        <v>1</v>
      </c>
      <c r="H1010" s="30">
        <f>IF(AND(B1010&gt;=5,C1010&lt;&gt;"",C1010&lt;0.8),1,0)</f>
        <v/>
      </c>
      <c r="I1010" s="30">
        <f>IF(AND(B1010&gt;=8,D1010&lt;&gt;"",D1010&gt;=0.25,D1010&lt;=0.75),1,0)</f>
        <v/>
      </c>
      <c r="J1010" s="2" t="n"/>
    </row>
    <row r="1011">
      <c r="A1011" s="2" t="inlineStr">
        <is>
          <t>IMP01004</t>
        </is>
      </c>
      <c r="B1011" s="2" t="n">
        <v>313</v>
      </c>
      <c r="C1011" s="19" t="n">
        <v>0.991</v>
      </c>
      <c r="D1011" s="29" t="n">
        <v>0.0511</v>
      </c>
      <c r="E1011" s="2" t="n">
        <v>1</v>
      </c>
      <c r="F1011" s="2" t="n">
        <v>0</v>
      </c>
      <c r="G1011" s="2" t="n">
        <v>0</v>
      </c>
      <c r="H1011" s="30">
        <f>IF(AND(B1011&gt;=5,C1011&lt;&gt;"",C1011&lt;0.8),1,0)</f>
        <v/>
      </c>
      <c r="I1011" s="30">
        <f>IF(AND(B1011&gt;=8,D1011&lt;&gt;"",D1011&gt;=0.25,D1011&lt;=0.75),1,0)</f>
        <v/>
      </c>
      <c r="J1011" s="2" t="n"/>
    </row>
    <row r="1012">
      <c r="A1012" s="2" t="inlineStr">
        <is>
          <t>IMP01005</t>
        </is>
      </c>
      <c r="B1012" s="2" t="n">
        <v>12</v>
      </c>
      <c r="C1012" s="19" t="n">
        <v>0.7185</v>
      </c>
      <c r="D1012" s="29" t="n">
        <v>0.5833</v>
      </c>
      <c r="E1012" s="2" t="n">
        <v>9</v>
      </c>
      <c r="F1012" s="2" t="n">
        <v>1</v>
      </c>
      <c r="G1012" s="2" t="n">
        <v>1</v>
      </c>
      <c r="H1012" s="30">
        <f>IF(AND(B1012&gt;=5,C1012&lt;&gt;"",C1012&lt;0.8),1,0)</f>
        <v/>
      </c>
      <c r="I1012" s="30">
        <f>IF(AND(B1012&gt;=8,D1012&lt;&gt;"",D1012&gt;=0.25,D1012&lt;=0.75),1,0)</f>
        <v/>
      </c>
      <c r="J1012" s="2" t="n"/>
    </row>
    <row r="1013">
      <c r="A1013" s="2" t="inlineStr">
        <is>
          <t>IMP01006</t>
        </is>
      </c>
      <c r="B1013" s="2" t="n">
        <v>66</v>
      </c>
      <c r="C1013" s="19" t="n">
        <v>1.003</v>
      </c>
      <c r="D1013" s="29" t="n">
        <v>0.1364</v>
      </c>
      <c r="E1013" s="2" t="n">
        <v>1</v>
      </c>
      <c r="F1013" s="2" t="n">
        <v>0</v>
      </c>
      <c r="G1013" s="2" t="n">
        <v>0</v>
      </c>
      <c r="H1013" s="30">
        <f>IF(AND(B1013&gt;=5,C1013&lt;&gt;"",C1013&lt;0.8),1,0)</f>
        <v/>
      </c>
      <c r="I1013" s="30">
        <f>IF(AND(B1013&gt;=8,D1013&lt;&gt;"",D1013&gt;=0.25,D1013&lt;=0.75),1,0)</f>
        <v/>
      </c>
      <c r="J1013" s="2" t="n"/>
    </row>
    <row r="1014">
      <c r="A1014" s="2" t="inlineStr">
        <is>
          <t>IMP01007</t>
        </is>
      </c>
      <c r="B1014" s="2" t="n">
        <v>314</v>
      </c>
      <c r="C1014" s="19" t="n">
        <v>0.967</v>
      </c>
      <c r="D1014" s="29" t="n">
        <v>0.0223</v>
      </c>
      <c r="E1014" s="2" t="n">
        <v>2</v>
      </c>
      <c r="F1014" s="2" t="n">
        <v>0</v>
      </c>
      <c r="G1014" s="2" t="n">
        <v>0</v>
      </c>
      <c r="H1014" s="30">
        <f>IF(AND(B1014&gt;=5,C1014&lt;&gt;"",C1014&lt;0.8),1,0)</f>
        <v/>
      </c>
      <c r="I1014" s="30">
        <f>IF(AND(B1014&gt;=8,D1014&lt;&gt;"",D1014&gt;=0.25,D1014&lt;=0.75),1,0)</f>
        <v/>
      </c>
      <c r="J1014" s="2" t="n"/>
    </row>
    <row r="1015">
      <c r="A1015" s="2" t="inlineStr">
        <is>
          <t>IMP01008</t>
        </is>
      </c>
      <c r="B1015" s="2" t="n">
        <v>0</v>
      </c>
      <c r="C1015" s="19" t="n"/>
      <c r="D1015" s="29" t="n"/>
      <c r="E1015" s="2" t="n">
        <v>0</v>
      </c>
      <c r="F1015" s="2" t="n">
        <v>0</v>
      </c>
      <c r="G1015" s="2" t="n">
        <v>0</v>
      </c>
      <c r="H1015" s="30">
        <f>IF(AND(B1015&gt;=5,C1015&lt;&gt;"",C1015&lt;0.8),1,0)</f>
        <v/>
      </c>
      <c r="I1015" s="30">
        <f>IF(AND(B1015&gt;=8,D1015&lt;&gt;"",D1015&gt;=0.25,D1015&lt;=0.75),1,0)</f>
        <v/>
      </c>
      <c r="J1015" s="2" t="n"/>
    </row>
    <row r="1016">
      <c r="A1016" s="2" t="inlineStr">
        <is>
          <t>IMP01009</t>
        </is>
      </c>
      <c r="B1016" s="2" t="n">
        <v>51</v>
      </c>
      <c r="C1016" s="19" t="n">
        <v>0.9409999999999999</v>
      </c>
      <c r="D1016" s="29" t="n">
        <v>0</v>
      </c>
      <c r="E1016" s="2" t="n">
        <v>1</v>
      </c>
      <c r="F1016" s="2" t="n">
        <v>0</v>
      </c>
      <c r="G1016" s="2" t="n">
        <v>0</v>
      </c>
      <c r="H1016" s="30">
        <f>IF(AND(B1016&gt;=5,C1016&lt;&gt;"",C1016&lt;0.8),1,0)</f>
        <v/>
      </c>
      <c r="I1016" s="30">
        <f>IF(AND(B1016&gt;=8,D1016&lt;&gt;"",D1016&gt;=0.25,D1016&lt;=0.75),1,0)</f>
        <v/>
      </c>
      <c r="J1016" s="2" t="n"/>
    </row>
    <row r="1017">
      <c r="A1017" s="2" t="inlineStr">
        <is>
          <t>IMP01010</t>
        </is>
      </c>
      <c r="B1017" s="2" t="n">
        <v>17</v>
      </c>
      <c r="C1017" s="19" t="n">
        <v>1.363</v>
      </c>
      <c r="D1017" s="29" t="n">
        <v>0</v>
      </c>
      <c r="E1017" s="2" t="n">
        <v>1</v>
      </c>
      <c r="F1017" s="2" t="n">
        <v>0</v>
      </c>
      <c r="G1017" s="2" t="n">
        <v>0</v>
      </c>
      <c r="H1017" s="30">
        <f>IF(AND(B1017&gt;=5,C1017&lt;&gt;"",C1017&lt;0.8),1,0)</f>
        <v/>
      </c>
      <c r="I1017" s="30">
        <f>IF(AND(B1017&gt;=8,D1017&lt;&gt;"",D1017&gt;=0.25,D1017&lt;=0.75),1,0)</f>
        <v/>
      </c>
      <c r="J1017" s="2" t="n"/>
    </row>
    <row r="1018">
      <c r="A1018" s="2" t="inlineStr">
        <is>
          <t>IMP01011</t>
        </is>
      </c>
      <c r="B1018" s="2" t="n">
        <v>293</v>
      </c>
      <c r="C1018" s="19" t="n">
        <v>1.021</v>
      </c>
      <c r="D1018" s="29" t="n">
        <v>0.041</v>
      </c>
      <c r="E1018" s="2" t="n">
        <v>1</v>
      </c>
      <c r="F1018" s="2" t="n">
        <v>0</v>
      </c>
      <c r="G1018" s="2" t="n">
        <v>0</v>
      </c>
      <c r="H1018" s="30">
        <f>IF(AND(B1018&gt;=5,C1018&lt;&gt;"",C1018&lt;0.8),1,0)</f>
        <v/>
      </c>
      <c r="I1018" s="30">
        <f>IF(AND(B1018&gt;=8,D1018&lt;&gt;"",D1018&gt;=0.25,D1018&lt;=0.75),1,0)</f>
        <v/>
      </c>
      <c r="J1018" s="2" t="n"/>
    </row>
    <row r="1019">
      <c r="A1019" s="2" t="inlineStr">
        <is>
          <t>IMP01012</t>
        </is>
      </c>
      <c r="B1019" s="2" t="n">
        <v>23</v>
      </c>
      <c r="C1019" s="19" t="n">
        <v>1.025</v>
      </c>
      <c r="D1019" s="29" t="n">
        <v>0.08699999999999999</v>
      </c>
      <c r="E1019" s="2" t="n">
        <v>3</v>
      </c>
      <c r="F1019" s="2" t="n">
        <v>0</v>
      </c>
      <c r="G1019" s="2" t="n">
        <v>0</v>
      </c>
      <c r="H1019" s="30">
        <f>IF(AND(B1019&gt;=5,C1019&lt;&gt;"",C1019&lt;0.8),1,0)</f>
        <v/>
      </c>
      <c r="I1019" s="30">
        <f>IF(AND(B1019&gt;=8,D1019&lt;&gt;"",D1019&gt;=0.25,D1019&lt;=0.75),1,0)</f>
        <v/>
      </c>
      <c r="J1019" s="2" t="n"/>
    </row>
    <row r="1020">
      <c r="A1020" s="2" t="inlineStr">
        <is>
          <t>IMP01013</t>
        </is>
      </c>
      <c r="B1020" s="2" t="n">
        <v>57</v>
      </c>
      <c r="C1020" s="19" t="n">
        <v>0.955</v>
      </c>
      <c r="D1020" s="29" t="n">
        <v>0.1579</v>
      </c>
      <c r="E1020" s="2" t="n">
        <v>2</v>
      </c>
      <c r="F1020" s="2" t="n">
        <v>0</v>
      </c>
      <c r="G1020" s="2" t="n">
        <v>0</v>
      </c>
      <c r="H1020" s="30">
        <f>IF(AND(B1020&gt;=5,C1020&lt;&gt;"",C1020&lt;0.8),1,0)</f>
        <v/>
      </c>
      <c r="I1020" s="30">
        <f>IF(AND(B1020&gt;=8,D1020&lt;&gt;"",D1020&gt;=0.25,D1020&lt;=0.75),1,0)</f>
        <v/>
      </c>
      <c r="J1020" s="2" t="n"/>
    </row>
    <row r="1021">
      <c r="A1021" s="2" t="inlineStr">
        <is>
          <t>IMP01014</t>
        </is>
      </c>
      <c r="B1021" s="2" t="n">
        <v>0</v>
      </c>
      <c r="C1021" s="19" t="n"/>
      <c r="D1021" s="29" t="n"/>
      <c r="E1021" s="2" t="n">
        <v>0</v>
      </c>
      <c r="F1021" s="2" t="n">
        <v>0</v>
      </c>
      <c r="G1021" s="2" t="n">
        <v>0</v>
      </c>
      <c r="H1021" s="30">
        <f>IF(AND(B1021&gt;=5,C1021&lt;&gt;"",C1021&lt;0.8),1,0)</f>
        <v/>
      </c>
      <c r="I1021" s="30">
        <f>IF(AND(B1021&gt;=8,D1021&lt;&gt;"",D1021&gt;=0.25,D1021&lt;=0.75),1,0)</f>
        <v/>
      </c>
      <c r="J1021" s="2" t="n"/>
    </row>
    <row r="1022">
      <c r="A1022" s="2" t="inlineStr">
        <is>
          <t>IMP01015</t>
        </is>
      </c>
      <c r="B1022" s="2" t="n">
        <v>225</v>
      </c>
      <c r="C1022" s="19" t="n">
        <v>1.104</v>
      </c>
      <c r="D1022" s="29" t="n">
        <v>0.0044</v>
      </c>
      <c r="E1022" s="2" t="n">
        <v>1</v>
      </c>
      <c r="F1022" s="2" t="n">
        <v>0</v>
      </c>
      <c r="G1022" s="2" t="n">
        <v>0</v>
      </c>
      <c r="H1022" s="30">
        <f>IF(AND(B1022&gt;=5,C1022&lt;&gt;"",C1022&lt;0.8),1,0)</f>
        <v/>
      </c>
      <c r="I1022" s="30">
        <f>IF(AND(B1022&gt;=8,D1022&lt;&gt;"",D1022&gt;=0.25,D1022&lt;=0.75),1,0)</f>
        <v/>
      </c>
      <c r="J1022" s="2" t="n"/>
    </row>
    <row r="1023">
      <c r="A1023" s="2" t="inlineStr">
        <is>
          <t>IMP01016</t>
        </is>
      </c>
      <c r="B1023" s="2" t="n">
        <v>138</v>
      </c>
      <c r="C1023" s="19" t="n">
        <v>1.086</v>
      </c>
      <c r="D1023" s="29" t="n">
        <v>0.0145</v>
      </c>
      <c r="E1023" s="2" t="n">
        <v>1</v>
      </c>
      <c r="F1023" s="2" t="n">
        <v>0</v>
      </c>
      <c r="G1023" s="2" t="n">
        <v>0</v>
      </c>
      <c r="H1023" s="30">
        <f>IF(AND(B1023&gt;=5,C1023&lt;&gt;"",C1023&lt;0.8),1,0)</f>
        <v/>
      </c>
      <c r="I1023" s="30">
        <f>IF(AND(B1023&gt;=8,D1023&lt;&gt;"",D1023&gt;=0.25,D1023&lt;=0.75),1,0)</f>
        <v/>
      </c>
      <c r="J1023" s="2" t="n"/>
    </row>
    <row r="1024">
      <c r="A1024" s="2" t="inlineStr">
        <is>
          <t>IMP01017</t>
        </is>
      </c>
      <c r="B1024" s="2" t="n">
        <v>1</v>
      </c>
      <c r="C1024" s="19" t="n">
        <v>0.793</v>
      </c>
      <c r="D1024" s="29" t="n">
        <v>0</v>
      </c>
      <c r="E1024" s="2" t="n">
        <v>1</v>
      </c>
      <c r="F1024" s="2" t="n">
        <v>0</v>
      </c>
      <c r="G1024" s="2" t="n">
        <v>0</v>
      </c>
      <c r="H1024" s="30">
        <f>IF(AND(B1024&gt;=5,C1024&lt;&gt;"",C1024&lt;0.8),1,0)</f>
        <v/>
      </c>
      <c r="I1024" s="30">
        <f>IF(AND(B1024&gt;=8,D1024&lt;&gt;"",D1024&gt;=0.25,D1024&lt;=0.75),1,0)</f>
        <v/>
      </c>
      <c r="J1024" s="2" t="n"/>
    </row>
    <row r="1025">
      <c r="A1025" s="2" t="inlineStr">
        <is>
          <t>IMP01018</t>
        </is>
      </c>
      <c r="B1025" s="2" t="n">
        <v>43</v>
      </c>
      <c r="C1025" s="19" t="n">
        <v>0.9419999999999999</v>
      </c>
      <c r="D1025" s="29" t="n">
        <v>0.186</v>
      </c>
      <c r="E1025" s="2" t="n">
        <v>4</v>
      </c>
      <c r="F1025" s="2" t="n">
        <v>0</v>
      </c>
      <c r="G1025" s="2" t="n">
        <v>0</v>
      </c>
      <c r="H1025" s="30">
        <f>IF(AND(B1025&gt;=5,C1025&lt;&gt;"",C1025&lt;0.8),1,0)</f>
        <v/>
      </c>
      <c r="I1025" s="30">
        <f>IF(AND(B1025&gt;=8,D1025&lt;&gt;"",D1025&gt;=0.25,D1025&lt;=0.75),1,0)</f>
        <v/>
      </c>
      <c r="J1025" s="2" t="n"/>
    </row>
    <row r="1026">
      <c r="A1026" s="2" t="inlineStr">
        <is>
          <t>IMP01019</t>
        </is>
      </c>
      <c r="B1026" s="2" t="n">
        <v>0</v>
      </c>
      <c r="C1026" s="19" t="n"/>
      <c r="D1026" s="29" t="n"/>
      <c r="E1026" s="2" t="n">
        <v>0</v>
      </c>
      <c r="F1026" s="2" t="n">
        <v>0</v>
      </c>
      <c r="G1026" s="2" t="n">
        <v>0</v>
      </c>
      <c r="H1026" s="30">
        <f>IF(AND(B1026&gt;=5,C1026&lt;&gt;"",C1026&lt;0.8),1,0)</f>
        <v/>
      </c>
      <c r="I1026" s="30">
        <f>IF(AND(B1026&gt;=8,D1026&lt;&gt;"",D1026&gt;=0.25,D1026&lt;=0.75),1,0)</f>
        <v/>
      </c>
      <c r="J1026" s="2" t="n"/>
    </row>
    <row r="1027">
      <c r="A1027" s="2" t="inlineStr">
        <is>
          <t>IMP01020</t>
        </is>
      </c>
      <c r="B1027" s="2" t="n">
        <v>18</v>
      </c>
      <c r="C1027" s="19" t="n">
        <v>0.917</v>
      </c>
      <c r="D1027" s="29" t="n">
        <v>0.2222</v>
      </c>
      <c r="E1027" s="2" t="n">
        <v>3</v>
      </c>
      <c r="F1027" s="2" t="n">
        <v>0</v>
      </c>
      <c r="G1027" s="2" t="n">
        <v>0</v>
      </c>
      <c r="H1027" s="30">
        <f>IF(AND(B1027&gt;=5,C1027&lt;&gt;"",C1027&lt;0.8),1,0)</f>
        <v/>
      </c>
      <c r="I1027" s="30">
        <f>IF(AND(B1027&gt;=8,D1027&lt;&gt;"",D1027&gt;=0.25,D1027&lt;=0.75),1,0)</f>
        <v/>
      </c>
      <c r="J1027" s="2" t="n"/>
    </row>
    <row r="1028">
      <c r="A1028" s="2" t="inlineStr">
        <is>
          <t>IMP01021</t>
        </is>
      </c>
      <c r="B1028" s="2" t="n">
        <v>0</v>
      </c>
      <c r="C1028" s="19" t="n"/>
      <c r="D1028" s="29" t="n"/>
      <c r="E1028" s="2" t="n">
        <v>0</v>
      </c>
      <c r="F1028" s="2" t="n">
        <v>0</v>
      </c>
      <c r="G1028" s="2" t="n">
        <v>0</v>
      </c>
      <c r="H1028" s="30">
        <f>IF(AND(B1028&gt;=5,C1028&lt;&gt;"",C1028&lt;0.8),1,0)</f>
        <v/>
      </c>
      <c r="I1028" s="30">
        <f>IF(AND(B1028&gt;=8,D1028&lt;&gt;"",D1028&gt;=0.25,D1028&lt;=0.75),1,0)</f>
        <v/>
      </c>
      <c r="J1028" s="2" t="n"/>
    </row>
    <row r="1029">
      <c r="A1029" s="2" t="inlineStr">
        <is>
          <t>IMP01022</t>
        </is>
      </c>
      <c r="B1029" s="2" t="n">
        <v>5</v>
      </c>
      <c r="C1029" s="19" t="n">
        <v>1.308</v>
      </c>
      <c r="D1029" s="29" t="n">
        <v>0.2</v>
      </c>
      <c r="E1029" s="2" t="n">
        <v>2</v>
      </c>
      <c r="F1029" s="2" t="n">
        <v>0</v>
      </c>
      <c r="G1029" s="2" t="n">
        <v>0</v>
      </c>
      <c r="H1029" s="30">
        <f>IF(AND(B1029&gt;=5,C1029&lt;&gt;"",C1029&lt;0.8),1,0)</f>
        <v/>
      </c>
      <c r="I1029" s="30">
        <f>IF(AND(B1029&gt;=8,D1029&lt;&gt;"",D1029&gt;=0.25,D1029&lt;=0.75),1,0)</f>
        <v/>
      </c>
      <c r="J1029" s="2" t="n"/>
    </row>
    <row r="1030">
      <c r="A1030" s="2" t="inlineStr">
        <is>
          <t>IMP01023</t>
        </is>
      </c>
      <c r="B1030" s="2" t="n">
        <v>21</v>
      </c>
      <c r="C1030" s="19" t="n">
        <v>0.991</v>
      </c>
      <c r="D1030" s="29" t="n">
        <v>0.09520000000000001</v>
      </c>
      <c r="E1030" s="2" t="n">
        <v>1</v>
      </c>
      <c r="F1030" s="2" t="n">
        <v>0</v>
      </c>
      <c r="G1030" s="2" t="n">
        <v>0</v>
      </c>
      <c r="H1030" s="30">
        <f>IF(AND(B1030&gt;=5,C1030&lt;&gt;"",C1030&lt;0.8),1,0)</f>
        <v/>
      </c>
      <c r="I1030" s="30">
        <f>IF(AND(B1030&gt;=8,D1030&lt;&gt;"",D1030&gt;=0.25,D1030&lt;=0.75),1,0)</f>
        <v/>
      </c>
      <c r="J1030" s="2" t="n"/>
    </row>
    <row r="1031">
      <c r="A1031" s="2" t="inlineStr">
        <is>
          <t>IMP01024</t>
        </is>
      </c>
      <c r="B1031" s="2" t="n">
        <v>106</v>
      </c>
      <c r="C1031" s="19" t="n">
        <v>1.034</v>
      </c>
      <c r="D1031" s="29" t="n">
        <v>0.3774</v>
      </c>
      <c r="E1031" s="2" t="n">
        <v>1</v>
      </c>
      <c r="F1031" s="2" t="n">
        <v>0</v>
      </c>
      <c r="G1031" s="2" t="n">
        <v>1</v>
      </c>
      <c r="H1031" s="30">
        <f>IF(AND(B1031&gt;=5,C1031&lt;&gt;"",C1031&lt;0.8),1,0)</f>
        <v/>
      </c>
      <c r="I1031" s="30">
        <f>IF(AND(B1031&gt;=8,D1031&lt;&gt;"",D1031&gt;=0.25,D1031&lt;=0.75),1,0)</f>
        <v/>
      </c>
      <c r="J1031" s="2" t="n"/>
    </row>
    <row r="1032">
      <c r="A1032" s="2" t="inlineStr">
        <is>
          <t>IMP01025</t>
        </is>
      </c>
      <c r="B1032" s="2" t="n">
        <v>259</v>
      </c>
      <c r="C1032" s="19" t="n">
        <v>0.955</v>
      </c>
      <c r="D1032" s="29" t="n">
        <v>0.0772</v>
      </c>
      <c r="E1032" s="2" t="n">
        <v>1</v>
      </c>
      <c r="F1032" s="2" t="n">
        <v>0</v>
      </c>
      <c r="G1032" s="2" t="n">
        <v>0</v>
      </c>
      <c r="H1032" s="30">
        <f>IF(AND(B1032&gt;=5,C1032&lt;&gt;"",C1032&lt;0.8),1,0)</f>
        <v/>
      </c>
      <c r="I1032" s="30">
        <f>IF(AND(B1032&gt;=8,D1032&lt;&gt;"",D1032&gt;=0.25,D1032&lt;=0.75),1,0)</f>
        <v/>
      </c>
      <c r="J1032" s="2" t="n"/>
    </row>
    <row r="1033">
      <c r="A1033" s="2" t="inlineStr">
        <is>
          <t>IMP01026</t>
        </is>
      </c>
      <c r="B1033" s="2" t="n">
        <v>32</v>
      </c>
      <c r="C1033" s="19" t="n">
        <v>0.716</v>
      </c>
      <c r="D1033" s="29" t="n">
        <v>0.5312</v>
      </c>
      <c r="E1033" s="2" t="n">
        <v>1</v>
      </c>
      <c r="F1033" s="2" t="n">
        <v>1</v>
      </c>
      <c r="G1033" s="2" t="n">
        <v>1</v>
      </c>
      <c r="H1033" s="30">
        <f>IF(AND(B1033&gt;=5,C1033&lt;&gt;"",C1033&lt;0.8),1,0)</f>
        <v/>
      </c>
      <c r="I1033" s="30">
        <f>IF(AND(B1033&gt;=8,D1033&lt;&gt;"",D1033&gt;=0.25,D1033&lt;=0.75),1,0)</f>
        <v/>
      </c>
      <c r="J1033" s="2" t="n"/>
    </row>
    <row r="1034">
      <c r="A1034" s="2" t="inlineStr">
        <is>
          <t>IMP01027</t>
        </is>
      </c>
      <c r="B1034" s="2" t="n">
        <v>57</v>
      </c>
      <c r="C1034" s="19" t="n">
        <v>0.894</v>
      </c>
      <c r="D1034" s="29" t="n">
        <v>0.1404</v>
      </c>
      <c r="E1034" s="2" t="n">
        <v>1</v>
      </c>
      <c r="F1034" s="2" t="n">
        <v>0</v>
      </c>
      <c r="G1034" s="2" t="n">
        <v>0</v>
      </c>
      <c r="H1034" s="30">
        <f>IF(AND(B1034&gt;=5,C1034&lt;&gt;"",C1034&lt;0.8),1,0)</f>
        <v/>
      </c>
      <c r="I1034" s="30">
        <f>IF(AND(B1034&gt;=8,D1034&lt;&gt;"",D1034&gt;=0.25,D1034&lt;=0.75),1,0)</f>
        <v/>
      </c>
      <c r="J1034" s="2" t="n"/>
    </row>
    <row r="1035">
      <c r="A1035" s="2" t="inlineStr">
        <is>
          <t>IMP01028</t>
        </is>
      </c>
      <c r="B1035" s="2" t="n">
        <v>112</v>
      </c>
      <c r="C1035" s="19" t="n">
        <v>1.055</v>
      </c>
      <c r="D1035" s="29" t="n">
        <v>0.1339</v>
      </c>
      <c r="E1035" s="2" t="n">
        <v>1</v>
      </c>
      <c r="F1035" s="2" t="n">
        <v>0</v>
      </c>
      <c r="G1035" s="2" t="n">
        <v>0</v>
      </c>
      <c r="H1035" s="30">
        <f>IF(AND(B1035&gt;=5,C1035&lt;&gt;"",C1035&lt;0.8),1,0)</f>
        <v/>
      </c>
      <c r="I1035" s="30">
        <f>IF(AND(B1035&gt;=8,D1035&lt;&gt;"",D1035&gt;=0.25,D1035&lt;=0.75),1,0)</f>
        <v/>
      </c>
      <c r="J1035" s="2" t="n"/>
    </row>
    <row r="1036">
      <c r="A1036" s="2" t="inlineStr">
        <is>
          <t>IMP01029</t>
        </is>
      </c>
      <c r="B1036" s="2" t="n">
        <v>21</v>
      </c>
      <c r="C1036" s="19" t="n">
        <v>0.851</v>
      </c>
      <c r="D1036" s="29" t="n">
        <v>0.2381</v>
      </c>
      <c r="E1036" s="2" t="n">
        <v>2</v>
      </c>
      <c r="F1036" s="2" t="n">
        <v>0</v>
      </c>
      <c r="G1036" s="2" t="n">
        <v>0</v>
      </c>
      <c r="H1036" s="30">
        <f>IF(AND(B1036&gt;=5,C1036&lt;&gt;"",C1036&lt;0.8),1,0)</f>
        <v/>
      </c>
      <c r="I1036" s="30">
        <f>IF(AND(B1036&gt;=8,D1036&lt;&gt;"",D1036&gt;=0.25,D1036&lt;=0.75),1,0)</f>
        <v/>
      </c>
      <c r="J1036" s="2" t="n"/>
    </row>
    <row r="1037">
      <c r="A1037" s="2" t="inlineStr">
        <is>
          <t>IMP01030</t>
        </is>
      </c>
      <c r="B1037" s="2" t="n">
        <v>13</v>
      </c>
      <c r="C1037" s="19" t="n">
        <v>1.173</v>
      </c>
      <c r="D1037" s="29" t="n">
        <v>0</v>
      </c>
      <c r="E1037" s="2" t="n">
        <v>2</v>
      </c>
      <c r="F1037" s="2" t="n">
        <v>0</v>
      </c>
      <c r="G1037" s="2" t="n">
        <v>0</v>
      </c>
      <c r="H1037" s="30">
        <f>IF(AND(B1037&gt;=5,C1037&lt;&gt;"",C1037&lt;0.8),1,0)</f>
        <v/>
      </c>
      <c r="I1037" s="30">
        <f>IF(AND(B1037&gt;=8,D1037&lt;&gt;"",D1037&gt;=0.25,D1037&lt;=0.75),1,0)</f>
        <v/>
      </c>
      <c r="J1037" s="2" t="n"/>
    </row>
    <row r="1038">
      <c r="A1038" s="2" t="inlineStr">
        <is>
          <t>IMP01031</t>
        </is>
      </c>
      <c r="B1038" s="2" t="n">
        <v>0</v>
      </c>
      <c r="C1038" s="19" t="n"/>
      <c r="D1038" s="29" t="n"/>
      <c r="E1038" s="2" t="n">
        <v>0</v>
      </c>
      <c r="F1038" s="2" t="n">
        <v>0</v>
      </c>
      <c r="G1038" s="2" t="n">
        <v>0</v>
      </c>
      <c r="H1038" s="30">
        <f>IF(AND(B1038&gt;=5,C1038&lt;&gt;"",C1038&lt;0.8),1,0)</f>
        <v/>
      </c>
      <c r="I1038" s="30">
        <f>IF(AND(B1038&gt;=8,D1038&lt;&gt;"",D1038&gt;=0.25,D1038&lt;=0.75),1,0)</f>
        <v/>
      </c>
      <c r="J1038" s="2" t="n"/>
    </row>
    <row r="1039">
      <c r="A1039" s="2" t="inlineStr">
        <is>
          <t>IMP01032</t>
        </is>
      </c>
      <c r="B1039" s="2" t="n">
        <v>170</v>
      </c>
      <c r="C1039" s="19" t="n">
        <v>0.905</v>
      </c>
      <c r="D1039" s="29" t="n">
        <v>0.0529</v>
      </c>
      <c r="E1039" s="2" t="n">
        <v>1</v>
      </c>
      <c r="F1039" s="2" t="n">
        <v>0</v>
      </c>
      <c r="G1039" s="2" t="n">
        <v>0</v>
      </c>
      <c r="H1039" s="30">
        <f>IF(AND(B1039&gt;=5,C1039&lt;&gt;"",C1039&lt;0.8),1,0)</f>
        <v/>
      </c>
      <c r="I1039" s="30">
        <f>IF(AND(B1039&gt;=8,D1039&lt;&gt;"",D1039&gt;=0.25,D1039&lt;=0.75),1,0)</f>
        <v/>
      </c>
      <c r="J1039" s="2" t="n"/>
    </row>
    <row r="1040">
      <c r="A1040" s="2" t="inlineStr">
        <is>
          <t>IMP01033</t>
        </is>
      </c>
      <c r="B1040" s="2" t="n">
        <v>0</v>
      </c>
      <c r="C1040" s="19" t="n"/>
      <c r="D1040" s="29" t="n"/>
      <c r="E1040" s="2" t="n">
        <v>0</v>
      </c>
      <c r="F1040" s="2" t="n">
        <v>0</v>
      </c>
      <c r="G1040" s="2" t="n">
        <v>0</v>
      </c>
      <c r="H1040" s="30">
        <f>IF(AND(B1040&gt;=5,C1040&lt;&gt;"",C1040&lt;0.8),1,0)</f>
        <v/>
      </c>
      <c r="I1040" s="30">
        <f>IF(AND(B1040&gt;=8,D1040&lt;&gt;"",D1040&gt;=0.25,D1040&lt;=0.75),1,0)</f>
        <v/>
      </c>
      <c r="J1040" s="2" t="n"/>
    </row>
    <row r="1041">
      <c r="A1041" s="2" t="inlineStr">
        <is>
          <t>IMP01034</t>
        </is>
      </c>
      <c r="B1041" s="2" t="n">
        <v>31</v>
      </c>
      <c r="C1041" s="19" t="n">
        <v>0.945</v>
      </c>
      <c r="D1041" s="29" t="n">
        <v>0.0968</v>
      </c>
      <c r="E1041" s="2" t="n">
        <v>1</v>
      </c>
      <c r="F1041" s="2" t="n">
        <v>0</v>
      </c>
      <c r="G1041" s="2" t="n">
        <v>0</v>
      </c>
      <c r="H1041" s="30">
        <f>IF(AND(B1041&gt;=5,C1041&lt;&gt;"",C1041&lt;0.8),1,0)</f>
        <v/>
      </c>
      <c r="I1041" s="30">
        <f>IF(AND(B1041&gt;=8,D1041&lt;&gt;"",D1041&gt;=0.25,D1041&lt;=0.75),1,0)</f>
        <v/>
      </c>
      <c r="J1041" s="2" t="n"/>
    </row>
    <row r="1042">
      <c r="A1042" s="2" t="inlineStr">
        <is>
          <t>IMP01035</t>
        </is>
      </c>
      <c r="B1042" s="2" t="n">
        <v>0</v>
      </c>
      <c r="C1042" s="19" t="n"/>
      <c r="D1042" s="29" t="n"/>
      <c r="E1042" s="2" t="n">
        <v>0</v>
      </c>
      <c r="F1042" s="2" t="n">
        <v>0</v>
      </c>
      <c r="G1042" s="2" t="n">
        <v>0</v>
      </c>
      <c r="H1042" s="30">
        <f>IF(AND(B1042&gt;=5,C1042&lt;&gt;"",C1042&lt;0.8),1,0)</f>
        <v/>
      </c>
      <c r="I1042" s="30">
        <f>IF(AND(B1042&gt;=8,D1042&lt;&gt;"",D1042&gt;=0.25,D1042&lt;=0.75),1,0)</f>
        <v/>
      </c>
      <c r="J1042" s="2" t="n"/>
    </row>
    <row r="1043">
      <c r="A1043" s="2" t="inlineStr">
        <is>
          <t>IMP01036</t>
        </is>
      </c>
      <c r="B1043" s="2" t="n">
        <v>8</v>
      </c>
      <c r="C1043" s="19" t="n">
        <v>0.906</v>
      </c>
      <c r="D1043" s="29" t="n">
        <v>0</v>
      </c>
      <c r="E1043" s="2" t="n">
        <v>2</v>
      </c>
      <c r="F1043" s="2" t="n">
        <v>0</v>
      </c>
      <c r="G1043" s="2" t="n">
        <v>0</v>
      </c>
      <c r="H1043" s="30">
        <f>IF(AND(B1043&gt;=5,C1043&lt;&gt;"",C1043&lt;0.8),1,0)</f>
        <v/>
      </c>
      <c r="I1043" s="30">
        <f>IF(AND(B1043&gt;=8,D1043&lt;&gt;"",D1043&gt;=0.25,D1043&lt;=0.75),1,0)</f>
        <v/>
      </c>
      <c r="J1043" s="2" t="n"/>
    </row>
    <row r="1044">
      <c r="A1044" s="2" t="inlineStr">
        <is>
          <t>IMP01037</t>
        </is>
      </c>
      <c r="B1044" s="2" t="n">
        <v>2054</v>
      </c>
      <c r="C1044" s="19" t="n">
        <v>0.992</v>
      </c>
      <c r="D1044" s="29" t="n">
        <v>0.0122</v>
      </c>
      <c r="E1044" s="2" t="n">
        <v>1</v>
      </c>
      <c r="F1044" s="2" t="n">
        <v>0</v>
      </c>
      <c r="G1044" s="2" t="n">
        <v>0</v>
      </c>
      <c r="H1044" s="30">
        <f>IF(AND(B1044&gt;=5,C1044&lt;&gt;"",C1044&lt;0.8),1,0)</f>
        <v/>
      </c>
      <c r="I1044" s="30">
        <f>IF(AND(B1044&gt;=8,D1044&lt;&gt;"",D1044&gt;=0.25,D1044&lt;=0.75),1,0)</f>
        <v/>
      </c>
      <c r="J1044" s="2" t="n"/>
    </row>
    <row r="1045">
      <c r="A1045" s="2" t="inlineStr">
        <is>
          <t>IMP01038</t>
        </is>
      </c>
      <c r="B1045" s="2" t="n">
        <v>142</v>
      </c>
      <c r="C1045" s="19" t="n">
        <v>0.877</v>
      </c>
      <c r="D1045" s="29" t="n">
        <v>0.1831</v>
      </c>
      <c r="E1045" s="2" t="n">
        <v>1</v>
      </c>
      <c r="F1045" s="2" t="n">
        <v>0</v>
      </c>
      <c r="G1045" s="2" t="n">
        <v>0</v>
      </c>
      <c r="H1045" s="30">
        <f>IF(AND(B1045&gt;=5,C1045&lt;&gt;"",C1045&lt;0.8),1,0)</f>
        <v/>
      </c>
      <c r="I1045" s="30">
        <f>IF(AND(B1045&gt;=8,D1045&lt;&gt;"",D1045&gt;=0.25,D1045&lt;=0.75),1,0)</f>
        <v/>
      </c>
      <c r="J1045" s="2" t="n"/>
    </row>
    <row r="1046">
      <c r="A1046" s="2" t="inlineStr">
        <is>
          <t>IMP01039</t>
        </is>
      </c>
      <c r="B1046" s="2" t="n">
        <v>32</v>
      </c>
      <c r="C1046" s="19" t="n">
        <v>1.1575</v>
      </c>
      <c r="D1046" s="29" t="n">
        <v>0</v>
      </c>
      <c r="E1046" s="2" t="n">
        <v>1</v>
      </c>
      <c r="F1046" s="2" t="n">
        <v>0</v>
      </c>
      <c r="G1046" s="2" t="n">
        <v>0</v>
      </c>
      <c r="H1046" s="30">
        <f>IF(AND(B1046&gt;=5,C1046&lt;&gt;"",C1046&lt;0.8),1,0)</f>
        <v/>
      </c>
      <c r="I1046" s="30">
        <f>IF(AND(B1046&gt;=8,D1046&lt;&gt;"",D1046&gt;=0.25,D1046&lt;=0.75),1,0)</f>
        <v/>
      </c>
      <c r="J1046" s="2" t="n"/>
    </row>
    <row r="1047">
      <c r="A1047" s="2" t="inlineStr">
        <is>
          <t>IMP01040</t>
        </is>
      </c>
      <c r="B1047" s="2" t="n">
        <v>44</v>
      </c>
      <c r="C1047" s="19" t="n">
        <v>0.9335</v>
      </c>
      <c r="D1047" s="29" t="n">
        <v>0.09089999999999999</v>
      </c>
      <c r="E1047" s="2" t="n">
        <v>1</v>
      </c>
      <c r="F1047" s="2" t="n">
        <v>0</v>
      </c>
      <c r="G1047" s="2" t="n">
        <v>0</v>
      </c>
      <c r="H1047" s="30">
        <f>IF(AND(B1047&gt;=5,C1047&lt;&gt;"",C1047&lt;0.8),1,0)</f>
        <v/>
      </c>
      <c r="I1047" s="30">
        <f>IF(AND(B1047&gt;=8,D1047&lt;&gt;"",D1047&gt;=0.25,D1047&lt;=0.75),1,0)</f>
        <v/>
      </c>
      <c r="J1047" s="2" t="n"/>
    </row>
    <row r="1048">
      <c r="A1048" s="2" t="inlineStr">
        <is>
          <t>IMP01041</t>
        </is>
      </c>
      <c r="B1048" s="2" t="n">
        <v>346</v>
      </c>
      <c r="C1048" s="19" t="n">
        <v>0.9425</v>
      </c>
      <c r="D1048" s="29" t="n">
        <v>0.1879</v>
      </c>
      <c r="E1048" s="2" t="n">
        <v>1</v>
      </c>
      <c r="F1048" s="2" t="n">
        <v>0</v>
      </c>
      <c r="G1048" s="2" t="n">
        <v>0</v>
      </c>
      <c r="H1048" s="30">
        <f>IF(AND(B1048&gt;=5,C1048&lt;&gt;"",C1048&lt;0.8),1,0)</f>
        <v/>
      </c>
      <c r="I1048" s="30">
        <f>IF(AND(B1048&gt;=8,D1048&lt;&gt;"",D1048&gt;=0.25,D1048&lt;=0.75),1,0)</f>
        <v/>
      </c>
      <c r="J1048" s="2" t="n"/>
    </row>
    <row r="1049">
      <c r="A1049" s="2" t="inlineStr">
        <is>
          <t>IMP01042</t>
        </is>
      </c>
      <c r="B1049" s="2" t="n">
        <v>230</v>
      </c>
      <c r="C1049" s="19" t="n">
        <v>1.0445</v>
      </c>
      <c r="D1049" s="29" t="n">
        <v>0.06519999999999999</v>
      </c>
      <c r="E1049" s="2" t="n">
        <v>1</v>
      </c>
      <c r="F1049" s="2" t="n">
        <v>0</v>
      </c>
      <c r="G1049" s="2" t="n">
        <v>0</v>
      </c>
      <c r="H1049" s="30">
        <f>IF(AND(B1049&gt;=5,C1049&lt;&gt;"",C1049&lt;0.8),1,0)</f>
        <v/>
      </c>
      <c r="I1049" s="30">
        <f>IF(AND(B1049&gt;=8,D1049&lt;&gt;"",D1049&gt;=0.25,D1049&lt;=0.75),1,0)</f>
        <v/>
      </c>
      <c r="J1049" s="2" t="n"/>
    </row>
    <row r="1050">
      <c r="A1050" s="2" t="inlineStr">
        <is>
          <t>IMP01043</t>
        </is>
      </c>
      <c r="B1050" s="2" t="n">
        <v>324</v>
      </c>
      <c r="C1050" s="19" t="n">
        <v>0.996</v>
      </c>
      <c r="D1050" s="29" t="n">
        <v>0.0247</v>
      </c>
      <c r="E1050" s="2" t="n">
        <v>1</v>
      </c>
      <c r="F1050" s="2" t="n">
        <v>0</v>
      </c>
      <c r="G1050" s="2" t="n">
        <v>0</v>
      </c>
      <c r="H1050" s="30">
        <f>IF(AND(B1050&gt;=5,C1050&lt;&gt;"",C1050&lt;0.8),1,0)</f>
        <v/>
      </c>
      <c r="I1050" s="30">
        <f>IF(AND(B1050&gt;=8,D1050&lt;&gt;"",D1050&gt;=0.25,D1050&lt;=0.75),1,0)</f>
        <v/>
      </c>
      <c r="J1050" s="2" t="n"/>
    </row>
    <row r="1051">
      <c r="A1051" s="2" t="inlineStr">
        <is>
          <t>IMP01044</t>
        </is>
      </c>
      <c r="B1051" s="2" t="n">
        <v>16</v>
      </c>
      <c r="C1051" s="19" t="n">
        <v>1.009</v>
      </c>
      <c r="D1051" s="29" t="n">
        <v>0.0625</v>
      </c>
      <c r="E1051" s="2" t="n">
        <v>1</v>
      </c>
      <c r="F1051" s="2" t="n">
        <v>0</v>
      </c>
      <c r="G1051" s="2" t="n">
        <v>0</v>
      </c>
      <c r="H1051" s="30">
        <f>IF(AND(B1051&gt;=5,C1051&lt;&gt;"",C1051&lt;0.8),1,0)</f>
        <v/>
      </c>
      <c r="I1051" s="30">
        <f>IF(AND(B1051&gt;=8,D1051&lt;&gt;"",D1051&gt;=0.25,D1051&lt;=0.75),1,0)</f>
        <v/>
      </c>
      <c r="J1051" s="2" t="n"/>
    </row>
    <row r="1052">
      <c r="A1052" s="2" t="inlineStr">
        <is>
          <t>IMP01045</t>
        </is>
      </c>
      <c r="B1052" s="2" t="n">
        <v>192</v>
      </c>
      <c r="C1052" s="19" t="n">
        <v>0.861</v>
      </c>
      <c r="D1052" s="29" t="n">
        <v>0.3021</v>
      </c>
      <c r="E1052" s="2" t="n">
        <v>1</v>
      </c>
      <c r="F1052" s="2" t="n">
        <v>0</v>
      </c>
      <c r="G1052" s="2" t="n">
        <v>1</v>
      </c>
      <c r="H1052" s="30">
        <f>IF(AND(B1052&gt;=5,C1052&lt;&gt;"",C1052&lt;0.8),1,0)</f>
        <v/>
      </c>
      <c r="I1052" s="30">
        <f>IF(AND(B1052&gt;=8,D1052&lt;&gt;"",D1052&gt;=0.25,D1052&lt;=0.75),1,0)</f>
        <v/>
      </c>
      <c r="J1052" s="2" t="n"/>
    </row>
    <row r="1053">
      <c r="A1053" s="2" t="inlineStr">
        <is>
          <t>IMP01046</t>
        </is>
      </c>
      <c r="B1053" s="2" t="n">
        <v>344</v>
      </c>
      <c r="C1053" s="19" t="n">
        <v>1</v>
      </c>
      <c r="D1053" s="29" t="n">
        <v>0.0203</v>
      </c>
      <c r="E1053" s="2" t="n">
        <v>1</v>
      </c>
      <c r="F1053" s="2" t="n">
        <v>0</v>
      </c>
      <c r="G1053" s="2" t="n">
        <v>0</v>
      </c>
      <c r="H1053" s="30">
        <f>IF(AND(B1053&gt;=5,C1053&lt;&gt;"",C1053&lt;0.8),1,0)</f>
        <v/>
      </c>
      <c r="I1053" s="30">
        <f>IF(AND(B1053&gt;=8,D1053&lt;&gt;"",D1053&gt;=0.25,D1053&lt;=0.75),1,0)</f>
        <v/>
      </c>
      <c r="J1053" s="2" t="n"/>
    </row>
    <row r="1054">
      <c r="A1054" s="2" t="inlineStr">
        <is>
          <t>IMP01047</t>
        </is>
      </c>
      <c r="B1054" s="2" t="n">
        <v>124</v>
      </c>
      <c r="C1054" s="19" t="n">
        <v>1.1855</v>
      </c>
      <c r="D1054" s="29" t="n">
        <v>0.0081</v>
      </c>
      <c r="E1054" s="2" t="n">
        <v>1</v>
      </c>
      <c r="F1054" s="2" t="n">
        <v>0</v>
      </c>
      <c r="G1054" s="2" t="n">
        <v>0</v>
      </c>
      <c r="H1054" s="30">
        <f>IF(AND(B1054&gt;=5,C1054&lt;&gt;"",C1054&lt;0.8),1,0)</f>
        <v/>
      </c>
      <c r="I1054" s="30">
        <f>IF(AND(B1054&gt;=8,D1054&lt;&gt;"",D1054&gt;=0.25,D1054&lt;=0.75),1,0)</f>
        <v/>
      </c>
      <c r="J1054" s="2" t="n"/>
    </row>
    <row r="1055">
      <c r="A1055" s="2" t="inlineStr">
        <is>
          <t>IMP01048</t>
        </is>
      </c>
      <c r="B1055" s="2" t="n">
        <v>2</v>
      </c>
      <c r="C1055" s="19" t="n">
        <v>1.391</v>
      </c>
      <c r="D1055" s="29" t="n">
        <v>0</v>
      </c>
      <c r="E1055" s="2" t="n">
        <v>2</v>
      </c>
      <c r="F1055" s="2" t="n">
        <v>0</v>
      </c>
      <c r="G1055" s="2" t="n">
        <v>0</v>
      </c>
      <c r="H1055" s="30">
        <f>IF(AND(B1055&gt;=5,C1055&lt;&gt;"",C1055&lt;0.8),1,0)</f>
        <v/>
      </c>
      <c r="I1055" s="30">
        <f>IF(AND(B1055&gt;=8,D1055&lt;&gt;"",D1055&gt;=0.25,D1055&lt;=0.75),1,0)</f>
        <v/>
      </c>
      <c r="J1055" s="2" t="n"/>
    </row>
    <row r="1056">
      <c r="A1056" s="2" t="inlineStr">
        <is>
          <t>IMP01049</t>
        </is>
      </c>
      <c r="B1056" s="2" t="n">
        <v>1</v>
      </c>
      <c r="C1056" s="19" t="n">
        <v>1.003</v>
      </c>
      <c r="D1056" s="29" t="n">
        <v>0</v>
      </c>
      <c r="E1056" s="2" t="n">
        <v>2</v>
      </c>
      <c r="F1056" s="2" t="n">
        <v>0</v>
      </c>
      <c r="G1056" s="2" t="n">
        <v>0</v>
      </c>
      <c r="H1056" s="30">
        <f>IF(AND(B1056&gt;=5,C1056&lt;&gt;"",C1056&lt;0.8),1,0)</f>
        <v/>
      </c>
      <c r="I1056" s="30">
        <f>IF(AND(B1056&gt;=8,D1056&lt;&gt;"",D1056&gt;=0.25,D1056&lt;=0.75),1,0)</f>
        <v/>
      </c>
      <c r="J1056" s="2" t="n"/>
    </row>
    <row r="1057">
      <c r="A1057" s="2" t="inlineStr">
        <is>
          <t>IMP01050</t>
        </is>
      </c>
      <c r="B1057" s="2" t="n">
        <v>20</v>
      </c>
      <c r="C1057" s="19" t="n">
        <v>0.914</v>
      </c>
      <c r="D1057" s="29" t="n">
        <v>0.05</v>
      </c>
      <c r="E1057" s="2" t="n">
        <v>1</v>
      </c>
      <c r="F1057" s="2" t="n">
        <v>0</v>
      </c>
      <c r="G1057" s="2" t="n">
        <v>0</v>
      </c>
      <c r="H1057" s="30">
        <f>IF(AND(B1057&gt;=5,C1057&lt;&gt;"",C1057&lt;0.8),1,0)</f>
        <v/>
      </c>
      <c r="I1057" s="30">
        <f>IF(AND(B1057&gt;=8,D1057&lt;&gt;"",D1057&gt;=0.25,D1057&lt;=0.75),1,0)</f>
        <v/>
      </c>
      <c r="J1057" s="2" t="n"/>
    </row>
    <row r="1058">
      <c r="A1058" s="2" t="inlineStr">
        <is>
          <t>IMP01051</t>
        </is>
      </c>
      <c r="B1058" s="2" t="n">
        <v>9</v>
      </c>
      <c r="C1058" s="19" t="n">
        <v>0.875</v>
      </c>
      <c r="D1058" s="29" t="n">
        <v>0.3333</v>
      </c>
      <c r="E1058" s="2" t="n">
        <v>1</v>
      </c>
      <c r="F1058" s="2" t="n">
        <v>0</v>
      </c>
      <c r="G1058" s="2" t="n">
        <v>1</v>
      </c>
      <c r="H1058" s="30">
        <f>IF(AND(B1058&gt;=5,C1058&lt;&gt;"",C1058&lt;0.8),1,0)</f>
        <v/>
      </c>
      <c r="I1058" s="30">
        <f>IF(AND(B1058&gt;=8,D1058&lt;&gt;"",D1058&gt;=0.25,D1058&lt;=0.75),1,0)</f>
        <v/>
      </c>
      <c r="J1058" s="2" t="n"/>
    </row>
    <row r="1059">
      <c r="A1059" s="2" t="inlineStr">
        <is>
          <t>IMP01052</t>
        </is>
      </c>
      <c r="B1059" s="2" t="n">
        <v>0</v>
      </c>
      <c r="C1059" s="19" t="n"/>
      <c r="D1059" s="29" t="n"/>
      <c r="E1059" s="2" t="n">
        <v>0</v>
      </c>
      <c r="F1059" s="2" t="n">
        <v>0</v>
      </c>
      <c r="G1059" s="2" t="n">
        <v>0</v>
      </c>
      <c r="H1059" s="30">
        <f>IF(AND(B1059&gt;=5,C1059&lt;&gt;"",C1059&lt;0.8),1,0)</f>
        <v/>
      </c>
      <c r="I1059" s="30">
        <f>IF(AND(B1059&gt;=8,D1059&lt;&gt;"",D1059&gt;=0.25,D1059&lt;=0.75),1,0)</f>
        <v/>
      </c>
      <c r="J1059" s="2" t="n"/>
    </row>
    <row r="1060">
      <c r="A1060" s="2" t="inlineStr">
        <is>
          <t>IMP01053</t>
        </is>
      </c>
      <c r="B1060" s="2" t="n">
        <v>7</v>
      </c>
      <c r="C1060" s="19" t="n">
        <v>0.87</v>
      </c>
      <c r="D1060" s="29" t="n">
        <v>0.2857</v>
      </c>
      <c r="E1060" s="2" t="n">
        <v>2</v>
      </c>
      <c r="F1060" s="2" t="n">
        <v>0</v>
      </c>
      <c r="G1060" s="2" t="n">
        <v>0</v>
      </c>
      <c r="H1060" s="30">
        <f>IF(AND(B1060&gt;=5,C1060&lt;&gt;"",C1060&lt;0.8),1,0)</f>
        <v/>
      </c>
      <c r="I1060" s="30">
        <f>IF(AND(B1060&gt;=8,D1060&lt;&gt;"",D1060&gt;=0.25,D1060&lt;=0.75),1,0)</f>
        <v/>
      </c>
      <c r="J1060" s="2" t="n"/>
    </row>
    <row r="1061">
      <c r="A1061" s="2" t="inlineStr">
        <is>
          <t>IMP01054</t>
        </is>
      </c>
      <c r="B1061" s="2" t="n">
        <v>38</v>
      </c>
      <c r="C1061" s="19" t="n">
        <v>0.9775</v>
      </c>
      <c r="D1061" s="29" t="n">
        <v>0</v>
      </c>
      <c r="E1061" s="2" t="n">
        <v>1</v>
      </c>
      <c r="F1061" s="2" t="n">
        <v>0</v>
      </c>
      <c r="G1061" s="2" t="n">
        <v>0</v>
      </c>
      <c r="H1061" s="30">
        <f>IF(AND(B1061&gt;=5,C1061&lt;&gt;"",C1061&lt;0.8),1,0)</f>
        <v/>
      </c>
      <c r="I1061" s="30">
        <f>IF(AND(B1061&gt;=8,D1061&lt;&gt;"",D1061&gt;=0.25,D1061&lt;=0.75),1,0)</f>
        <v/>
      </c>
      <c r="J1061" s="2" t="n"/>
    </row>
    <row r="1062">
      <c r="A1062" s="2" t="inlineStr">
        <is>
          <t>IMP01055</t>
        </is>
      </c>
      <c r="B1062" s="2" t="n">
        <v>175</v>
      </c>
      <c r="C1062" s="19" t="n">
        <v>0.96</v>
      </c>
      <c r="D1062" s="29" t="n">
        <v>0.16</v>
      </c>
      <c r="E1062" s="2" t="n">
        <v>1</v>
      </c>
      <c r="F1062" s="2" t="n">
        <v>0</v>
      </c>
      <c r="G1062" s="2" t="n">
        <v>0</v>
      </c>
      <c r="H1062" s="30">
        <f>IF(AND(B1062&gt;=5,C1062&lt;&gt;"",C1062&lt;0.8),1,0)</f>
        <v/>
      </c>
      <c r="I1062" s="30">
        <f>IF(AND(B1062&gt;=8,D1062&lt;&gt;"",D1062&gt;=0.25,D1062&lt;=0.75),1,0)</f>
        <v/>
      </c>
      <c r="J1062" s="2" t="n"/>
    </row>
    <row r="1063">
      <c r="A1063" s="2" t="inlineStr">
        <is>
          <t>IMP01056</t>
        </is>
      </c>
      <c r="B1063" s="2" t="n">
        <v>5</v>
      </c>
      <c r="C1063" s="19" t="n">
        <v>1.05</v>
      </c>
      <c r="D1063" s="29" t="n">
        <v>0.2</v>
      </c>
      <c r="E1063" s="2" t="n">
        <v>3</v>
      </c>
      <c r="F1063" s="2" t="n">
        <v>0</v>
      </c>
      <c r="G1063" s="2" t="n">
        <v>0</v>
      </c>
      <c r="H1063" s="30">
        <f>IF(AND(B1063&gt;=5,C1063&lt;&gt;"",C1063&lt;0.8),1,0)</f>
        <v/>
      </c>
      <c r="I1063" s="30">
        <f>IF(AND(B1063&gt;=8,D1063&lt;&gt;"",D1063&gt;=0.25,D1063&lt;=0.75),1,0)</f>
        <v/>
      </c>
      <c r="J1063" s="2" t="n"/>
    </row>
    <row r="1064">
      <c r="A1064" s="2" t="inlineStr">
        <is>
          <t>IMP01057</t>
        </is>
      </c>
      <c r="B1064" s="2" t="n">
        <v>0</v>
      </c>
      <c r="C1064" s="19" t="n"/>
      <c r="D1064" s="29" t="n"/>
      <c r="E1064" s="2" t="n">
        <v>0</v>
      </c>
      <c r="F1064" s="2" t="n">
        <v>0</v>
      </c>
      <c r="G1064" s="2" t="n">
        <v>0</v>
      </c>
      <c r="H1064" s="30">
        <f>IF(AND(B1064&gt;=5,C1064&lt;&gt;"",C1064&lt;0.8),1,0)</f>
        <v/>
      </c>
      <c r="I1064" s="30">
        <f>IF(AND(B1064&gt;=8,D1064&lt;&gt;"",D1064&gt;=0.25,D1064&lt;=0.75),1,0)</f>
        <v/>
      </c>
      <c r="J1064" s="2" t="n"/>
    </row>
    <row r="1065">
      <c r="A1065" s="2" t="inlineStr">
        <is>
          <t>IMP01058</t>
        </is>
      </c>
      <c r="B1065" s="2" t="n">
        <v>3</v>
      </c>
      <c r="C1065" s="19" t="n">
        <v>0.944</v>
      </c>
      <c r="D1065" s="29" t="n">
        <v>0</v>
      </c>
      <c r="E1065" s="2" t="n">
        <v>2</v>
      </c>
      <c r="F1065" s="2" t="n">
        <v>0</v>
      </c>
      <c r="G1065" s="2" t="n">
        <v>0</v>
      </c>
      <c r="H1065" s="30">
        <f>IF(AND(B1065&gt;=5,C1065&lt;&gt;"",C1065&lt;0.8),1,0)</f>
        <v/>
      </c>
      <c r="I1065" s="30">
        <f>IF(AND(B1065&gt;=8,D1065&lt;&gt;"",D1065&gt;=0.25,D1065&lt;=0.75),1,0)</f>
        <v/>
      </c>
      <c r="J1065" s="2" t="n"/>
    </row>
    <row r="1066">
      <c r="A1066" s="2" t="inlineStr">
        <is>
          <t>IMP01059</t>
        </is>
      </c>
      <c r="B1066" s="2" t="n">
        <v>1</v>
      </c>
      <c r="C1066" s="19" t="n">
        <v>0.885</v>
      </c>
      <c r="D1066" s="29" t="n">
        <v>0</v>
      </c>
      <c r="E1066" s="2" t="n">
        <v>1</v>
      </c>
      <c r="F1066" s="2" t="n">
        <v>0</v>
      </c>
      <c r="G1066" s="2" t="n">
        <v>0</v>
      </c>
      <c r="H1066" s="30">
        <f>IF(AND(B1066&gt;=5,C1066&lt;&gt;"",C1066&lt;0.8),1,0)</f>
        <v/>
      </c>
      <c r="I1066" s="30">
        <f>IF(AND(B1066&gt;=8,D1066&lt;&gt;"",D1066&gt;=0.25,D1066&lt;=0.75),1,0)</f>
        <v/>
      </c>
      <c r="J1066" s="2" t="n"/>
    </row>
    <row r="1067">
      <c r="A1067" s="2" t="inlineStr">
        <is>
          <t>IMP01060</t>
        </is>
      </c>
      <c r="B1067" s="2" t="n">
        <v>1</v>
      </c>
      <c r="C1067" s="19" t="n">
        <v>1.468</v>
      </c>
      <c r="D1067" s="29" t="n">
        <v>0</v>
      </c>
      <c r="E1067" s="2" t="n">
        <v>2</v>
      </c>
      <c r="F1067" s="2" t="n">
        <v>0</v>
      </c>
      <c r="G1067" s="2" t="n">
        <v>0</v>
      </c>
      <c r="H1067" s="30">
        <f>IF(AND(B1067&gt;=5,C1067&lt;&gt;"",C1067&lt;0.8),1,0)</f>
        <v/>
      </c>
      <c r="I1067" s="30">
        <f>IF(AND(B1067&gt;=8,D1067&lt;&gt;"",D1067&gt;=0.25,D1067&lt;=0.75),1,0)</f>
        <v/>
      </c>
      <c r="J1067" s="2" t="n"/>
    </row>
    <row r="1068">
      <c r="A1068" s="2" t="inlineStr">
        <is>
          <t>IMP01061</t>
        </is>
      </c>
      <c r="B1068" s="2" t="n">
        <v>22</v>
      </c>
      <c r="C1068" s="19" t="n">
        <v>1.0635</v>
      </c>
      <c r="D1068" s="29" t="n">
        <v>0</v>
      </c>
      <c r="E1068" s="2" t="n">
        <v>1</v>
      </c>
      <c r="F1068" s="2" t="n">
        <v>0</v>
      </c>
      <c r="G1068" s="2" t="n">
        <v>0</v>
      </c>
      <c r="H1068" s="30">
        <f>IF(AND(B1068&gt;=5,C1068&lt;&gt;"",C1068&lt;0.8),1,0)</f>
        <v/>
      </c>
      <c r="I1068" s="30">
        <f>IF(AND(B1068&gt;=8,D1068&lt;&gt;"",D1068&gt;=0.25,D1068&lt;=0.75),1,0)</f>
        <v/>
      </c>
      <c r="J1068" s="2" t="n"/>
    </row>
    <row r="1069">
      <c r="A1069" s="2" t="inlineStr">
        <is>
          <t>IMP01062</t>
        </is>
      </c>
      <c r="B1069" s="2" t="n">
        <v>41</v>
      </c>
      <c r="C1069" s="19" t="n">
        <v>1.138</v>
      </c>
      <c r="D1069" s="29" t="n">
        <v>0.0732</v>
      </c>
      <c r="E1069" s="2" t="n">
        <v>1</v>
      </c>
      <c r="F1069" s="2" t="n">
        <v>0</v>
      </c>
      <c r="G1069" s="2" t="n">
        <v>0</v>
      </c>
      <c r="H1069" s="30">
        <f>IF(AND(B1069&gt;=5,C1069&lt;&gt;"",C1069&lt;0.8),1,0)</f>
        <v/>
      </c>
      <c r="I1069" s="30">
        <f>IF(AND(B1069&gt;=8,D1069&lt;&gt;"",D1069&gt;=0.25,D1069&lt;=0.75),1,0)</f>
        <v/>
      </c>
      <c r="J1069" s="2" t="n"/>
    </row>
    <row r="1070">
      <c r="A1070" s="2" t="inlineStr">
        <is>
          <t>IMP01063</t>
        </is>
      </c>
      <c r="B1070" s="2" t="n">
        <v>171</v>
      </c>
      <c r="C1070" s="19" t="n">
        <v>0.997</v>
      </c>
      <c r="D1070" s="29" t="n">
        <v>0.0292</v>
      </c>
      <c r="E1070" s="2" t="n">
        <v>2</v>
      </c>
      <c r="F1070" s="2" t="n">
        <v>0</v>
      </c>
      <c r="G1070" s="2" t="n">
        <v>0</v>
      </c>
      <c r="H1070" s="30">
        <f>IF(AND(B1070&gt;=5,C1070&lt;&gt;"",C1070&lt;0.8),1,0)</f>
        <v/>
      </c>
      <c r="I1070" s="30">
        <f>IF(AND(B1070&gt;=8,D1070&lt;&gt;"",D1070&gt;=0.25,D1070&lt;=0.75),1,0)</f>
        <v/>
      </c>
      <c r="J1070" s="2" t="n"/>
    </row>
    <row r="1071">
      <c r="A1071" s="2" t="inlineStr">
        <is>
          <t>IMP01064</t>
        </is>
      </c>
      <c r="B1071" s="2" t="n">
        <v>212</v>
      </c>
      <c r="C1071" s="19" t="n">
        <v>0.9705</v>
      </c>
      <c r="D1071" s="29" t="n">
        <v>0.09909999999999999</v>
      </c>
      <c r="E1071" s="2" t="n">
        <v>1</v>
      </c>
      <c r="F1071" s="2" t="n">
        <v>0</v>
      </c>
      <c r="G1071" s="2" t="n">
        <v>0</v>
      </c>
      <c r="H1071" s="30">
        <f>IF(AND(B1071&gt;=5,C1071&lt;&gt;"",C1071&lt;0.8),1,0)</f>
        <v/>
      </c>
      <c r="I1071" s="30">
        <f>IF(AND(B1071&gt;=8,D1071&lt;&gt;"",D1071&gt;=0.25,D1071&lt;=0.75),1,0)</f>
        <v/>
      </c>
      <c r="J1071" s="2" t="n"/>
    </row>
    <row r="1072">
      <c r="A1072" s="2" t="inlineStr">
        <is>
          <t>IMP01065</t>
        </is>
      </c>
      <c r="B1072" s="2" t="n">
        <v>0</v>
      </c>
      <c r="C1072" s="19" t="n"/>
      <c r="D1072" s="29" t="n"/>
      <c r="E1072" s="2" t="n">
        <v>0</v>
      </c>
      <c r="F1072" s="2" t="n">
        <v>0</v>
      </c>
      <c r="G1072" s="2" t="n">
        <v>0</v>
      </c>
      <c r="H1072" s="30">
        <f>IF(AND(B1072&gt;=5,C1072&lt;&gt;"",C1072&lt;0.8),1,0)</f>
        <v/>
      </c>
      <c r="I1072" s="30">
        <f>IF(AND(B1072&gt;=8,D1072&lt;&gt;"",D1072&gt;=0.25,D1072&lt;=0.75),1,0)</f>
        <v/>
      </c>
      <c r="J1072" s="2" t="n"/>
    </row>
    <row r="1073">
      <c r="A1073" s="2" t="inlineStr">
        <is>
          <t>IMP01066</t>
        </is>
      </c>
      <c r="B1073" s="2" t="n">
        <v>3</v>
      </c>
      <c r="C1073" s="19" t="n">
        <v>0.821</v>
      </c>
      <c r="D1073" s="29" t="n">
        <v>0.3333</v>
      </c>
      <c r="E1073" s="2" t="n">
        <v>2</v>
      </c>
      <c r="F1073" s="2" t="n">
        <v>0</v>
      </c>
      <c r="G1073" s="2" t="n">
        <v>0</v>
      </c>
      <c r="H1073" s="30">
        <f>IF(AND(B1073&gt;=5,C1073&lt;&gt;"",C1073&lt;0.8),1,0)</f>
        <v/>
      </c>
      <c r="I1073" s="30">
        <f>IF(AND(B1073&gt;=8,D1073&lt;&gt;"",D1073&gt;=0.25,D1073&lt;=0.75),1,0)</f>
        <v/>
      </c>
      <c r="J1073" s="2" t="n"/>
    </row>
    <row r="1074">
      <c r="A1074" s="2" t="inlineStr">
        <is>
          <t>IMP01067</t>
        </is>
      </c>
      <c r="B1074" s="2" t="n">
        <v>56</v>
      </c>
      <c r="C1074" s="19" t="n">
        <v>1.039</v>
      </c>
      <c r="D1074" s="29" t="n">
        <v>0.1607</v>
      </c>
      <c r="E1074" s="2" t="n">
        <v>2</v>
      </c>
      <c r="F1074" s="2" t="n">
        <v>0</v>
      </c>
      <c r="G1074" s="2" t="n">
        <v>0</v>
      </c>
      <c r="H1074" s="30">
        <f>IF(AND(B1074&gt;=5,C1074&lt;&gt;"",C1074&lt;0.8),1,0)</f>
        <v/>
      </c>
      <c r="I1074" s="30">
        <f>IF(AND(B1074&gt;=8,D1074&lt;&gt;"",D1074&gt;=0.25,D1074&lt;=0.75),1,0)</f>
        <v/>
      </c>
      <c r="J1074" s="2" t="n"/>
    </row>
    <row r="1075">
      <c r="A1075" s="2" t="inlineStr">
        <is>
          <t>IMP01068</t>
        </is>
      </c>
      <c r="B1075" s="2" t="n">
        <v>38</v>
      </c>
      <c r="C1075" s="19" t="n">
        <v>0.9465</v>
      </c>
      <c r="D1075" s="29" t="n">
        <v>0.1053</v>
      </c>
      <c r="E1075" s="2" t="n">
        <v>1</v>
      </c>
      <c r="F1075" s="2" t="n">
        <v>0</v>
      </c>
      <c r="G1075" s="2" t="n">
        <v>0</v>
      </c>
      <c r="H1075" s="30">
        <f>IF(AND(B1075&gt;=5,C1075&lt;&gt;"",C1075&lt;0.8),1,0)</f>
        <v/>
      </c>
      <c r="I1075" s="30">
        <f>IF(AND(B1075&gt;=8,D1075&lt;&gt;"",D1075&gt;=0.25,D1075&lt;=0.75),1,0)</f>
        <v/>
      </c>
      <c r="J1075" s="2" t="n"/>
    </row>
    <row r="1076">
      <c r="A1076" s="2" t="inlineStr">
        <is>
          <t>IMP01069</t>
        </is>
      </c>
      <c r="B1076" s="2" t="n">
        <v>1</v>
      </c>
      <c r="C1076" s="19" t="n">
        <v>1.068</v>
      </c>
      <c r="D1076" s="29" t="n">
        <v>0</v>
      </c>
      <c r="E1076" s="2" t="n">
        <v>1</v>
      </c>
      <c r="F1076" s="2" t="n">
        <v>0</v>
      </c>
      <c r="G1076" s="2" t="n">
        <v>0</v>
      </c>
      <c r="H1076" s="30">
        <f>IF(AND(B1076&gt;=5,C1076&lt;&gt;"",C1076&lt;0.8),1,0)</f>
        <v/>
      </c>
      <c r="I1076" s="30">
        <f>IF(AND(B1076&gt;=8,D1076&lt;&gt;"",D1076&gt;=0.25,D1076&lt;=0.75),1,0)</f>
        <v/>
      </c>
      <c r="J1076" s="2" t="n"/>
    </row>
    <row r="1077">
      <c r="A1077" s="2" t="inlineStr">
        <is>
          <t>IMP01070</t>
        </is>
      </c>
      <c r="B1077" s="2" t="n">
        <v>42</v>
      </c>
      <c r="C1077" s="19" t="n">
        <v>0.9409999999999999</v>
      </c>
      <c r="D1077" s="29" t="n">
        <v>0.119</v>
      </c>
      <c r="E1077" s="2" t="n">
        <v>1</v>
      </c>
      <c r="F1077" s="2" t="n">
        <v>0</v>
      </c>
      <c r="G1077" s="2" t="n">
        <v>0</v>
      </c>
      <c r="H1077" s="30">
        <f>IF(AND(B1077&gt;=5,C1077&lt;&gt;"",C1077&lt;0.8),1,0)</f>
        <v/>
      </c>
      <c r="I1077" s="30">
        <f>IF(AND(B1077&gt;=8,D1077&lt;&gt;"",D1077&gt;=0.25,D1077&lt;=0.75),1,0)</f>
        <v/>
      </c>
      <c r="J1077" s="2" t="n"/>
    </row>
    <row r="1078">
      <c r="A1078" s="2" t="inlineStr">
        <is>
          <t>IMP01071</t>
        </is>
      </c>
      <c r="B1078" s="2" t="n">
        <v>309</v>
      </c>
      <c r="C1078" s="19" t="n">
        <v>0.98</v>
      </c>
      <c r="D1078" s="29" t="n">
        <v>0.1586</v>
      </c>
      <c r="E1078" s="2" t="n">
        <v>2</v>
      </c>
      <c r="F1078" s="2" t="n">
        <v>0</v>
      </c>
      <c r="G1078" s="2" t="n">
        <v>0</v>
      </c>
      <c r="H1078" s="30">
        <f>IF(AND(B1078&gt;=5,C1078&lt;&gt;"",C1078&lt;0.8),1,0)</f>
        <v/>
      </c>
      <c r="I1078" s="30">
        <f>IF(AND(B1078&gt;=8,D1078&lt;&gt;"",D1078&gt;=0.25,D1078&lt;=0.75),1,0)</f>
        <v/>
      </c>
      <c r="J1078" s="2" t="n"/>
    </row>
    <row r="1079">
      <c r="A1079" s="2" t="inlineStr">
        <is>
          <t>IMP01072</t>
        </is>
      </c>
      <c r="B1079" s="2" t="n">
        <v>0</v>
      </c>
      <c r="C1079" s="19" t="n"/>
      <c r="D1079" s="29" t="n"/>
      <c r="E1079" s="2" t="n">
        <v>0</v>
      </c>
      <c r="F1079" s="2" t="n">
        <v>0</v>
      </c>
      <c r="G1079" s="2" t="n">
        <v>0</v>
      </c>
      <c r="H1079" s="30">
        <f>IF(AND(B1079&gt;=5,C1079&lt;&gt;"",C1079&lt;0.8),1,0)</f>
        <v/>
      </c>
      <c r="I1079" s="30">
        <f>IF(AND(B1079&gt;=8,D1079&lt;&gt;"",D1079&gt;=0.25,D1079&lt;=0.75),1,0)</f>
        <v/>
      </c>
      <c r="J1079" s="2" t="n"/>
    </row>
    <row r="1080">
      <c r="A1080" s="2" t="inlineStr">
        <is>
          <t>IMP01073</t>
        </is>
      </c>
      <c r="B1080" s="2" t="n">
        <v>0</v>
      </c>
      <c r="C1080" s="19" t="n"/>
      <c r="D1080" s="29" t="n"/>
      <c r="E1080" s="2" t="n">
        <v>0</v>
      </c>
      <c r="F1080" s="2" t="n">
        <v>0</v>
      </c>
      <c r="G1080" s="2" t="n">
        <v>0</v>
      </c>
      <c r="H1080" s="30">
        <f>IF(AND(B1080&gt;=5,C1080&lt;&gt;"",C1080&lt;0.8),1,0)</f>
        <v/>
      </c>
      <c r="I1080" s="30">
        <f>IF(AND(B1080&gt;=8,D1080&lt;&gt;"",D1080&gt;=0.25,D1080&lt;=0.75),1,0)</f>
        <v/>
      </c>
      <c r="J1080" s="2" t="n"/>
    </row>
    <row r="1081">
      <c r="A1081" s="2" t="inlineStr">
        <is>
          <t>IMP01074</t>
        </is>
      </c>
      <c r="B1081" s="2" t="n">
        <v>22</v>
      </c>
      <c r="C1081" s="19" t="n">
        <v>1.108</v>
      </c>
      <c r="D1081" s="29" t="n">
        <v>0.1364</v>
      </c>
      <c r="E1081" s="2" t="n">
        <v>13</v>
      </c>
      <c r="F1081" s="2" t="n">
        <v>0</v>
      </c>
      <c r="G1081" s="2" t="n">
        <v>0</v>
      </c>
      <c r="H1081" s="30">
        <f>IF(AND(B1081&gt;=5,C1081&lt;&gt;"",C1081&lt;0.8),1,0)</f>
        <v/>
      </c>
      <c r="I1081" s="30">
        <f>IF(AND(B1081&gt;=8,D1081&lt;&gt;"",D1081&gt;=0.25,D1081&lt;=0.75),1,0)</f>
        <v/>
      </c>
      <c r="J1081" s="2" t="n"/>
    </row>
    <row r="1082">
      <c r="A1082" s="2" t="inlineStr">
        <is>
          <t>IMP01075</t>
        </is>
      </c>
      <c r="B1082" s="2" t="n">
        <v>18</v>
      </c>
      <c r="C1082" s="19" t="n">
        <v>0.975</v>
      </c>
      <c r="D1082" s="29" t="n">
        <v>0.0556</v>
      </c>
      <c r="E1082" s="2" t="n">
        <v>1</v>
      </c>
      <c r="F1082" s="2" t="n">
        <v>0</v>
      </c>
      <c r="G1082" s="2" t="n">
        <v>0</v>
      </c>
      <c r="H1082" s="30">
        <f>IF(AND(B1082&gt;=5,C1082&lt;&gt;"",C1082&lt;0.8),1,0)</f>
        <v/>
      </c>
      <c r="I1082" s="30">
        <f>IF(AND(B1082&gt;=8,D1082&lt;&gt;"",D1082&gt;=0.25,D1082&lt;=0.75),1,0)</f>
        <v/>
      </c>
      <c r="J1082" s="2" t="n"/>
    </row>
    <row r="1083">
      <c r="A1083" s="2" t="inlineStr">
        <is>
          <t>IMP01076</t>
        </is>
      </c>
      <c r="B1083" s="2" t="n">
        <v>26</v>
      </c>
      <c r="C1083" s="19" t="n">
        <v>1.3955</v>
      </c>
      <c r="D1083" s="29" t="n">
        <v>0</v>
      </c>
      <c r="E1083" s="2" t="n">
        <v>1</v>
      </c>
      <c r="F1083" s="2" t="n">
        <v>0</v>
      </c>
      <c r="G1083" s="2" t="n">
        <v>0</v>
      </c>
      <c r="H1083" s="30">
        <f>IF(AND(B1083&gt;=5,C1083&lt;&gt;"",C1083&lt;0.8),1,0)</f>
        <v/>
      </c>
      <c r="I1083" s="30">
        <f>IF(AND(B1083&gt;=8,D1083&lt;&gt;"",D1083&gt;=0.25,D1083&lt;=0.75),1,0)</f>
        <v/>
      </c>
      <c r="J1083" s="2" t="n"/>
    </row>
    <row r="1084">
      <c r="A1084" s="2" t="inlineStr">
        <is>
          <t>IMP01077</t>
        </is>
      </c>
      <c r="B1084" s="2" t="n">
        <v>2</v>
      </c>
      <c r="C1084" s="19" t="n">
        <v>0.9955000000000001</v>
      </c>
      <c r="D1084" s="29" t="n">
        <v>0</v>
      </c>
      <c r="E1084" s="2" t="n">
        <v>1</v>
      </c>
      <c r="F1084" s="2" t="n">
        <v>0</v>
      </c>
      <c r="G1084" s="2" t="n">
        <v>0</v>
      </c>
      <c r="H1084" s="30">
        <f>IF(AND(B1084&gt;=5,C1084&lt;&gt;"",C1084&lt;0.8),1,0)</f>
        <v/>
      </c>
      <c r="I1084" s="30">
        <f>IF(AND(B1084&gt;=8,D1084&lt;&gt;"",D1084&gt;=0.25,D1084&lt;=0.75),1,0)</f>
        <v/>
      </c>
      <c r="J1084" s="2" t="n"/>
    </row>
    <row r="1085">
      <c r="A1085" s="2" t="inlineStr">
        <is>
          <t>IMP01078</t>
        </is>
      </c>
      <c r="B1085" s="2" t="n">
        <v>12</v>
      </c>
      <c r="C1085" s="19" t="n">
        <v>0.9975000000000001</v>
      </c>
      <c r="D1085" s="29" t="n">
        <v>0</v>
      </c>
      <c r="E1085" s="2" t="n">
        <v>1</v>
      </c>
      <c r="F1085" s="2" t="n">
        <v>0</v>
      </c>
      <c r="G1085" s="2" t="n">
        <v>0</v>
      </c>
      <c r="H1085" s="30">
        <f>IF(AND(B1085&gt;=5,C1085&lt;&gt;"",C1085&lt;0.8),1,0)</f>
        <v/>
      </c>
      <c r="I1085" s="30">
        <f>IF(AND(B1085&gt;=8,D1085&lt;&gt;"",D1085&gt;=0.25,D1085&lt;=0.75),1,0)</f>
        <v/>
      </c>
      <c r="J1085" s="2" t="n"/>
    </row>
    <row r="1086">
      <c r="A1086" s="2" t="inlineStr">
        <is>
          <t>IMP01079</t>
        </is>
      </c>
      <c r="B1086" s="2" t="n">
        <v>12</v>
      </c>
      <c r="C1086" s="19" t="n">
        <v>1.2795</v>
      </c>
      <c r="D1086" s="29" t="n">
        <v>0</v>
      </c>
      <c r="E1086" s="2" t="n">
        <v>2</v>
      </c>
      <c r="F1086" s="2" t="n">
        <v>0</v>
      </c>
      <c r="G1086" s="2" t="n">
        <v>0</v>
      </c>
      <c r="H1086" s="30">
        <f>IF(AND(B1086&gt;=5,C1086&lt;&gt;"",C1086&lt;0.8),1,0)</f>
        <v/>
      </c>
      <c r="I1086" s="30">
        <f>IF(AND(B1086&gt;=8,D1086&lt;&gt;"",D1086&gt;=0.25,D1086&lt;=0.75),1,0)</f>
        <v/>
      </c>
      <c r="J1086" s="2" t="n"/>
    </row>
    <row r="1087">
      <c r="A1087" s="2" t="inlineStr">
        <is>
          <t>IMP01080</t>
        </is>
      </c>
      <c r="B1087" s="2" t="n">
        <v>4</v>
      </c>
      <c r="C1087" s="19" t="n">
        <v>1.3305</v>
      </c>
      <c r="D1087" s="29" t="n">
        <v>0</v>
      </c>
      <c r="E1087" s="2" t="n">
        <v>1</v>
      </c>
      <c r="F1087" s="2" t="n">
        <v>0</v>
      </c>
      <c r="G1087" s="2" t="n">
        <v>0</v>
      </c>
      <c r="H1087" s="30">
        <f>IF(AND(B1087&gt;=5,C1087&lt;&gt;"",C1087&lt;0.8),1,0)</f>
        <v/>
      </c>
      <c r="I1087" s="30">
        <f>IF(AND(B1087&gt;=8,D1087&lt;&gt;"",D1087&gt;=0.25,D1087&lt;=0.75),1,0)</f>
        <v/>
      </c>
      <c r="J1087" s="2" t="n"/>
    </row>
    <row r="1088">
      <c r="A1088" s="2" t="inlineStr">
        <is>
          <t>IMP01081</t>
        </is>
      </c>
      <c r="B1088" s="2" t="n">
        <v>4</v>
      </c>
      <c r="C1088" s="19" t="n">
        <v>0.8685</v>
      </c>
      <c r="D1088" s="29" t="n">
        <v>0.25</v>
      </c>
      <c r="E1088" s="2" t="n">
        <v>1</v>
      </c>
      <c r="F1088" s="2" t="n">
        <v>0</v>
      </c>
      <c r="G1088" s="2" t="n">
        <v>0</v>
      </c>
      <c r="H1088" s="30">
        <f>IF(AND(B1088&gt;=5,C1088&lt;&gt;"",C1088&lt;0.8),1,0)</f>
        <v/>
      </c>
      <c r="I1088" s="30">
        <f>IF(AND(B1088&gt;=8,D1088&lt;&gt;"",D1088&gt;=0.25,D1088&lt;=0.75),1,0)</f>
        <v/>
      </c>
      <c r="J1088" s="2" t="n"/>
    </row>
    <row r="1089">
      <c r="A1089" s="2" t="inlineStr">
        <is>
          <t>IMP01082</t>
        </is>
      </c>
      <c r="B1089" s="2" t="n">
        <v>176</v>
      </c>
      <c r="C1089" s="19" t="n">
        <v>1.098</v>
      </c>
      <c r="D1089" s="29" t="n">
        <v>0.0455</v>
      </c>
      <c r="E1089" s="2" t="n">
        <v>1</v>
      </c>
      <c r="F1089" s="2" t="n">
        <v>0</v>
      </c>
      <c r="G1089" s="2" t="n">
        <v>0</v>
      </c>
      <c r="H1089" s="30">
        <f>IF(AND(B1089&gt;=5,C1089&lt;&gt;"",C1089&lt;0.8),1,0)</f>
        <v/>
      </c>
      <c r="I1089" s="30">
        <f>IF(AND(B1089&gt;=8,D1089&lt;&gt;"",D1089&gt;=0.25,D1089&lt;=0.75),1,0)</f>
        <v/>
      </c>
      <c r="J1089" s="2" t="n"/>
    </row>
    <row r="1090">
      <c r="A1090" s="2" t="inlineStr">
        <is>
          <t>IMP01083</t>
        </is>
      </c>
      <c r="B1090" s="2" t="n">
        <v>13</v>
      </c>
      <c r="C1090" s="19" t="n">
        <v>0.927</v>
      </c>
      <c r="D1090" s="29" t="n">
        <v>0.3846</v>
      </c>
      <c r="E1090" s="2" t="n">
        <v>2</v>
      </c>
      <c r="F1090" s="2" t="n">
        <v>0</v>
      </c>
      <c r="G1090" s="2" t="n">
        <v>1</v>
      </c>
      <c r="H1090" s="30">
        <f>IF(AND(B1090&gt;=5,C1090&lt;&gt;"",C1090&lt;0.8),1,0)</f>
        <v/>
      </c>
      <c r="I1090" s="30">
        <f>IF(AND(B1090&gt;=8,D1090&lt;&gt;"",D1090&gt;=0.25,D1090&lt;=0.75),1,0)</f>
        <v/>
      </c>
      <c r="J1090" s="2" t="n"/>
    </row>
    <row r="1091">
      <c r="A1091" s="2" t="inlineStr">
        <is>
          <t>IMP01084</t>
        </is>
      </c>
      <c r="B1091" s="2" t="n">
        <v>58</v>
      </c>
      <c r="C1091" s="19" t="n">
        <v>1.0235</v>
      </c>
      <c r="D1091" s="29" t="n">
        <v>0.06900000000000001</v>
      </c>
      <c r="E1091" s="2" t="n">
        <v>3</v>
      </c>
      <c r="F1091" s="2" t="n">
        <v>0</v>
      </c>
      <c r="G1091" s="2" t="n">
        <v>0</v>
      </c>
      <c r="H1091" s="30">
        <f>IF(AND(B1091&gt;=5,C1091&lt;&gt;"",C1091&lt;0.8),1,0)</f>
        <v/>
      </c>
      <c r="I1091" s="30">
        <f>IF(AND(B1091&gt;=8,D1091&lt;&gt;"",D1091&gt;=0.25,D1091&lt;=0.75),1,0)</f>
        <v/>
      </c>
      <c r="J1091" s="2" t="n"/>
    </row>
    <row r="1092">
      <c r="A1092" s="2" t="inlineStr">
        <is>
          <t>IMP01085</t>
        </is>
      </c>
      <c r="B1092" s="2" t="n">
        <v>8</v>
      </c>
      <c r="C1092" s="19" t="n">
        <v>0.954</v>
      </c>
      <c r="D1092" s="29" t="n">
        <v>0.125</v>
      </c>
      <c r="E1092" s="2" t="n">
        <v>3</v>
      </c>
      <c r="F1092" s="2" t="n">
        <v>0</v>
      </c>
      <c r="G1092" s="2" t="n">
        <v>0</v>
      </c>
      <c r="H1092" s="30">
        <f>IF(AND(B1092&gt;=5,C1092&lt;&gt;"",C1092&lt;0.8),1,0)</f>
        <v/>
      </c>
      <c r="I1092" s="30">
        <f>IF(AND(B1092&gt;=8,D1092&lt;&gt;"",D1092&gt;=0.25,D1092&lt;=0.75),1,0)</f>
        <v/>
      </c>
      <c r="J1092" s="2" t="n"/>
    </row>
    <row r="1093">
      <c r="A1093" s="2" t="inlineStr">
        <is>
          <t>IMP01086</t>
        </is>
      </c>
      <c r="B1093" s="2" t="n">
        <v>40</v>
      </c>
      <c r="C1093" s="19" t="n">
        <v>1.009</v>
      </c>
      <c r="D1093" s="29" t="n">
        <v>0.05</v>
      </c>
      <c r="E1093" s="2" t="n">
        <v>1</v>
      </c>
      <c r="F1093" s="2" t="n">
        <v>0</v>
      </c>
      <c r="G1093" s="2" t="n">
        <v>0</v>
      </c>
      <c r="H1093" s="30">
        <f>IF(AND(B1093&gt;=5,C1093&lt;&gt;"",C1093&lt;0.8),1,0)</f>
        <v/>
      </c>
      <c r="I1093" s="30">
        <f>IF(AND(B1093&gt;=8,D1093&lt;&gt;"",D1093&gt;=0.25,D1093&lt;=0.75),1,0)</f>
        <v/>
      </c>
      <c r="J1093" s="2" t="n"/>
    </row>
    <row r="1094">
      <c r="A1094" s="2" t="inlineStr">
        <is>
          <t>IMP01087</t>
        </is>
      </c>
      <c r="B1094" s="2" t="n">
        <v>1</v>
      </c>
      <c r="C1094" s="19" t="n">
        <v>0.6840000000000001</v>
      </c>
      <c r="D1094" s="29" t="n">
        <v>1</v>
      </c>
      <c r="E1094" s="2" t="n">
        <v>1</v>
      </c>
      <c r="F1094" s="2" t="n">
        <v>0</v>
      </c>
      <c r="G1094" s="2" t="n">
        <v>0</v>
      </c>
      <c r="H1094" s="30">
        <f>IF(AND(B1094&gt;=5,C1094&lt;&gt;"",C1094&lt;0.8),1,0)</f>
        <v/>
      </c>
      <c r="I1094" s="30">
        <f>IF(AND(B1094&gt;=8,D1094&lt;&gt;"",D1094&gt;=0.25,D1094&lt;=0.75),1,0)</f>
        <v/>
      </c>
      <c r="J1094" s="2" t="n"/>
    </row>
    <row r="1095">
      <c r="A1095" s="2" t="inlineStr">
        <is>
          <t>IMP01088</t>
        </is>
      </c>
      <c r="B1095" s="2" t="n">
        <v>5</v>
      </c>
      <c r="C1095" s="19" t="n">
        <v>0.994</v>
      </c>
      <c r="D1095" s="29" t="n">
        <v>0.2</v>
      </c>
      <c r="E1095" s="2" t="n">
        <v>1</v>
      </c>
      <c r="F1095" s="2" t="n">
        <v>0</v>
      </c>
      <c r="G1095" s="2" t="n">
        <v>0</v>
      </c>
      <c r="H1095" s="30">
        <f>IF(AND(B1095&gt;=5,C1095&lt;&gt;"",C1095&lt;0.8),1,0)</f>
        <v/>
      </c>
      <c r="I1095" s="30">
        <f>IF(AND(B1095&gt;=8,D1095&lt;&gt;"",D1095&gt;=0.25,D1095&lt;=0.75),1,0)</f>
        <v/>
      </c>
      <c r="J1095" s="2" t="n"/>
    </row>
    <row r="1096">
      <c r="A1096" s="2" t="inlineStr">
        <is>
          <t>IMP01089</t>
        </is>
      </c>
      <c r="B1096" s="2" t="n">
        <v>415</v>
      </c>
      <c r="C1096" s="19" t="n">
        <v>0.987</v>
      </c>
      <c r="D1096" s="29" t="n">
        <v>0.0506</v>
      </c>
      <c r="E1096" s="2" t="n">
        <v>1</v>
      </c>
      <c r="F1096" s="2" t="n">
        <v>0</v>
      </c>
      <c r="G1096" s="2" t="n">
        <v>0</v>
      </c>
      <c r="H1096" s="30">
        <f>IF(AND(B1096&gt;=5,C1096&lt;&gt;"",C1096&lt;0.8),1,0)</f>
        <v/>
      </c>
      <c r="I1096" s="30">
        <f>IF(AND(B1096&gt;=8,D1096&lt;&gt;"",D1096&gt;=0.25,D1096&lt;=0.75),1,0)</f>
        <v/>
      </c>
      <c r="J1096" s="2" t="n"/>
    </row>
    <row r="1097">
      <c r="A1097" s="2" t="inlineStr">
        <is>
          <t>IMP01090</t>
        </is>
      </c>
      <c r="B1097" s="2" t="n">
        <v>0</v>
      </c>
      <c r="C1097" s="19" t="n"/>
      <c r="D1097" s="29" t="n"/>
      <c r="E1097" s="2" t="n">
        <v>0</v>
      </c>
      <c r="F1097" s="2" t="n">
        <v>0</v>
      </c>
      <c r="G1097" s="2" t="n">
        <v>0</v>
      </c>
      <c r="H1097" s="30">
        <f>IF(AND(B1097&gt;=5,C1097&lt;&gt;"",C1097&lt;0.8),1,0)</f>
        <v/>
      </c>
      <c r="I1097" s="30">
        <f>IF(AND(B1097&gt;=8,D1097&lt;&gt;"",D1097&gt;=0.25,D1097&lt;=0.75),1,0)</f>
        <v/>
      </c>
      <c r="J1097" s="2" t="n"/>
    </row>
    <row r="1098">
      <c r="A1098" s="2" t="inlineStr">
        <is>
          <t>IMP01091</t>
        </is>
      </c>
      <c r="B1098" s="2" t="n">
        <v>1</v>
      </c>
      <c r="C1098" s="19" t="n">
        <v>1.064</v>
      </c>
      <c r="D1098" s="29" t="n">
        <v>0</v>
      </c>
      <c r="E1098" s="2" t="n">
        <v>2</v>
      </c>
      <c r="F1098" s="2" t="n">
        <v>0</v>
      </c>
      <c r="G1098" s="2" t="n">
        <v>0</v>
      </c>
      <c r="H1098" s="30">
        <f>IF(AND(B1098&gt;=5,C1098&lt;&gt;"",C1098&lt;0.8),1,0)</f>
        <v/>
      </c>
      <c r="I1098" s="30">
        <f>IF(AND(B1098&gt;=8,D1098&lt;&gt;"",D1098&gt;=0.25,D1098&lt;=0.75),1,0)</f>
        <v/>
      </c>
      <c r="J1098" s="2" t="n"/>
    </row>
    <row r="1099">
      <c r="A1099" s="2" t="inlineStr">
        <is>
          <t>IMP01092</t>
        </is>
      </c>
      <c r="B1099" s="2" t="n">
        <v>5</v>
      </c>
      <c r="C1099" s="19" t="n">
        <v>1.178</v>
      </c>
      <c r="D1099" s="29" t="n">
        <v>0</v>
      </c>
      <c r="E1099" s="2" t="n">
        <v>1</v>
      </c>
      <c r="F1099" s="2" t="n">
        <v>0</v>
      </c>
      <c r="G1099" s="2" t="n">
        <v>0</v>
      </c>
      <c r="H1099" s="30">
        <f>IF(AND(B1099&gt;=5,C1099&lt;&gt;"",C1099&lt;0.8),1,0)</f>
        <v/>
      </c>
      <c r="I1099" s="30">
        <f>IF(AND(B1099&gt;=8,D1099&lt;&gt;"",D1099&gt;=0.25,D1099&lt;=0.75),1,0)</f>
        <v/>
      </c>
      <c r="J1099" s="2" t="n"/>
    </row>
    <row r="1100">
      <c r="A1100" s="2" t="inlineStr">
        <is>
          <t>IMP01093</t>
        </is>
      </c>
      <c r="B1100" s="2" t="n">
        <v>2</v>
      </c>
      <c r="C1100" s="19" t="n">
        <v>0.848</v>
      </c>
      <c r="D1100" s="29" t="n">
        <v>0.5</v>
      </c>
      <c r="E1100" s="2" t="n">
        <v>1</v>
      </c>
      <c r="F1100" s="2" t="n">
        <v>0</v>
      </c>
      <c r="G1100" s="2" t="n">
        <v>0</v>
      </c>
      <c r="H1100" s="30">
        <f>IF(AND(B1100&gt;=5,C1100&lt;&gt;"",C1100&lt;0.8),1,0)</f>
        <v/>
      </c>
      <c r="I1100" s="30">
        <f>IF(AND(B1100&gt;=8,D1100&lt;&gt;"",D1100&gt;=0.25,D1100&lt;=0.75),1,0)</f>
        <v/>
      </c>
      <c r="J1100" s="2" t="n"/>
    </row>
    <row r="1101">
      <c r="A1101" s="2" t="inlineStr">
        <is>
          <t>IMP01094</t>
        </is>
      </c>
      <c r="B1101" s="2" t="n">
        <v>1</v>
      </c>
      <c r="C1101" s="19" t="n">
        <v>0.993</v>
      </c>
      <c r="D1101" s="29" t="n">
        <v>0</v>
      </c>
      <c r="E1101" s="2" t="n">
        <v>3</v>
      </c>
      <c r="F1101" s="2" t="n">
        <v>0</v>
      </c>
      <c r="G1101" s="2" t="n">
        <v>0</v>
      </c>
      <c r="H1101" s="30">
        <f>IF(AND(B1101&gt;=5,C1101&lt;&gt;"",C1101&lt;0.8),1,0)</f>
        <v/>
      </c>
      <c r="I1101" s="30">
        <f>IF(AND(B1101&gt;=8,D1101&lt;&gt;"",D1101&gt;=0.25,D1101&lt;=0.75),1,0)</f>
        <v/>
      </c>
      <c r="J1101" s="2" t="n"/>
    </row>
    <row r="1102">
      <c r="A1102" s="2" t="inlineStr">
        <is>
          <t>IMP01095</t>
        </is>
      </c>
      <c r="B1102" s="2" t="n">
        <v>65</v>
      </c>
      <c r="C1102" s="19" t="n">
        <v>0.972</v>
      </c>
      <c r="D1102" s="29" t="n">
        <v>0.0308</v>
      </c>
      <c r="E1102" s="2" t="n">
        <v>1</v>
      </c>
      <c r="F1102" s="2" t="n">
        <v>0</v>
      </c>
      <c r="G1102" s="2" t="n">
        <v>0</v>
      </c>
      <c r="H1102" s="30">
        <f>IF(AND(B1102&gt;=5,C1102&lt;&gt;"",C1102&lt;0.8),1,0)</f>
        <v/>
      </c>
      <c r="I1102" s="30">
        <f>IF(AND(B1102&gt;=8,D1102&lt;&gt;"",D1102&gt;=0.25,D1102&lt;=0.75),1,0)</f>
        <v/>
      </c>
      <c r="J1102" s="2" t="n"/>
    </row>
    <row r="1103">
      <c r="A1103" s="2" t="inlineStr">
        <is>
          <t>IMP01096</t>
        </is>
      </c>
      <c r="B1103" s="2" t="n">
        <v>0</v>
      </c>
      <c r="C1103" s="19" t="n"/>
      <c r="D1103" s="29" t="n"/>
      <c r="E1103" s="2" t="n">
        <v>0</v>
      </c>
      <c r="F1103" s="2" t="n">
        <v>0</v>
      </c>
      <c r="G1103" s="2" t="n">
        <v>0</v>
      </c>
      <c r="H1103" s="30">
        <f>IF(AND(B1103&gt;=5,C1103&lt;&gt;"",C1103&lt;0.8),1,0)</f>
        <v/>
      </c>
      <c r="I1103" s="30">
        <f>IF(AND(B1103&gt;=8,D1103&lt;&gt;"",D1103&gt;=0.25,D1103&lt;=0.75),1,0)</f>
        <v/>
      </c>
      <c r="J1103" s="2" t="n"/>
    </row>
    <row r="1104">
      <c r="A1104" s="2" t="inlineStr">
        <is>
          <t>IMP01097</t>
        </is>
      </c>
      <c r="B1104" s="2" t="n">
        <v>22</v>
      </c>
      <c r="C1104" s="19" t="n">
        <v>0.924</v>
      </c>
      <c r="D1104" s="29" t="n">
        <v>0</v>
      </c>
      <c r="E1104" s="2" t="n">
        <v>1</v>
      </c>
      <c r="F1104" s="2" t="n">
        <v>0</v>
      </c>
      <c r="G1104" s="2" t="n">
        <v>0</v>
      </c>
      <c r="H1104" s="30">
        <f>IF(AND(B1104&gt;=5,C1104&lt;&gt;"",C1104&lt;0.8),1,0)</f>
        <v/>
      </c>
      <c r="I1104" s="30">
        <f>IF(AND(B1104&gt;=8,D1104&lt;&gt;"",D1104&gt;=0.25,D1104&lt;=0.75),1,0)</f>
        <v/>
      </c>
      <c r="J1104" s="2" t="n"/>
    </row>
    <row r="1105">
      <c r="A1105" s="2" t="inlineStr">
        <is>
          <t>IMP01098</t>
        </is>
      </c>
      <c r="B1105" s="2" t="n">
        <v>86</v>
      </c>
      <c r="C1105" s="19" t="n">
        <v>0.985</v>
      </c>
      <c r="D1105" s="29" t="n">
        <v>0</v>
      </c>
      <c r="E1105" s="2" t="n">
        <v>1</v>
      </c>
      <c r="F1105" s="2" t="n">
        <v>0</v>
      </c>
      <c r="G1105" s="2" t="n">
        <v>0</v>
      </c>
      <c r="H1105" s="30">
        <f>IF(AND(B1105&gt;=5,C1105&lt;&gt;"",C1105&lt;0.8),1,0)</f>
        <v/>
      </c>
      <c r="I1105" s="30">
        <f>IF(AND(B1105&gt;=8,D1105&lt;&gt;"",D1105&gt;=0.25,D1105&lt;=0.75),1,0)</f>
        <v/>
      </c>
      <c r="J1105" s="2" t="n"/>
    </row>
    <row r="1106">
      <c r="A1106" s="2" t="inlineStr">
        <is>
          <t>IMP01099</t>
        </is>
      </c>
      <c r="B1106" s="2" t="n">
        <v>402</v>
      </c>
      <c r="C1106" s="19" t="n">
        <v>1.004</v>
      </c>
      <c r="D1106" s="29" t="n">
        <v>0.0498</v>
      </c>
      <c r="E1106" s="2" t="n">
        <v>1</v>
      </c>
      <c r="F1106" s="2" t="n">
        <v>0</v>
      </c>
      <c r="G1106" s="2" t="n">
        <v>0</v>
      </c>
      <c r="H1106" s="30">
        <f>IF(AND(B1106&gt;=5,C1106&lt;&gt;"",C1106&lt;0.8),1,0)</f>
        <v/>
      </c>
      <c r="I1106" s="30">
        <f>IF(AND(B1106&gt;=8,D1106&lt;&gt;"",D1106&gt;=0.25,D1106&lt;=0.75),1,0)</f>
        <v/>
      </c>
      <c r="J1106" s="2" t="n"/>
    </row>
    <row r="1107">
      <c r="A1107" s="2" t="inlineStr">
        <is>
          <t>IMP01100</t>
        </is>
      </c>
      <c r="B1107" s="2" t="n">
        <v>0</v>
      </c>
      <c r="C1107" s="19" t="n"/>
      <c r="D1107" s="29" t="n"/>
      <c r="E1107" s="2" t="n">
        <v>0</v>
      </c>
      <c r="F1107" s="2" t="n">
        <v>0</v>
      </c>
      <c r="G1107" s="2" t="n">
        <v>0</v>
      </c>
      <c r="H1107" s="30">
        <f>IF(AND(B1107&gt;=5,C1107&lt;&gt;"",C1107&lt;0.8),1,0)</f>
        <v/>
      </c>
      <c r="I1107" s="30">
        <f>IF(AND(B1107&gt;=8,D1107&lt;&gt;"",D1107&gt;=0.25,D1107&lt;=0.75),1,0)</f>
        <v/>
      </c>
      <c r="J1107" s="2" t="n"/>
    </row>
    <row r="1108">
      <c r="A1108" s="2" t="inlineStr">
        <is>
          <t>IMP01101</t>
        </is>
      </c>
      <c r="B1108" s="2" t="n">
        <v>26</v>
      </c>
      <c r="C1108" s="19" t="n">
        <v>0.801</v>
      </c>
      <c r="D1108" s="29" t="n">
        <v>0.3846</v>
      </c>
      <c r="E1108" s="2" t="n">
        <v>1</v>
      </c>
      <c r="F1108" s="2" t="n">
        <v>0</v>
      </c>
      <c r="G1108" s="2" t="n">
        <v>1</v>
      </c>
      <c r="H1108" s="30">
        <f>IF(AND(B1108&gt;=5,C1108&lt;&gt;"",C1108&lt;0.8),1,0)</f>
        <v/>
      </c>
      <c r="I1108" s="30">
        <f>IF(AND(B1108&gt;=8,D1108&lt;&gt;"",D1108&gt;=0.25,D1108&lt;=0.75),1,0)</f>
        <v/>
      </c>
      <c r="J1108" s="2" t="n"/>
    </row>
    <row r="1109">
      <c r="A1109" s="2" t="inlineStr">
        <is>
          <t>IMP01102</t>
        </is>
      </c>
      <c r="B1109" s="2" t="n">
        <v>0</v>
      </c>
      <c r="C1109" s="19" t="n"/>
      <c r="D1109" s="29" t="n"/>
      <c r="E1109" s="2" t="n">
        <v>0</v>
      </c>
      <c r="F1109" s="2" t="n">
        <v>0</v>
      </c>
      <c r="G1109" s="2" t="n">
        <v>0</v>
      </c>
      <c r="H1109" s="30">
        <f>IF(AND(B1109&gt;=5,C1109&lt;&gt;"",C1109&lt;0.8),1,0)</f>
        <v/>
      </c>
      <c r="I1109" s="30">
        <f>IF(AND(B1109&gt;=8,D1109&lt;&gt;"",D1109&gt;=0.25,D1109&lt;=0.75),1,0)</f>
        <v/>
      </c>
      <c r="J1109" s="2" t="n"/>
    </row>
    <row r="1110">
      <c r="A1110" s="2" t="inlineStr">
        <is>
          <t>IMP01103</t>
        </is>
      </c>
      <c r="B1110" s="2" t="n">
        <v>18</v>
      </c>
      <c r="C1110" s="19" t="n">
        <v>0.8855</v>
      </c>
      <c r="D1110" s="29" t="n">
        <v>0.0556</v>
      </c>
      <c r="E1110" s="2" t="n">
        <v>2</v>
      </c>
      <c r="F1110" s="2" t="n">
        <v>0</v>
      </c>
      <c r="G1110" s="2" t="n">
        <v>0</v>
      </c>
      <c r="H1110" s="30">
        <f>IF(AND(B1110&gt;=5,C1110&lt;&gt;"",C1110&lt;0.8),1,0)</f>
        <v/>
      </c>
      <c r="I1110" s="30">
        <f>IF(AND(B1110&gt;=8,D1110&lt;&gt;"",D1110&gt;=0.25,D1110&lt;=0.75),1,0)</f>
        <v/>
      </c>
      <c r="J1110" s="2" t="n"/>
    </row>
    <row r="1111">
      <c r="A1111" s="2" t="inlineStr">
        <is>
          <t>IMP01104</t>
        </is>
      </c>
      <c r="B1111" s="2" t="n">
        <v>93</v>
      </c>
      <c r="C1111" s="19" t="n">
        <v>1.018</v>
      </c>
      <c r="D1111" s="29" t="n">
        <v>0</v>
      </c>
      <c r="E1111" s="2" t="n">
        <v>1</v>
      </c>
      <c r="F1111" s="2" t="n">
        <v>0</v>
      </c>
      <c r="G1111" s="2" t="n">
        <v>0</v>
      </c>
      <c r="H1111" s="30">
        <f>IF(AND(B1111&gt;=5,C1111&lt;&gt;"",C1111&lt;0.8),1,0)</f>
        <v/>
      </c>
      <c r="I1111" s="30">
        <f>IF(AND(B1111&gt;=8,D1111&lt;&gt;"",D1111&gt;=0.25,D1111&lt;=0.75),1,0)</f>
        <v/>
      </c>
      <c r="J1111" s="2" t="n"/>
    </row>
    <row r="1112">
      <c r="A1112" s="2" t="inlineStr">
        <is>
          <t>IMP01105</t>
        </is>
      </c>
      <c r="B1112" s="2" t="n">
        <v>68</v>
      </c>
      <c r="C1112" s="19" t="n">
        <v>1.199</v>
      </c>
      <c r="D1112" s="29" t="n">
        <v>0.0588</v>
      </c>
      <c r="E1112" s="2" t="n">
        <v>1</v>
      </c>
      <c r="F1112" s="2" t="n">
        <v>0</v>
      </c>
      <c r="G1112" s="2" t="n">
        <v>0</v>
      </c>
      <c r="H1112" s="30">
        <f>IF(AND(B1112&gt;=5,C1112&lt;&gt;"",C1112&lt;0.8),1,0)</f>
        <v/>
      </c>
      <c r="I1112" s="30">
        <f>IF(AND(B1112&gt;=8,D1112&lt;&gt;"",D1112&gt;=0.25,D1112&lt;=0.75),1,0)</f>
        <v/>
      </c>
      <c r="J1112" s="2" t="n"/>
    </row>
    <row r="1113">
      <c r="A1113" s="2" t="inlineStr">
        <is>
          <t>IMP01106</t>
        </is>
      </c>
      <c r="B1113" s="2" t="n">
        <v>125</v>
      </c>
      <c r="C1113" s="19" t="n">
        <v>1.023</v>
      </c>
      <c r="D1113" s="29" t="n">
        <v>0.024</v>
      </c>
      <c r="E1113" s="2" t="n">
        <v>1</v>
      </c>
      <c r="F1113" s="2" t="n">
        <v>0</v>
      </c>
      <c r="G1113" s="2" t="n">
        <v>0</v>
      </c>
      <c r="H1113" s="30">
        <f>IF(AND(B1113&gt;=5,C1113&lt;&gt;"",C1113&lt;0.8),1,0)</f>
        <v/>
      </c>
      <c r="I1113" s="30">
        <f>IF(AND(B1113&gt;=8,D1113&lt;&gt;"",D1113&gt;=0.25,D1113&lt;=0.75),1,0)</f>
        <v/>
      </c>
      <c r="J1113" s="2" t="n"/>
    </row>
    <row r="1114">
      <c r="A1114" s="2" t="inlineStr">
        <is>
          <t>IMP01107</t>
        </is>
      </c>
      <c r="B1114" s="2" t="n">
        <v>1</v>
      </c>
      <c r="C1114" s="19" t="n">
        <v>0.977</v>
      </c>
      <c r="D1114" s="29" t="n">
        <v>0</v>
      </c>
      <c r="E1114" s="2" t="n">
        <v>1</v>
      </c>
      <c r="F1114" s="2" t="n">
        <v>0</v>
      </c>
      <c r="G1114" s="2" t="n">
        <v>0</v>
      </c>
      <c r="H1114" s="30">
        <f>IF(AND(B1114&gt;=5,C1114&lt;&gt;"",C1114&lt;0.8),1,0)</f>
        <v/>
      </c>
      <c r="I1114" s="30">
        <f>IF(AND(B1114&gt;=8,D1114&lt;&gt;"",D1114&gt;=0.25,D1114&lt;=0.75),1,0)</f>
        <v/>
      </c>
      <c r="J1114" s="2" t="n"/>
    </row>
    <row r="1115">
      <c r="A1115" s="2" t="inlineStr">
        <is>
          <t>IMP01108</t>
        </is>
      </c>
      <c r="B1115" s="2" t="n">
        <v>1</v>
      </c>
      <c r="C1115" s="19" t="n">
        <v>0.786</v>
      </c>
      <c r="D1115" s="29" t="n">
        <v>0</v>
      </c>
      <c r="E1115" s="2" t="n">
        <v>2</v>
      </c>
      <c r="F1115" s="2" t="n">
        <v>0</v>
      </c>
      <c r="G1115" s="2" t="n">
        <v>0</v>
      </c>
      <c r="H1115" s="30">
        <f>IF(AND(B1115&gt;=5,C1115&lt;&gt;"",C1115&lt;0.8),1,0)</f>
        <v/>
      </c>
      <c r="I1115" s="30">
        <f>IF(AND(B1115&gt;=8,D1115&lt;&gt;"",D1115&gt;=0.25,D1115&lt;=0.75),1,0)</f>
        <v/>
      </c>
      <c r="J1115" s="2" t="n"/>
    </row>
    <row r="1116">
      <c r="A1116" s="2" t="inlineStr">
        <is>
          <t>IMP01109</t>
        </is>
      </c>
      <c r="B1116" s="2" t="n">
        <v>7</v>
      </c>
      <c r="C1116" s="19" t="n">
        <v>1.128</v>
      </c>
      <c r="D1116" s="29" t="n">
        <v>0.1429</v>
      </c>
      <c r="E1116" s="2" t="n">
        <v>3</v>
      </c>
      <c r="F1116" s="2" t="n">
        <v>0</v>
      </c>
      <c r="G1116" s="2" t="n">
        <v>0</v>
      </c>
      <c r="H1116" s="30">
        <f>IF(AND(B1116&gt;=5,C1116&lt;&gt;"",C1116&lt;0.8),1,0)</f>
        <v/>
      </c>
      <c r="I1116" s="30">
        <f>IF(AND(B1116&gt;=8,D1116&lt;&gt;"",D1116&gt;=0.25,D1116&lt;=0.75),1,0)</f>
        <v/>
      </c>
      <c r="J1116" s="2" t="n"/>
    </row>
    <row r="1117">
      <c r="A1117" s="2" t="inlineStr">
        <is>
          <t>IMP01110</t>
        </is>
      </c>
      <c r="B1117" s="2" t="n">
        <v>7</v>
      </c>
      <c r="C1117" s="19" t="n">
        <v>1.051</v>
      </c>
      <c r="D1117" s="29" t="n">
        <v>0.1429</v>
      </c>
      <c r="E1117" s="2" t="n">
        <v>1</v>
      </c>
      <c r="F1117" s="2" t="n">
        <v>0</v>
      </c>
      <c r="G1117" s="2" t="n">
        <v>0</v>
      </c>
      <c r="H1117" s="30">
        <f>IF(AND(B1117&gt;=5,C1117&lt;&gt;"",C1117&lt;0.8),1,0)</f>
        <v/>
      </c>
      <c r="I1117" s="30">
        <f>IF(AND(B1117&gt;=8,D1117&lt;&gt;"",D1117&gt;=0.25,D1117&lt;=0.75),1,0)</f>
        <v/>
      </c>
      <c r="J1117" s="2" t="n"/>
    </row>
    <row r="1118">
      <c r="A1118" s="2" t="inlineStr">
        <is>
          <t>IMP01111</t>
        </is>
      </c>
      <c r="B1118" s="2" t="n">
        <v>155</v>
      </c>
      <c r="C1118" s="19" t="n">
        <v>1.093</v>
      </c>
      <c r="D1118" s="29" t="n">
        <v>0.0065</v>
      </c>
      <c r="E1118" s="2" t="n">
        <v>1</v>
      </c>
      <c r="F1118" s="2" t="n">
        <v>0</v>
      </c>
      <c r="G1118" s="2" t="n">
        <v>0</v>
      </c>
      <c r="H1118" s="30">
        <f>IF(AND(B1118&gt;=5,C1118&lt;&gt;"",C1118&lt;0.8),1,0)</f>
        <v/>
      </c>
      <c r="I1118" s="30">
        <f>IF(AND(B1118&gt;=8,D1118&lt;&gt;"",D1118&gt;=0.25,D1118&lt;=0.75),1,0)</f>
        <v/>
      </c>
      <c r="J1118" s="2" t="n"/>
    </row>
    <row r="1119">
      <c r="A1119" s="2" t="inlineStr">
        <is>
          <t>IMP01112</t>
        </is>
      </c>
      <c r="B1119" s="2" t="n">
        <v>206</v>
      </c>
      <c r="C1119" s="19" t="n">
        <v>1.026</v>
      </c>
      <c r="D1119" s="29" t="n">
        <v>0.0437</v>
      </c>
      <c r="E1119" s="2" t="n">
        <v>1</v>
      </c>
      <c r="F1119" s="2" t="n">
        <v>0</v>
      </c>
      <c r="G1119" s="2" t="n">
        <v>0</v>
      </c>
      <c r="H1119" s="30">
        <f>IF(AND(B1119&gt;=5,C1119&lt;&gt;"",C1119&lt;0.8),1,0)</f>
        <v/>
      </c>
      <c r="I1119" s="30">
        <f>IF(AND(B1119&gt;=8,D1119&lt;&gt;"",D1119&gt;=0.25,D1119&lt;=0.75),1,0)</f>
        <v/>
      </c>
      <c r="J1119" s="2" t="n"/>
    </row>
    <row r="1120">
      <c r="A1120" s="2" t="inlineStr">
        <is>
          <t>IMP01113</t>
        </is>
      </c>
      <c r="B1120" s="2" t="n">
        <v>69</v>
      </c>
      <c r="C1120" s="19" t="n">
        <v>1.025</v>
      </c>
      <c r="D1120" s="29" t="n">
        <v>0.0435</v>
      </c>
      <c r="E1120" s="2" t="n">
        <v>1</v>
      </c>
      <c r="F1120" s="2" t="n">
        <v>0</v>
      </c>
      <c r="G1120" s="2" t="n">
        <v>0</v>
      </c>
      <c r="H1120" s="30">
        <f>IF(AND(B1120&gt;=5,C1120&lt;&gt;"",C1120&lt;0.8),1,0)</f>
        <v/>
      </c>
      <c r="I1120" s="30">
        <f>IF(AND(B1120&gt;=8,D1120&lt;&gt;"",D1120&gt;=0.25,D1120&lt;=0.75),1,0)</f>
        <v/>
      </c>
      <c r="J1120" s="2" t="n"/>
    </row>
    <row r="1121">
      <c r="A1121" s="2" t="inlineStr">
        <is>
          <t>IMP01114</t>
        </is>
      </c>
      <c r="B1121" s="2" t="n">
        <v>200</v>
      </c>
      <c r="C1121" s="19" t="n">
        <v>0.9419999999999999</v>
      </c>
      <c r="D1121" s="29" t="n">
        <v>0.065</v>
      </c>
      <c r="E1121" s="2" t="n">
        <v>1</v>
      </c>
      <c r="F1121" s="2" t="n">
        <v>0</v>
      </c>
      <c r="G1121" s="2" t="n">
        <v>0</v>
      </c>
      <c r="H1121" s="30">
        <f>IF(AND(B1121&gt;=5,C1121&lt;&gt;"",C1121&lt;0.8),1,0)</f>
        <v/>
      </c>
      <c r="I1121" s="30">
        <f>IF(AND(B1121&gt;=8,D1121&lt;&gt;"",D1121&gt;=0.25,D1121&lt;=0.75),1,0)</f>
        <v/>
      </c>
      <c r="J1121" s="2" t="n"/>
    </row>
    <row r="1122">
      <c r="A1122" s="2" t="inlineStr">
        <is>
          <t>IMP01115</t>
        </is>
      </c>
      <c r="B1122" s="2" t="n">
        <v>14</v>
      </c>
      <c r="C1122" s="19" t="n">
        <v>1.2555</v>
      </c>
      <c r="D1122" s="29" t="n">
        <v>0</v>
      </c>
      <c r="E1122" s="2" t="n">
        <v>3</v>
      </c>
      <c r="F1122" s="2" t="n">
        <v>0</v>
      </c>
      <c r="G1122" s="2" t="n">
        <v>0</v>
      </c>
      <c r="H1122" s="30">
        <f>IF(AND(B1122&gt;=5,C1122&lt;&gt;"",C1122&lt;0.8),1,0)</f>
        <v/>
      </c>
      <c r="I1122" s="30">
        <f>IF(AND(B1122&gt;=8,D1122&lt;&gt;"",D1122&gt;=0.25,D1122&lt;=0.75),1,0)</f>
        <v/>
      </c>
      <c r="J1122" s="2" t="n"/>
    </row>
    <row r="1123">
      <c r="A1123" s="2" t="inlineStr">
        <is>
          <t>IMP01116</t>
        </is>
      </c>
      <c r="B1123" s="2" t="n">
        <v>7</v>
      </c>
      <c r="C1123" s="19" t="n">
        <v>0.994</v>
      </c>
      <c r="D1123" s="29" t="n">
        <v>0.2857</v>
      </c>
      <c r="E1123" s="2" t="n">
        <v>1</v>
      </c>
      <c r="F1123" s="2" t="n">
        <v>0</v>
      </c>
      <c r="G1123" s="2" t="n">
        <v>0</v>
      </c>
      <c r="H1123" s="30">
        <f>IF(AND(B1123&gt;=5,C1123&lt;&gt;"",C1123&lt;0.8),1,0)</f>
        <v/>
      </c>
      <c r="I1123" s="30">
        <f>IF(AND(B1123&gt;=8,D1123&lt;&gt;"",D1123&gt;=0.25,D1123&lt;=0.75),1,0)</f>
        <v/>
      </c>
      <c r="J1123" s="2" t="n"/>
    </row>
    <row r="1124">
      <c r="A1124" s="2" t="inlineStr">
        <is>
          <t>IMP01117</t>
        </is>
      </c>
      <c r="B1124" s="2" t="n">
        <v>36</v>
      </c>
      <c r="C1124" s="19" t="n">
        <v>0.751</v>
      </c>
      <c r="D1124" s="29" t="n">
        <v>0.4722</v>
      </c>
      <c r="E1124" s="2" t="n">
        <v>1</v>
      </c>
      <c r="F1124" s="2" t="n">
        <v>1</v>
      </c>
      <c r="G1124" s="2" t="n">
        <v>1</v>
      </c>
      <c r="H1124" s="30">
        <f>IF(AND(B1124&gt;=5,C1124&lt;&gt;"",C1124&lt;0.8),1,0)</f>
        <v/>
      </c>
      <c r="I1124" s="30">
        <f>IF(AND(B1124&gt;=8,D1124&lt;&gt;"",D1124&gt;=0.25,D1124&lt;=0.75),1,0)</f>
        <v/>
      </c>
      <c r="J1124" s="2" t="n"/>
    </row>
    <row r="1125">
      <c r="A1125" s="2" t="inlineStr">
        <is>
          <t>IMP01118</t>
        </is>
      </c>
      <c r="B1125" s="2" t="n">
        <v>77</v>
      </c>
      <c r="C1125" s="19" t="n">
        <v>0.979</v>
      </c>
      <c r="D1125" s="29" t="n">
        <v>0.013</v>
      </c>
      <c r="E1125" s="2" t="n">
        <v>1</v>
      </c>
      <c r="F1125" s="2" t="n">
        <v>0</v>
      </c>
      <c r="G1125" s="2" t="n">
        <v>0</v>
      </c>
      <c r="H1125" s="30">
        <f>IF(AND(B1125&gt;=5,C1125&lt;&gt;"",C1125&lt;0.8),1,0)</f>
        <v/>
      </c>
      <c r="I1125" s="30">
        <f>IF(AND(B1125&gt;=8,D1125&lt;&gt;"",D1125&gt;=0.25,D1125&lt;=0.75),1,0)</f>
        <v/>
      </c>
      <c r="J1125" s="2" t="n"/>
    </row>
    <row r="1126">
      <c r="A1126" s="2" t="inlineStr">
        <is>
          <t>IMP01119</t>
        </is>
      </c>
      <c r="B1126" s="2" t="n">
        <v>26</v>
      </c>
      <c r="C1126" s="19" t="n">
        <v>1.0675</v>
      </c>
      <c r="D1126" s="29" t="n">
        <v>0.1538</v>
      </c>
      <c r="E1126" s="2" t="n">
        <v>3</v>
      </c>
      <c r="F1126" s="2" t="n">
        <v>0</v>
      </c>
      <c r="G1126" s="2" t="n">
        <v>0</v>
      </c>
      <c r="H1126" s="30">
        <f>IF(AND(B1126&gt;=5,C1126&lt;&gt;"",C1126&lt;0.8),1,0)</f>
        <v/>
      </c>
      <c r="I1126" s="30">
        <f>IF(AND(B1126&gt;=8,D1126&lt;&gt;"",D1126&gt;=0.25,D1126&lt;=0.75),1,0)</f>
        <v/>
      </c>
      <c r="J1126" s="2" t="n"/>
    </row>
    <row r="1127">
      <c r="A1127" s="2" t="inlineStr">
        <is>
          <t>IMP01120</t>
        </is>
      </c>
      <c r="B1127" s="2" t="n">
        <v>17</v>
      </c>
      <c r="C1127" s="19" t="n">
        <v>1.274</v>
      </c>
      <c r="D1127" s="29" t="n">
        <v>0</v>
      </c>
      <c r="E1127" s="2" t="n">
        <v>1</v>
      </c>
      <c r="F1127" s="2" t="n">
        <v>0</v>
      </c>
      <c r="G1127" s="2" t="n">
        <v>0</v>
      </c>
      <c r="H1127" s="30">
        <f>IF(AND(B1127&gt;=5,C1127&lt;&gt;"",C1127&lt;0.8),1,0)</f>
        <v/>
      </c>
      <c r="I1127" s="30">
        <f>IF(AND(B1127&gt;=8,D1127&lt;&gt;"",D1127&gt;=0.25,D1127&lt;=0.75),1,0)</f>
        <v/>
      </c>
      <c r="J1127" s="2" t="n"/>
    </row>
    <row r="1128">
      <c r="A1128" s="2" t="inlineStr">
        <is>
          <t>IMP01121</t>
        </is>
      </c>
      <c r="B1128" s="2" t="n">
        <v>1</v>
      </c>
      <c r="C1128" s="19" t="n">
        <v>0.944</v>
      </c>
      <c r="D1128" s="29" t="n">
        <v>0</v>
      </c>
      <c r="E1128" s="2" t="n">
        <v>1</v>
      </c>
      <c r="F1128" s="2" t="n">
        <v>0</v>
      </c>
      <c r="G1128" s="2" t="n">
        <v>0</v>
      </c>
      <c r="H1128" s="30">
        <f>IF(AND(B1128&gt;=5,C1128&lt;&gt;"",C1128&lt;0.8),1,0)</f>
        <v/>
      </c>
      <c r="I1128" s="30">
        <f>IF(AND(B1128&gt;=8,D1128&lt;&gt;"",D1128&gt;=0.25,D1128&lt;=0.75),1,0)</f>
        <v/>
      </c>
      <c r="J1128" s="2" t="n"/>
    </row>
    <row r="1129">
      <c r="A1129" s="2" t="inlineStr">
        <is>
          <t>IMP01122</t>
        </is>
      </c>
      <c r="B1129" s="2" t="n">
        <v>22</v>
      </c>
      <c r="C1129" s="19" t="n">
        <v>0.7485000000000001</v>
      </c>
      <c r="D1129" s="29" t="n">
        <v>0.5</v>
      </c>
      <c r="E1129" s="2" t="n">
        <v>2</v>
      </c>
      <c r="F1129" s="2" t="n">
        <v>1</v>
      </c>
      <c r="G1129" s="2" t="n">
        <v>1</v>
      </c>
      <c r="H1129" s="30">
        <f>IF(AND(B1129&gt;=5,C1129&lt;&gt;"",C1129&lt;0.8),1,0)</f>
        <v/>
      </c>
      <c r="I1129" s="30">
        <f>IF(AND(B1129&gt;=8,D1129&lt;&gt;"",D1129&gt;=0.25,D1129&lt;=0.75),1,0)</f>
        <v/>
      </c>
      <c r="J1129" s="2" t="n"/>
    </row>
    <row r="1130">
      <c r="A1130" s="2" t="inlineStr">
        <is>
          <t>IMP01123</t>
        </is>
      </c>
      <c r="B1130" s="2" t="n">
        <v>2</v>
      </c>
      <c r="C1130" s="19" t="n">
        <v>1.378</v>
      </c>
      <c r="D1130" s="29" t="n">
        <v>0</v>
      </c>
      <c r="E1130" s="2" t="n">
        <v>2</v>
      </c>
      <c r="F1130" s="2" t="n">
        <v>0</v>
      </c>
      <c r="G1130" s="2" t="n">
        <v>0</v>
      </c>
      <c r="H1130" s="30">
        <f>IF(AND(B1130&gt;=5,C1130&lt;&gt;"",C1130&lt;0.8),1,0)</f>
        <v/>
      </c>
      <c r="I1130" s="30">
        <f>IF(AND(B1130&gt;=8,D1130&lt;&gt;"",D1130&gt;=0.25,D1130&lt;=0.75),1,0)</f>
        <v/>
      </c>
      <c r="J1130" s="2" t="n"/>
    </row>
    <row r="1131">
      <c r="A1131" s="2" t="inlineStr">
        <is>
          <t>IMP01124</t>
        </is>
      </c>
      <c r="B1131" s="2" t="n">
        <v>16</v>
      </c>
      <c r="C1131" s="19" t="n">
        <v>0.8685</v>
      </c>
      <c r="D1131" s="29" t="n">
        <v>0.0625</v>
      </c>
      <c r="E1131" s="2" t="n">
        <v>3</v>
      </c>
      <c r="F1131" s="2" t="n">
        <v>0</v>
      </c>
      <c r="G1131" s="2" t="n">
        <v>0</v>
      </c>
      <c r="H1131" s="30">
        <f>IF(AND(B1131&gt;=5,C1131&lt;&gt;"",C1131&lt;0.8),1,0)</f>
        <v/>
      </c>
      <c r="I1131" s="30">
        <f>IF(AND(B1131&gt;=8,D1131&lt;&gt;"",D1131&gt;=0.25,D1131&lt;=0.75),1,0)</f>
        <v/>
      </c>
      <c r="J1131" s="2" t="n"/>
    </row>
    <row r="1132">
      <c r="A1132" s="2" t="inlineStr">
        <is>
          <t>IMP01125</t>
        </is>
      </c>
      <c r="B1132" s="2" t="n">
        <v>10</v>
      </c>
      <c r="C1132" s="19" t="n">
        <v>0.924</v>
      </c>
      <c r="D1132" s="29" t="n">
        <v>0.4</v>
      </c>
      <c r="E1132" s="2" t="n">
        <v>1</v>
      </c>
      <c r="F1132" s="2" t="n">
        <v>0</v>
      </c>
      <c r="G1132" s="2" t="n">
        <v>1</v>
      </c>
      <c r="H1132" s="30">
        <f>IF(AND(B1132&gt;=5,C1132&lt;&gt;"",C1132&lt;0.8),1,0)</f>
        <v/>
      </c>
      <c r="I1132" s="30">
        <f>IF(AND(B1132&gt;=8,D1132&lt;&gt;"",D1132&gt;=0.25,D1132&lt;=0.75),1,0)</f>
        <v/>
      </c>
      <c r="J1132" s="2" t="n"/>
    </row>
    <row r="1133">
      <c r="A1133" s="2" t="inlineStr">
        <is>
          <t>IMP01126</t>
        </is>
      </c>
      <c r="B1133" s="2" t="n">
        <v>20</v>
      </c>
      <c r="C1133" s="19" t="n">
        <v>0.956</v>
      </c>
      <c r="D1133" s="29" t="n">
        <v>0</v>
      </c>
      <c r="E1133" s="2" t="n">
        <v>1</v>
      </c>
      <c r="F1133" s="2" t="n">
        <v>0</v>
      </c>
      <c r="G1133" s="2" t="n">
        <v>0</v>
      </c>
      <c r="H1133" s="30">
        <f>IF(AND(B1133&gt;=5,C1133&lt;&gt;"",C1133&lt;0.8),1,0)</f>
        <v/>
      </c>
      <c r="I1133" s="30">
        <f>IF(AND(B1133&gt;=8,D1133&lt;&gt;"",D1133&gt;=0.25,D1133&lt;=0.75),1,0)</f>
        <v/>
      </c>
      <c r="J1133" s="2" t="n"/>
    </row>
    <row r="1134">
      <c r="A1134" s="2" t="inlineStr">
        <is>
          <t>IMP01127</t>
        </is>
      </c>
      <c r="B1134" s="2" t="n">
        <v>208</v>
      </c>
      <c r="C1134" s="19" t="n">
        <v>1.2235</v>
      </c>
      <c r="D1134" s="29" t="n">
        <v>0.0048</v>
      </c>
      <c r="E1134" s="2" t="n">
        <v>3</v>
      </c>
      <c r="F1134" s="2" t="n">
        <v>0</v>
      </c>
      <c r="G1134" s="2" t="n">
        <v>0</v>
      </c>
      <c r="H1134" s="30">
        <f>IF(AND(B1134&gt;=5,C1134&lt;&gt;"",C1134&lt;0.8),1,0)</f>
        <v/>
      </c>
      <c r="I1134" s="30">
        <f>IF(AND(B1134&gt;=8,D1134&lt;&gt;"",D1134&gt;=0.25,D1134&lt;=0.75),1,0)</f>
        <v/>
      </c>
      <c r="J1134" s="2" t="n"/>
    </row>
    <row r="1135">
      <c r="A1135" s="2" t="inlineStr">
        <is>
          <t>IMP01128</t>
        </is>
      </c>
      <c r="B1135" s="2" t="n">
        <v>2</v>
      </c>
      <c r="C1135" s="19" t="n">
        <v>1.018</v>
      </c>
      <c r="D1135" s="29" t="n">
        <v>0</v>
      </c>
      <c r="E1135" s="2" t="n">
        <v>1</v>
      </c>
      <c r="F1135" s="2" t="n">
        <v>0</v>
      </c>
      <c r="G1135" s="2" t="n">
        <v>0</v>
      </c>
      <c r="H1135" s="30">
        <f>IF(AND(B1135&gt;=5,C1135&lt;&gt;"",C1135&lt;0.8),1,0)</f>
        <v/>
      </c>
      <c r="I1135" s="30">
        <f>IF(AND(B1135&gt;=8,D1135&lt;&gt;"",D1135&gt;=0.25,D1135&lt;=0.75),1,0)</f>
        <v/>
      </c>
      <c r="J1135" s="2" t="n"/>
    </row>
    <row r="1136">
      <c r="A1136" s="2" t="inlineStr">
        <is>
          <t>IMP01129</t>
        </is>
      </c>
      <c r="B1136" s="2" t="n">
        <v>0</v>
      </c>
      <c r="C1136" s="19" t="n"/>
      <c r="D1136" s="29" t="n"/>
      <c r="E1136" s="2" t="n">
        <v>0</v>
      </c>
      <c r="F1136" s="2" t="n">
        <v>0</v>
      </c>
      <c r="G1136" s="2" t="n">
        <v>0</v>
      </c>
      <c r="H1136" s="30">
        <f>IF(AND(B1136&gt;=5,C1136&lt;&gt;"",C1136&lt;0.8),1,0)</f>
        <v/>
      </c>
      <c r="I1136" s="30">
        <f>IF(AND(B1136&gt;=8,D1136&lt;&gt;"",D1136&gt;=0.25,D1136&lt;=0.75),1,0)</f>
        <v/>
      </c>
      <c r="J1136" s="2" t="n"/>
    </row>
    <row r="1137">
      <c r="A1137" s="2" t="inlineStr">
        <is>
          <t>IMP01130</t>
        </is>
      </c>
      <c r="B1137" s="2" t="n">
        <v>331</v>
      </c>
      <c r="C1137" s="19" t="n">
        <v>1.011</v>
      </c>
      <c r="D1137" s="29" t="n">
        <v>0.0211</v>
      </c>
      <c r="E1137" s="2" t="n">
        <v>2</v>
      </c>
      <c r="F1137" s="2" t="n">
        <v>0</v>
      </c>
      <c r="G1137" s="2" t="n">
        <v>0</v>
      </c>
      <c r="H1137" s="30">
        <f>IF(AND(B1137&gt;=5,C1137&lt;&gt;"",C1137&lt;0.8),1,0)</f>
        <v/>
      </c>
      <c r="I1137" s="30">
        <f>IF(AND(B1137&gt;=8,D1137&lt;&gt;"",D1137&gt;=0.25,D1137&lt;=0.75),1,0)</f>
        <v/>
      </c>
      <c r="J1137" s="2" t="n"/>
    </row>
    <row r="1138">
      <c r="A1138" s="2" t="inlineStr">
        <is>
          <t>IMP01131</t>
        </is>
      </c>
      <c r="B1138" s="2" t="n">
        <v>1</v>
      </c>
      <c r="C1138" s="19" t="n">
        <v>0.894</v>
      </c>
      <c r="D1138" s="29" t="n">
        <v>0</v>
      </c>
      <c r="E1138" s="2" t="n">
        <v>1</v>
      </c>
      <c r="F1138" s="2" t="n">
        <v>0</v>
      </c>
      <c r="G1138" s="2" t="n">
        <v>0</v>
      </c>
      <c r="H1138" s="30">
        <f>IF(AND(B1138&gt;=5,C1138&lt;&gt;"",C1138&lt;0.8),1,0)</f>
        <v/>
      </c>
      <c r="I1138" s="30">
        <f>IF(AND(B1138&gt;=8,D1138&lt;&gt;"",D1138&gt;=0.25,D1138&lt;=0.75),1,0)</f>
        <v/>
      </c>
      <c r="J1138" s="2" t="n"/>
    </row>
    <row r="1139">
      <c r="A1139" s="2" t="inlineStr">
        <is>
          <t>IMP01132</t>
        </is>
      </c>
      <c r="B1139" s="2" t="n">
        <v>217</v>
      </c>
      <c r="C1139" s="19" t="n">
        <v>0.993</v>
      </c>
      <c r="D1139" s="29" t="n">
        <v>0.1152</v>
      </c>
      <c r="E1139" s="2" t="n">
        <v>1</v>
      </c>
      <c r="F1139" s="2" t="n">
        <v>0</v>
      </c>
      <c r="G1139" s="2" t="n">
        <v>0</v>
      </c>
      <c r="H1139" s="30">
        <f>IF(AND(B1139&gt;=5,C1139&lt;&gt;"",C1139&lt;0.8),1,0)</f>
        <v/>
      </c>
      <c r="I1139" s="30">
        <f>IF(AND(B1139&gt;=8,D1139&lt;&gt;"",D1139&gt;=0.25,D1139&lt;=0.75),1,0)</f>
        <v/>
      </c>
      <c r="J1139" s="2" t="n"/>
    </row>
    <row r="1140">
      <c r="A1140" s="2" t="inlineStr">
        <is>
          <t>IMP01133</t>
        </is>
      </c>
      <c r="B1140" s="2" t="n">
        <v>0</v>
      </c>
      <c r="C1140" s="19" t="n"/>
      <c r="D1140" s="29" t="n"/>
      <c r="E1140" s="2" t="n">
        <v>0</v>
      </c>
      <c r="F1140" s="2" t="n">
        <v>0</v>
      </c>
      <c r="G1140" s="2" t="n">
        <v>0</v>
      </c>
      <c r="H1140" s="30">
        <f>IF(AND(B1140&gt;=5,C1140&lt;&gt;"",C1140&lt;0.8),1,0)</f>
        <v/>
      </c>
      <c r="I1140" s="30">
        <f>IF(AND(B1140&gt;=8,D1140&lt;&gt;"",D1140&gt;=0.25,D1140&lt;=0.75),1,0)</f>
        <v/>
      </c>
      <c r="J1140" s="2" t="n"/>
    </row>
    <row r="1141">
      <c r="A1141" s="2" t="inlineStr">
        <is>
          <t>IMP01134</t>
        </is>
      </c>
      <c r="B1141" s="2" t="n">
        <v>2</v>
      </c>
      <c r="C1141" s="19" t="n">
        <v>0.88</v>
      </c>
      <c r="D1141" s="29" t="n">
        <v>0</v>
      </c>
      <c r="E1141" s="2" t="n">
        <v>1</v>
      </c>
      <c r="F1141" s="2" t="n">
        <v>0</v>
      </c>
      <c r="G1141" s="2" t="n">
        <v>0</v>
      </c>
      <c r="H1141" s="30">
        <f>IF(AND(B1141&gt;=5,C1141&lt;&gt;"",C1141&lt;0.8),1,0)</f>
        <v/>
      </c>
      <c r="I1141" s="30">
        <f>IF(AND(B1141&gt;=8,D1141&lt;&gt;"",D1141&gt;=0.25,D1141&lt;=0.75),1,0)</f>
        <v/>
      </c>
      <c r="J1141" s="2" t="n"/>
    </row>
    <row r="1142">
      <c r="A1142" s="2" t="inlineStr">
        <is>
          <t>IMP01135</t>
        </is>
      </c>
      <c r="B1142" s="2" t="n">
        <v>8</v>
      </c>
      <c r="C1142" s="19" t="n">
        <v>0.9525</v>
      </c>
      <c r="D1142" s="29" t="n">
        <v>0</v>
      </c>
      <c r="E1142" s="2" t="n">
        <v>1</v>
      </c>
      <c r="F1142" s="2" t="n">
        <v>0</v>
      </c>
      <c r="G1142" s="2" t="n">
        <v>0</v>
      </c>
      <c r="H1142" s="30">
        <f>IF(AND(B1142&gt;=5,C1142&lt;&gt;"",C1142&lt;0.8),1,0)</f>
        <v/>
      </c>
      <c r="I1142" s="30">
        <f>IF(AND(B1142&gt;=8,D1142&lt;&gt;"",D1142&gt;=0.25,D1142&lt;=0.75),1,0)</f>
        <v/>
      </c>
      <c r="J1142" s="2" t="n"/>
    </row>
    <row r="1143">
      <c r="A1143" s="2" t="inlineStr">
        <is>
          <t>IMP01136</t>
        </is>
      </c>
      <c r="B1143" s="2" t="n">
        <v>32</v>
      </c>
      <c r="C1143" s="19" t="n">
        <v>0.854</v>
      </c>
      <c r="D1143" s="29" t="n">
        <v>0.1875</v>
      </c>
      <c r="E1143" s="2" t="n">
        <v>1</v>
      </c>
      <c r="F1143" s="2" t="n">
        <v>0</v>
      </c>
      <c r="G1143" s="2" t="n">
        <v>0</v>
      </c>
      <c r="H1143" s="30">
        <f>IF(AND(B1143&gt;=5,C1143&lt;&gt;"",C1143&lt;0.8),1,0)</f>
        <v/>
      </c>
      <c r="I1143" s="30">
        <f>IF(AND(B1143&gt;=8,D1143&lt;&gt;"",D1143&gt;=0.25,D1143&lt;=0.75),1,0)</f>
        <v/>
      </c>
      <c r="J1143" s="2" t="n"/>
    </row>
    <row r="1144">
      <c r="A1144" s="2" t="inlineStr">
        <is>
          <t>IMP01137</t>
        </is>
      </c>
      <c r="B1144" s="2" t="n">
        <v>1</v>
      </c>
      <c r="C1144" s="19" t="n">
        <v>1.124</v>
      </c>
      <c r="D1144" s="29" t="n">
        <v>0</v>
      </c>
      <c r="E1144" s="2" t="n">
        <v>1</v>
      </c>
      <c r="F1144" s="2" t="n">
        <v>0</v>
      </c>
      <c r="G1144" s="2" t="n">
        <v>0</v>
      </c>
      <c r="H1144" s="30">
        <f>IF(AND(B1144&gt;=5,C1144&lt;&gt;"",C1144&lt;0.8),1,0)</f>
        <v/>
      </c>
      <c r="I1144" s="30">
        <f>IF(AND(B1144&gt;=8,D1144&lt;&gt;"",D1144&gt;=0.25,D1144&lt;=0.75),1,0)</f>
        <v/>
      </c>
      <c r="J1144" s="2" t="n"/>
    </row>
    <row r="1145">
      <c r="A1145" s="2" t="inlineStr">
        <is>
          <t>IMP01138</t>
        </is>
      </c>
      <c r="B1145" s="2" t="n">
        <v>0</v>
      </c>
      <c r="C1145" s="19" t="n"/>
      <c r="D1145" s="29" t="n"/>
      <c r="E1145" s="2" t="n">
        <v>0</v>
      </c>
      <c r="F1145" s="2" t="n">
        <v>0</v>
      </c>
      <c r="G1145" s="2" t="n">
        <v>0</v>
      </c>
      <c r="H1145" s="30">
        <f>IF(AND(B1145&gt;=5,C1145&lt;&gt;"",C1145&lt;0.8),1,0)</f>
        <v/>
      </c>
      <c r="I1145" s="30">
        <f>IF(AND(B1145&gt;=8,D1145&lt;&gt;"",D1145&gt;=0.25,D1145&lt;=0.75),1,0)</f>
        <v/>
      </c>
      <c r="J1145" s="2" t="n"/>
    </row>
    <row r="1146">
      <c r="A1146" s="2" t="inlineStr">
        <is>
          <t>IMP01139</t>
        </is>
      </c>
      <c r="B1146" s="2" t="n">
        <v>2</v>
      </c>
      <c r="C1146" s="19" t="n">
        <v>0.651</v>
      </c>
      <c r="D1146" s="29" t="n">
        <v>0.5</v>
      </c>
      <c r="E1146" s="2" t="n">
        <v>1</v>
      </c>
      <c r="F1146" s="2" t="n">
        <v>0</v>
      </c>
      <c r="G1146" s="2" t="n">
        <v>0</v>
      </c>
      <c r="H1146" s="30">
        <f>IF(AND(B1146&gt;=5,C1146&lt;&gt;"",C1146&lt;0.8),1,0)</f>
        <v/>
      </c>
      <c r="I1146" s="30">
        <f>IF(AND(B1146&gt;=8,D1146&lt;&gt;"",D1146&gt;=0.25,D1146&lt;=0.75),1,0)</f>
        <v/>
      </c>
      <c r="J1146" s="2" t="n"/>
    </row>
    <row r="1147">
      <c r="A1147" s="2" t="inlineStr">
        <is>
          <t>IMP01140</t>
        </is>
      </c>
      <c r="B1147" s="2" t="n">
        <v>11</v>
      </c>
      <c r="C1147" s="19" t="n">
        <v>0.726</v>
      </c>
      <c r="D1147" s="29" t="n">
        <v>0.6364</v>
      </c>
      <c r="E1147" s="2" t="n">
        <v>2</v>
      </c>
      <c r="F1147" s="2" t="n">
        <v>1</v>
      </c>
      <c r="G1147" s="2" t="n">
        <v>1</v>
      </c>
      <c r="H1147" s="30">
        <f>IF(AND(B1147&gt;=5,C1147&lt;&gt;"",C1147&lt;0.8),1,0)</f>
        <v/>
      </c>
      <c r="I1147" s="30">
        <f>IF(AND(B1147&gt;=8,D1147&lt;&gt;"",D1147&gt;=0.25,D1147&lt;=0.75),1,0)</f>
        <v/>
      </c>
      <c r="J1147" s="2" t="n"/>
    </row>
    <row r="1148">
      <c r="A1148" s="2" t="inlineStr">
        <is>
          <t>IMP01141</t>
        </is>
      </c>
      <c r="B1148" s="2" t="n">
        <v>243</v>
      </c>
      <c r="C1148" s="19" t="n">
        <v>1.213</v>
      </c>
      <c r="D1148" s="29" t="n">
        <v>0</v>
      </c>
      <c r="E1148" s="2" t="n">
        <v>2</v>
      </c>
      <c r="F1148" s="2" t="n">
        <v>0</v>
      </c>
      <c r="G1148" s="2" t="n">
        <v>0</v>
      </c>
      <c r="H1148" s="30">
        <f>IF(AND(B1148&gt;=5,C1148&lt;&gt;"",C1148&lt;0.8),1,0)</f>
        <v/>
      </c>
      <c r="I1148" s="30">
        <f>IF(AND(B1148&gt;=8,D1148&lt;&gt;"",D1148&gt;=0.25,D1148&lt;=0.75),1,0)</f>
        <v/>
      </c>
      <c r="J1148" s="2" t="n"/>
    </row>
    <row r="1149">
      <c r="A1149" s="2" t="inlineStr">
        <is>
          <t>IMP01142</t>
        </is>
      </c>
      <c r="B1149" s="2" t="n">
        <v>939</v>
      </c>
      <c r="C1149" s="19" t="n">
        <v>0.996</v>
      </c>
      <c r="D1149" s="29" t="n">
        <v>0.0181</v>
      </c>
      <c r="E1149" s="2" t="n">
        <v>3</v>
      </c>
      <c r="F1149" s="2" t="n">
        <v>0</v>
      </c>
      <c r="G1149" s="2" t="n">
        <v>0</v>
      </c>
      <c r="H1149" s="30">
        <f>IF(AND(B1149&gt;=5,C1149&lt;&gt;"",C1149&lt;0.8),1,0)</f>
        <v/>
      </c>
      <c r="I1149" s="30">
        <f>IF(AND(B1149&gt;=8,D1149&lt;&gt;"",D1149&gt;=0.25,D1149&lt;=0.75),1,0)</f>
        <v/>
      </c>
      <c r="J1149" s="2" t="n"/>
    </row>
    <row r="1150">
      <c r="A1150" s="2" t="inlineStr">
        <is>
          <t>IMP01143</t>
        </is>
      </c>
      <c r="B1150" s="2" t="n">
        <v>0</v>
      </c>
      <c r="C1150" s="19" t="n"/>
      <c r="D1150" s="29" t="n"/>
      <c r="E1150" s="2" t="n">
        <v>0</v>
      </c>
      <c r="F1150" s="2" t="n">
        <v>0</v>
      </c>
      <c r="G1150" s="2" t="n">
        <v>0</v>
      </c>
      <c r="H1150" s="30">
        <f>IF(AND(B1150&gt;=5,C1150&lt;&gt;"",C1150&lt;0.8),1,0)</f>
        <v/>
      </c>
      <c r="I1150" s="30">
        <f>IF(AND(B1150&gt;=8,D1150&lt;&gt;"",D1150&gt;=0.25,D1150&lt;=0.75),1,0)</f>
        <v/>
      </c>
      <c r="J1150" s="2" t="n"/>
    </row>
    <row r="1151">
      <c r="A1151" s="2" t="inlineStr">
        <is>
          <t>IMP01144</t>
        </is>
      </c>
      <c r="B1151" s="2" t="n">
        <v>726</v>
      </c>
      <c r="C1151" s="19" t="n">
        <v>1.0025</v>
      </c>
      <c r="D1151" s="29" t="n">
        <v>0.0262</v>
      </c>
      <c r="E1151" s="2" t="n">
        <v>1</v>
      </c>
      <c r="F1151" s="2" t="n">
        <v>0</v>
      </c>
      <c r="G1151" s="2" t="n">
        <v>0</v>
      </c>
      <c r="H1151" s="30">
        <f>IF(AND(B1151&gt;=5,C1151&lt;&gt;"",C1151&lt;0.8),1,0)</f>
        <v/>
      </c>
      <c r="I1151" s="30">
        <f>IF(AND(B1151&gt;=8,D1151&lt;&gt;"",D1151&gt;=0.25,D1151&lt;=0.75),1,0)</f>
        <v/>
      </c>
      <c r="J1151" s="2" t="n"/>
    </row>
    <row r="1152">
      <c r="A1152" s="2" t="inlineStr">
        <is>
          <t>IMP01145</t>
        </is>
      </c>
      <c r="B1152" s="2" t="n">
        <v>0</v>
      </c>
      <c r="C1152" s="19" t="n"/>
      <c r="D1152" s="29" t="n"/>
      <c r="E1152" s="2" t="n">
        <v>0</v>
      </c>
      <c r="F1152" s="2" t="n">
        <v>0</v>
      </c>
      <c r="G1152" s="2" t="n">
        <v>0</v>
      </c>
      <c r="H1152" s="30">
        <f>IF(AND(B1152&gt;=5,C1152&lt;&gt;"",C1152&lt;0.8),1,0)</f>
        <v/>
      </c>
      <c r="I1152" s="30">
        <f>IF(AND(B1152&gt;=8,D1152&lt;&gt;"",D1152&gt;=0.25,D1152&lt;=0.75),1,0)</f>
        <v/>
      </c>
      <c r="J1152" s="2" t="n"/>
    </row>
    <row r="1153">
      <c r="A1153" s="2" t="inlineStr">
        <is>
          <t>IMP01146</t>
        </is>
      </c>
      <c r="B1153" s="2" t="n">
        <v>4</v>
      </c>
      <c r="C1153" s="19" t="n">
        <v>1.037</v>
      </c>
      <c r="D1153" s="29" t="n">
        <v>0</v>
      </c>
      <c r="E1153" s="2" t="n">
        <v>1</v>
      </c>
      <c r="F1153" s="2" t="n">
        <v>0</v>
      </c>
      <c r="G1153" s="2" t="n">
        <v>0</v>
      </c>
      <c r="H1153" s="30">
        <f>IF(AND(B1153&gt;=5,C1153&lt;&gt;"",C1153&lt;0.8),1,0)</f>
        <v/>
      </c>
      <c r="I1153" s="30">
        <f>IF(AND(B1153&gt;=8,D1153&lt;&gt;"",D1153&gt;=0.25,D1153&lt;=0.75),1,0)</f>
        <v/>
      </c>
      <c r="J1153" s="2" t="n"/>
    </row>
    <row r="1154">
      <c r="A1154" s="2" t="inlineStr">
        <is>
          <t>IMP01147</t>
        </is>
      </c>
      <c r="B1154" s="2" t="n">
        <v>32</v>
      </c>
      <c r="C1154" s="19" t="n">
        <v>1.1635</v>
      </c>
      <c r="D1154" s="29" t="n">
        <v>0.2188</v>
      </c>
      <c r="E1154" s="2" t="n">
        <v>1</v>
      </c>
      <c r="F1154" s="2" t="n">
        <v>0</v>
      </c>
      <c r="G1154" s="2" t="n">
        <v>0</v>
      </c>
      <c r="H1154" s="30">
        <f>IF(AND(B1154&gt;=5,C1154&lt;&gt;"",C1154&lt;0.8),1,0)</f>
        <v/>
      </c>
      <c r="I1154" s="30">
        <f>IF(AND(B1154&gt;=8,D1154&lt;&gt;"",D1154&gt;=0.25,D1154&lt;=0.75),1,0)</f>
        <v/>
      </c>
      <c r="J1154" s="2" t="n"/>
    </row>
    <row r="1155">
      <c r="A1155" s="2" t="inlineStr">
        <is>
          <t>IMP01148</t>
        </is>
      </c>
      <c r="B1155" s="2" t="n">
        <v>0</v>
      </c>
      <c r="C1155" s="19" t="n"/>
      <c r="D1155" s="29" t="n"/>
      <c r="E1155" s="2" t="n">
        <v>0</v>
      </c>
      <c r="F1155" s="2" t="n">
        <v>0</v>
      </c>
      <c r="G1155" s="2" t="n">
        <v>0</v>
      </c>
      <c r="H1155" s="30">
        <f>IF(AND(B1155&gt;=5,C1155&lt;&gt;"",C1155&lt;0.8),1,0)</f>
        <v/>
      </c>
      <c r="I1155" s="30">
        <f>IF(AND(B1155&gt;=8,D1155&lt;&gt;"",D1155&gt;=0.25,D1155&lt;=0.75),1,0)</f>
        <v/>
      </c>
      <c r="J1155" s="2" t="n"/>
    </row>
    <row r="1156">
      <c r="A1156" s="2" t="inlineStr">
        <is>
          <t>IMP01149</t>
        </is>
      </c>
      <c r="B1156" s="2" t="n">
        <v>14</v>
      </c>
      <c r="C1156" s="19" t="n">
        <v>0.955</v>
      </c>
      <c r="D1156" s="29" t="n">
        <v>0</v>
      </c>
      <c r="E1156" s="2" t="n">
        <v>1</v>
      </c>
      <c r="F1156" s="2" t="n">
        <v>0</v>
      </c>
      <c r="G1156" s="2" t="n">
        <v>0</v>
      </c>
      <c r="H1156" s="30">
        <f>IF(AND(B1156&gt;=5,C1156&lt;&gt;"",C1156&lt;0.8),1,0)</f>
        <v/>
      </c>
      <c r="I1156" s="30">
        <f>IF(AND(B1156&gt;=8,D1156&lt;&gt;"",D1156&gt;=0.25,D1156&lt;=0.75),1,0)</f>
        <v/>
      </c>
      <c r="J1156" s="2" t="n"/>
    </row>
    <row r="1157">
      <c r="A1157" s="2" t="inlineStr">
        <is>
          <t>IMP01150</t>
        </is>
      </c>
      <c r="B1157" s="2" t="n">
        <v>2</v>
      </c>
      <c r="C1157" s="19" t="n">
        <v>1.1305</v>
      </c>
      <c r="D1157" s="29" t="n">
        <v>0</v>
      </c>
      <c r="E1157" s="2" t="n">
        <v>1</v>
      </c>
      <c r="F1157" s="2" t="n">
        <v>0</v>
      </c>
      <c r="G1157" s="2" t="n">
        <v>0</v>
      </c>
      <c r="H1157" s="30">
        <f>IF(AND(B1157&gt;=5,C1157&lt;&gt;"",C1157&lt;0.8),1,0)</f>
        <v/>
      </c>
      <c r="I1157" s="30">
        <f>IF(AND(B1157&gt;=8,D1157&lt;&gt;"",D1157&gt;=0.25,D1157&lt;=0.75),1,0)</f>
        <v/>
      </c>
      <c r="J1157" s="2" t="n"/>
    </row>
    <row r="1158">
      <c r="A1158" s="2" t="inlineStr">
        <is>
          <t>IMP01151</t>
        </is>
      </c>
      <c r="B1158" s="2" t="n">
        <v>56</v>
      </c>
      <c r="C1158" s="19" t="n">
        <v>1.105</v>
      </c>
      <c r="D1158" s="29" t="n">
        <v>0.07140000000000001</v>
      </c>
      <c r="E1158" s="2" t="n">
        <v>1</v>
      </c>
      <c r="F1158" s="2" t="n">
        <v>0</v>
      </c>
      <c r="G1158" s="2" t="n">
        <v>0</v>
      </c>
      <c r="H1158" s="30">
        <f>IF(AND(B1158&gt;=5,C1158&lt;&gt;"",C1158&lt;0.8),1,0)</f>
        <v/>
      </c>
      <c r="I1158" s="30">
        <f>IF(AND(B1158&gt;=8,D1158&lt;&gt;"",D1158&gt;=0.25,D1158&lt;=0.75),1,0)</f>
        <v/>
      </c>
      <c r="J1158" s="2" t="n"/>
    </row>
    <row r="1159">
      <c r="A1159" s="2" t="inlineStr">
        <is>
          <t>IMP01152</t>
        </is>
      </c>
      <c r="B1159" s="2" t="n">
        <v>0</v>
      </c>
      <c r="C1159" s="19" t="n"/>
      <c r="D1159" s="29" t="n"/>
      <c r="E1159" s="2" t="n">
        <v>0</v>
      </c>
      <c r="F1159" s="2" t="n">
        <v>0</v>
      </c>
      <c r="G1159" s="2" t="n">
        <v>0</v>
      </c>
      <c r="H1159" s="30">
        <f>IF(AND(B1159&gt;=5,C1159&lt;&gt;"",C1159&lt;0.8),1,0)</f>
        <v/>
      </c>
      <c r="I1159" s="30">
        <f>IF(AND(B1159&gt;=8,D1159&lt;&gt;"",D1159&gt;=0.25,D1159&lt;=0.75),1,0)</f>
        <v/>
      </c>
      <c r="J1159" s="2" t="n"/>
    </row>
    <row r="1160">
      <c r="A1160" s="2" t="inlineStr">
        <is>
          <t>IMP01153</t>
        </is>
      </c>
      <c r="B1160" s="2" t="n">
        <v>1</v>
      </c>
      <c r="C1160" s="19" t="n">
        <v>0.765</v>
      </c>
      <c r="D1160" s="29" t="n">
        <v>0</v>
      </c>
      <c r="E1160" s="2" t="n">
        <v>1</v>
      </c>
      <c r="F1160" s="2" t="n">
        <v>0</v>
      </c>
      <c r="G1160" s="2" t="n">
        <v>0</v>
      </c>
      <c r="H1160" s="30">
        <f>IF(AND(B1160&gt;=5,C1160&lt;&gt;"",C1160&lt;0.8),1,0)</f>
        <v/>
      </c>
      <c r="I1160" s="30">
        <f>IF(AND(B1160&gt;=8,D1160&lt;&gt;"",D1160&gt;=0.25,D1160&lt;=0.75),1,0)</f>
        <v/>
      </c>
      <c r="J1160" s="2" t="n"/>
    </row>
    <row r="1161">
      <c r="A1161" s="2" t="inlineStr">
        <is>
          <t>IMP01154</t>
        </is>
      </c>
      <c r="B1161" s="2" t="n">
        <v>378</v>
      </c>
      <c r="C1161" s="19" t="n">
        <v>0.984</v>
      </c>
      <c r="D1161" s="29" t="n">
        <v>0.0106</v>
      </c>
      <c r="E1161" s="2" t="n">
        <v>2</v>
      </c>
      <c r="F1161" s="2" t="n">
        <v>0</v>
      </c>
      <c r="G1161" s="2" t="n">
        <v>0</v>
      </c>
      <c r="H1161" s="30">
        <f>IF(AND(B1161&gt;=5,C1161&lt;&gt;"",C1161&lt;0.8),1,0)</f>
        <v/>
      </c>
      <c r="I1161" s="30">
        <f>IF(AND(B1161&gt;=8,D1161&lt;&gt;"",D1161&gt;=0.25,D1161&lt;=0.75),1,0)</f>
        <v/>
      </c>
      <c r="J1161" s="2" t="n"/>
    </row>
    <row r="1162">
      <c r="A1162" s="2" t="inlineStr">
        <is>
          <t>IMP01155</t>
        </is>
      </c>
      <c r="B1162" s="2" t="n">
        <v>0</v>
      </c>
      <c r="C1162" s="19" t="n"/>
      <c r="D1162" s="29" t="n"/>
      <c r="E1162" s="2" t="n">
        <v>0</v>
      </c>
      <c r="F1162" s="2" t="n">
        <v>0</v>
      </c>
      <c r="G1162" s="2" t="n">
        <v>0</v>
      </c>
      <c r="H1162" s="30">
        <f>IF(AND(B1162&gt;=5,C1162&lt;&gt;"",C1162&lt;0.8),1,0)</f>
        <v/>
      </c>
      <c r="I1162" s="30">
        <f>IF(AND(B1162&gt;=8,D1162&lt;&gt;"",D1162&gt;=0.25,D1162&lt;=0.75),1,0)</f>
        <v/>
      </c>
      <c r="J1162" s="2" t="n"/>
    </row>
    <row r="1163">
      <c r="A1163" s="2" t="inlineStr">
        <is>
          <t>IMP01156</t>
        </is>
      </c>
      <c r="B1163" s="2" t="n">
        <v>151</v>
      </c>
      <c r="C1163" s="19" t="n">
        <v>0.955</v>
      </c>
      <c r="D1163" s="29" t="n">
        <v>0.0265</v>
      </c>
      <c r="E1163" s="2" t="n">
        <v>1</v>
      </c>
      <c r="F1163" s="2" t="n">
        <v>0</v>
      </c>
      <c r="G1163" s="2" t="n">
        <v>0</v>
      </c>
      <c r="H1163" s="30">
        <f>IF(AND(B1163&gt;=5,C1163&lt;&gt;"",C1163&lt;0.8),1,0)</f>
        <v/>
      </c>
      <c r="I1163" s="30">
        <f>IF(AND(B1163&gt;=8,D1163&lt;&gt;"",D1163&gt;=0.25,D1163&lt;=0.75),1,0)</f>
        <v/>
      </c>
      <c r="J1163" s="2" t="n"/>
    </row>
    <row r="1164">
      <c r="A1164" s="2" t="inlineStr">
        <is>
          <t>IMP01157</t>
        </is>
      </c>
      <c r="B1164" s="2" t="n">
        <v>8</v>
      </c>
      <c r="C1164" s="19" t="n">
        <v>1.9715</v>
      </c>
      <c r="D1164" s="29" t="n">
        <v>0</v>
      </c>
      <c r="E1164" s="2" t="n">
        <v>1</v>
      </c>
      <c r="F1164" s="2" t="n">
        <v>0</v>
      </c>
      <c r="G1164" s="2" t="n">
        <v>0</v>
      </c>
      <c r="H1164" s="30">
        <f>IF(AND(B1164&gt;=5,C1164&lt;&gt;"",C1164&lt;0.8),1,0)</f>
        <v/>
      </c>
      <c r="I1164" s="30">
        <f>IF(AND(B1164&gt;=8,D1164&lt;&gt;"",D1164&gt;=0.25,D1164&lt;=0.75),1,0)</f>
        <v/>
      </c>
      <c r="J1164" s="2" t="n"/>
    </row>
    <row r="1165">
      <c r="A1165" s="2" t="inlineStr">
        <is>
          <t>IMP01158</t>
        </is>
      </c>
      <c r="B1165" s="2" t="n">
        <v>1</v>
      </c>
      <c r="C1165" s="19" t="n">
        <v>0.728</v>
      </c>
      <c r="D1165" s="29" t="n">
        <v>1</v>
      </c>
      <c r="E1165" s="2" t="n">
        <v>1</v>
      </c>
      <c r="F1165" s="2" t="n">
        <v>0</v>
      </c>
      <c r="G1165" s="2" t="n">
        <v>0</v>
      </c>
      <c r="H1165" s="30">
        <f>IF(AND(B1165&gt;=5,C1165&lt;&gt;"",C1165&lt;0.8),1,0)</f>
        <v/>
      </c>
      <c r="I1165" s="30">
        <f>IF(AND(B1165&gt;=8,D1165&lt;&gt;"",D1165&gt;=0.25,D1165&lt;=0.75),1,0)</f>
        <v/>
      </c>
      <c r="J1165" s="2" t="n"/>
    </row>
    <row r="1166">
      <c r="A1166" s="2" t="inlineStr">
        <is>
          <t>IMP01159</t>
        </is>
      </c>
      <c r="B1166" s="2" t="n">
        <v>24</v>
      </c>
      <c r="C1166" s="19" t="n">
        <v>1.37</v>
      </c>
      <c r="D1166" s="29" t="n">
        <v>0.0417</v>
      </c>
      <c r="E1166" s="2" t="n">
        <v>2</v>
      </c>
      <c r="F1166" s="2" t="n">
        <v>0</v>
      </c>
      <c r="G1166" s="2" t="n">
        <v>0</v>
      </c>
      <c r="H1166" s="30">
        <f>IF(AND(B1166&gt;=5,C1166&lt;&gt;"",C1166&lt;0.8),1,0)</f>
        <v/>
      </c>
      <c r="I1166" s="30">
        <f>IF(AND(B1166&gt;=8,D1166&lt;&gt;"",D1166&gt;=0.25,D1166&lt;=0.75),1,0)</f>
        <v/>
      </c>
      <c r="J1166" s="2" t="n"/>
    </row>
    <row r="1167">
      <c r="A1167" s="2" t="inlineStr">
        <is>
          <t>IMP01160</t>
        </is>
      </c>
      <c r="B1167" s="2" t="n">
        <v>101</v>
      </c>
      <c r="C1167" s="19" t="n">
        <v>0.796</v>
      </c>
      <c r="D1167" s="29" t="n">
        <v>0.3762</v>
      </c>
      <c r="E1167" s="2" t="n">
        <v>2</v>
      </c>
      <c r="F1167" s="2" t="n">
        <v>1</v>
      </c>
      <c r="G1167" s="2" t="n">
        <v>1</v>
      </c>
      <c r="H1167" s="30">
        <f>IF(AND(B1167&gt;=5,C1167&lt;&gt;"",C1167&lt;0.8),1,0)</f>
        <v/>
      </c>
      <c r="I1167" s="30">
        <f>IF(AND(B1167&gt;=8,D1167&lt;&gt;"",D1167&gt;=0.25,D1167&lt;=0.75),1,0)</f>
        <v/>
      </c>
      <c r="J1167" s="2" t="n"/>
    </row>
    <row r="1168">
      <c r="A1168" s="2" t="inlineStr">
        <is>
          <t>IMP01161</t>
        </is>
      </c>
      <c r="B1168" s="2" t="n">
        <v>471</v>
      </c>
      <c r="C1168" s="19" t="n">
        <v>0.96</v>
      </c>
      <c r="D1168" s="29" t="n">
        <v>0.0276</v>
      </c>
      <c r="E1168" s="2" t="n">
        <v>1</v>
      </c>
      <c r="F1168" s="2" t="n">
        <v>0</v>
      </c>
      <c r="G1168" s="2" t="n">
        <v>0</v>
      </c>
      <c r="H1168" s="30">
        <f>IF(AND(B1168&gt;=5,C1168&lt;&gt;"",C1168&lt;0.8),1,0)</f>
        <v/>
      </c>
      <c r="I1168" s="30">
        <f>IF(AND(B1168&gt;=8,D1168&lt;&gt;"",D1168&gt;=0.25,D1168&lt;=0.75),1,0)</f>
        <v/>
      </c>
      <c r="J1168" s="2" t="n"/>
    </row>
    <row r="1169">
      <c r="A1169" s="2" t="inlineStr">
        <is>
          <t>IMP01162</t>
        </is>
      </c>
      <c r="B1169" s="2" t="n">
        <v>3</v>
      </c>
      <c r="C1169" s="19" t="n">
        <v>0.909</v>
      </c>
      <c r="D1169" s="29" t="n">
        <v>0</v>
      </c>
      <c r="E1169" s="2" t="n">
        <v>1</v>
      </c>
      <c r="F1169" s="2" t="n">
        <v>0</v>
      </c>
      <c r="G1169" s="2" t="n">
        <v>0</v>
      </c>
      <c r="H1169" s="30">
        <f>IF(AND(B1169&gt;=5,C1169&lt;&gt;"",C1169&lt;0.8),1,0)</f>
        <v/>
      </c>
      <c r="I1169" s="30">
        <f>IF(AND(B1169&gt;=8,D1169&lt;&gt;"",D1169&gt;=0.25,D1169&lt;=0.75),1,0)</f>
        <v/>
      </c>
      <c r="J1169" s="2" t="n"/>
    </row>
    <row r="1170">
      <c r="A1170" s="2" t="inlineStr">
        <is>
          <t>IMP01163</t>
        </is>
      </c>
      <c r="B1170" s="2" t="n">
        <v>30</v>
      </c>
      <c r="C1170" s="19" t="n">
        <v>0.771</v>
      </c>
      <c r="D1170" s="29" t="n">
        <v>0.4</v>
      </c>
      <c r="E1170" s="2" t="n">
        <v>1</v>
      </c>
      <c r="F1170" s="2" t="n">
        <v>1</v>
      </c>
      <c r="G1170" s="2" t="n">
        <v>1</v>
      </c>
      <c r="H1170" s="30">
        <f>IF(AND(B1170&gt;=5,C1170&lt;&gt;"",C1170&lt;0.8),1,0)</f>
        <v/>
      </c>
      <c r="I1170" s="30">
        <f>IF(AND(B1170&gt;=8,D1170&lt;&gt;"",D1170&gt;=0.25,D1170&lt;=0.75),1,0)</f>
        <v/>
      </c>
      <c r="J1170" s="2" t="n"/>
    </row>
    <row r="1171">
      <c r="A1171" s="2" t="inlineStr">
        <is>
          <t>IMP01164</t>
        </is>
      </c>
      <c r="B1171" s="2" t="n">
        <v>34</v>
      </c>
      <c r="C1171" s="19" t="n">
        <v>1.0625</v>
      </c>
      <c r="D1171" s="29" t="n">
        <v>0.0294</v>
      </c>
      <c r="E1171" s="2" t="n">
        <v>1</v>
      </c>
      <c r="F1171" s="2" t="n">
        <v>0</v>
      </c>
      <c r="G1171" s="2" t="n">
        <v>0</v>
      </c>
      <c r="H1171" s="30">
        <f>IF(AND(B1171&gt;=5,C1171&lt;&gt;"",C1171&lt;0.8),1,0)</f>
        <v/>
      </c>
      <c r="I1171" s="30">
        <f>IF(AND(B1171&gt;=8,D1171&lt;&gt;"",D1171&gt;=0.25,D1171&lt;=0.75),1,0)</f>
        <v/>
      </c>
      <c r="J1171" s="2" t="n"/>
    </row>
    <row r="1172">
      <c r="A1172" s="2" t="inlineStr">
        <is>
          <t>IMP01165</t>
        </is>
      </c>
      <c r="B1172" s="2" t="n">
        <v>169</v>
      </c>
      <c r="C1172" s="19" t="n">
        <v>0.9330000000000001</v>
      </c>
      <c r="D1172" s="29" t="n">
        <v>0.07099999999999999</v>
      </c>
      <c r="E1172" s="2" t="n">
        <v>1</v>
      </c>
      <c r="F1172" s="2" t="n">
        <v>0</v>
      </c>
      <c r="G1172" s="2" t="n">
        <v>0</v>
      </c>
      <c r="H1172" s="30">
        <f>IF(AND(B1172&gt;=5,C1172&lt;&gt;"",C1172&lt;0.8),1,0)</f>
        <v/>
      </c>
      <c r="I1172" s="30">
        <f>IF(AND(B1172&gt;=8,D1172&lt;&gt;"",D1172&gt;=0.25,D1172&lt;=0.75),1,0)</f>
        <v/>
      </c>
      <c r="J1172" s="2" t="n"/>
    </row>
    <row r="1173">
      <c r="A1173" s="2" t="inlineStr">
        <is>
          <t>IMP01166</t>
        </is>
      </c>
      <c r="B1173" s="2" t="n">
        <v>264</v>
      </c>
      <c r="C1173" s="19" t="n">
        <v>1.0085</v>
      </c>
      <c r="D1173" s="29" t="n">
        <v>0.0114</v>
      </c>
      <c r="E1173" s="2" t="n">
        <v>1</v>
      </c>
      <c r="F1173" s="2" t="n">
        <v>0</v>
      </c>
      <c r="G1173" s="2" t="n">
        <v>0</v>
      </c>
      <c r="H1173" s="30">
        <f>IF(AND(B1173&gt;=5,C1173&lt;&gt;"",C1173&lt;0.8),1,0)</f>
        <v/>
      </c>
      <c r="I1173" s="30">
        <f>IF(AND(B1173&gt;=8,D1173&lt;&gt;"",D1173&gt;=0.25,D1173&lt;=0.75),1,0)</f>
        <v/>
      </c>
      <c r="J1173" s="2" t="n"/>
    </row>
    <row r="1174">
      <c r="A1174" s="2" t="inlineStr">
        <is>
          <t>IMP01167</t>
        </is>
      </c>
      <c r="B1174" s="2" t="n">
        <v>20</v>
      </c>
      <c r="C1174" s="19" t="n">
        <v>0.9735</v>
      </c>
      <c r="D1174" s="29" t="n">
        <v>0.2</v>
      </c>
      <c r="E1174" s="2" t="n">
        <v>1</v>
      </c>
      <c r="F1174" s="2" t="n">
        <v>0</v>
      </c>
      <c r="G1174" s="2" t="n">
        <v>0</v>
      </c>
      <c r="H1174" s="30">
        <f>IF(AND(B1174&gt;=5,C1174&lt;&gt;"",C1174&lt;0.8),1,0)</f>
        <v/>
      </c>
      <c r="I1174" s="30">
        <f>IF(AND(B1174&gt;=8,D1174&lt;&gt;"",D1174&gt;=0.25,D1174&lt;=0.75),1,0)</f>
        <v/>
      </c>
      <c r="J1174" s="2" t="n"/>
    </row>
    <row r="1175">
      <c r="A1175" s="2" t="inlineStr">
        <is>
          <t>IMP01168</t>
        </is>
      </c>
      <c r="B1175" s="2" t="n">
        <v>32</v>
      </c>
      <c r="C1175" s="19" t="n">
        <v>0.9815</v>
      </c>
      <c r="D1175" s="29" t="n">
        <v>0.125</v>
      </c>
      <c r="E1175" s="2" t="n">
        <v>1</v>
      </c>
      <c r="F1175" s="2" t="n">
        <v>0</v>
      </c>
      <c r="G1175" s="2" t="n">
        <v>0</v>
      </c>
      <c r="H1175" s="30">
        <f>IF(AND(B1175&gt;=5,C1175&lt;&gt;"",C1175&lt;0.8),1,0)</f>
        <v/>
      </c>
      <c r="I1175" s="30">
        <f>IF(AND(B1175&gt;=8,D1175&lt;&gt;"",D1175&gt;=0.25,D1175&lt;=0.75),1,0)</f>
        <v/>
      </c>
      <c r="J1175" s="2" t="n"/>
    </row>
    <row r="1176">
      <c r="A1176" s="2" t="inlineStr">
        <is>
          <t>IMP01169</t>
        </is>
      </c>
      <c r="B1176" s="2" t="n">
        <v>37</v>
      </c>
      <c r="C1176" s="19" t="n">
        <v>1.087</v>
      </c>
      <c r="D1176" s="29" t="n">
        <v>0.1081</v>
      </c>
      <c r="E1176" s="2" t="n">
        <v>2</v>
      </c>
      <c r="F1176" s="2" t="n">
        <v>0</v>
      </c>
      <c r="G1176" s="2" t="n">
        <v>0</v>
      </c>
      <c r="H1176" s="30">
        <f>IF(AND(B1176&gt;=5,C1176&lt;&gt;"",C1176&lt;0.8),1,0)</f>
        <v/>
      </c>
      <c r="I1176" s="30">
        <f>IF(AND(B1176&gt;=8,D1176&lt;&gt;"",D1176&gt;=0.25,D1176&lt;=0.75),1,0)</f>
        <v/>
      </c>
      <c r="J1176" s="2" t="n"/>
    </row>
    <row r="1177">
      <c r="A1177" s="2" t="inlineStr">
        <is>
          <t>IMP01170</t>
        </is>
      </c>
      <c r="B1177" s="2" t="n">
        <v>2</v>
      </c>
      <c r="C1177" s="19" t="n">
        <v>1.0185</v>
      </c>
      <c r="D1177" s="29" t="n">
        <v>0</v>
      </c>
      <c r="E1177" s="2" t="n">
        <v>2</v>
      </c>
      <c r="F1177" s="2" t="n">
        <v>0</v>
      </c>
      <c r="G1177" s="2" t="n">
        <v>0</v>
      </c>
      <c r="H1177" s="30">
        <f>IF(AND(B1177&gt;=5,C1177&lt;&gt;"",C1177&lt;0.8),1,0)</f>
        <v/>
      </c>
      <c r="I1177" s="30">
        <f>IF(AND(B1177&gt;=8,D1177&lt;&gt;"",D1177&gt;=0.25,D1177&lt;=0.75),1,0)</f>
        <v/>
      </c>
      <c r="J1177" s="2" t="n"/>
    </row>
    <row r="1178">
      <c r="A1178" s="2" t="inlineStr">
        <is>
          <t>IMP01171</t>
        </is>
      </c>
      <c r="B1178" s="2" t="n">
        <v>201</v>
      </c>
      <c r="C1178" s="19" t="n">
        <v>1.065</v>
      </c>
      <c r="D1178" s="29" t="n">
        <v>0.1791</v>
      </c>
      <c r="E1178" s="2" t="n">
        <v>3</v>
      </c>
      <c r="F1178" s="2" t="n">
        <v>0</v>
      </c>
      <c r="G1178" s="2" t="n">
        <v>0</v>
      </c>
      <c r="H1178" s="30">
        <f>IF(AND(B1178&gt;=5,C1178&lt;&gt;"",C1178&lt;0.8),1,0)</f>
        <v/>
      </c>
      <c r="I1178" s="30">
        <f>IF(AND(B1178&gt;=8,D1178&lt;&gt;"",D1178&gt;=0.25,D1178&lt;=0.75),1,0)</f>
        <v/>
      </c>
      <c r="J1178" s="2" t="n"/>
    </row>
    <row r="1179">
      <c r="A1179" s="2" t="inlineStr">
        <is>
          <t>IMP01172</t>
        </is>
      </c>
      <c r="B1179" s="2" t="n">
        <v>36</v>
      </c>
      <c r="C1179" s="19" t="n">
        <v>0.9340000000000001</v>
      </c>
      <c r="D1179" s="29" t="n">
        <v>0</v>
      </c>
      <c r="E1179" s="2" t="n">
        <v>2</v>
      </c>
      <c r="F1179" s="2" t="n">
        <v>0</v>
      </c>
      <c r="G1179" s="2" t="n">
        <v>0</v>
      </c>
      <c r="H1179" s="30">
        <f>IF(AND(B1179&gt;=5,C1179&lt;&gt;"",C1179&lt;0.8),1,0)</f>
        <v/>
      </c>
      <c r="I1179" s="30">
        <f>IF(AND(B1179&gt;=8,D1179&lt;&gt;"",D1179&gt;=0.25,D1179&lt;=0.75),1,0)</f>
        <v/>
      </c>
      <c r="J1179" s="2" t="n"/>
    </row>
    <row r="1180">
      <c r="A1180" s="2" t="inlineStr">
        <is>
          <t>IMP01173</t>
        </is>
      </c>
      <c r="B1180" s="2" t="n">
        <v>104</v>
      </c>
      <c r="C1180" s="19" t="n">
        <v>0.9475</v>
      </c>
      <c r="D1180" s="29" t="n">
        <v>0.0481</v>
      </c>
      <c r="E1180" s="2" t="n">
        <v>2</v>
      </c>
      <c r="F1180" s="2" t="n">
        <v>0</v>
      </c>
      <c r="G1180" s="2" t="n">
        <v>0</v>
      </c>
      <c r="H1180" s="30">
        <f>IF(AND(B1180&gt;=5,C1180&lt;&gt;"",C1180&lt;0.8),1,0)</f>
        <v/>
      </c>
      <c r="I1180" s="30">
        <f>IF(AND(B1180&gt;=8,D1180&lt;&gt;"",D1180&gt;=0.25,D1180&lt;=0.75),1,0)</f>
        <v/>
      </c>
      <c r="J1180" s="2" t="n"/>
    </row>
    <row r="1181">
      <c r="A1181" s="2" t="inlineStr">
        <is>
          <t>IMP01174</t>
        </is>
      </c>
      <c r="B1181" s="2" t="n">
        <v>0</v>
      </c>
      <c r="C1181" s="19" t="n"/>
      <c r="D1181" s="29" t="n"/>
      <c r="E1181" s="2" t="n">
        <v>0</v>
      </c>
      <c r="F1181" s="2" t="n">
        <v>0</v>
      </c>
      <c r="G1181" s="2" t="n">
        <v>0</v>
      </c>
      <c r="H1181" s="30">
        <f>IF(AND(B1181&gt;=5,C1181&lt;&gt;"",C1181&lt;0.8),1,0)</f>
        <v/>
      </c>
      <c r="I1181" s="30">
        <f>IF(AND(B1181&gt;=8,D1181&lt;&gt;"",D1181&gt;=0.25,D1181&lt;=0.75),1,0)</f>
        <v/>
      </c>
      <c r="J1181" s="2" t="n"/>
    </row>
    <row r="1182">
      <c r="A1182" s="2" t="inlineStr">
        <is>
          <t>IMP01175</t>
        </is>
      </c>
      <c r="B1182" s="2" t="n">
        <v>2</v>
      </c>
      <c r="C1182" s="19" t="n">
        <v>1.399</v>
      </c>
      <c r="D1182" s="29" t="n">
        <v>0</v>
      </c>
      <c r="E1182" s="2" t="n">
        <v>1</v>
      </c>
      <c r="F1182" s="2" t="n">
        <v>0</v>
      </c>
      <c r="G1182" s="2" t="n">
        <v>0</v>
      </c>
      <c r="H1182" s="30">
        <f>IF(AND(B1182&gt;=5,C1182&lt;&gt;"",C1182&lt;0.8),1,0)</f>
        <v/>
      </c>
      <c r="I1182" s="30">
        <f>IF(AND(B1182&gt;=8,D1182&lt;&gt;"",D1182&gt;=0.25,D1182&lt;=0.75),1,0)</f>
        <v/>
      </c>
      <c r="J1182" s="2" t="n"/>
    </row>
    <row r="1183">
      <c r="A1183" s="2" t="inlineStr">
        <is>
          <t>IMP01176</t>
        </is>
      </c>
      <c r="B1183" s="2" t="n">
        <v>2</v>
      </c>
      <c r="C1183" s="19" t="n">
        <v>1.0835</v>
      </c>
      <c r="D1183" s="29" t="n">
        <v>0</v>
      </c>
      <c r="E1183" s="2" t="n">
        <v>3</v>
      </c>
      <c r="F1183" s="2" t="n">
        <v>0</v>
      </c>
      <c r="G1183" s="2" t="n">
        <v>0</v>
      </c>
      <c r="H1183" s="30">
        <f>IF(AND(B1183&gt;=5,C1183&lt;&gt;"",C1183&lt;0.8),1,0)</f>
        <v/>
      </c>
      <c r="I1183" s="30">
        <f>IF(AND(B1183&gt;=8,D1183&lt;&gt;"",D1183&gt;=0.25,D1183&lt;=0.75),1,0)</f>
        <v/>
      </c>
      <c r="J1183" s="2" t="n"/>
    </row>
    <row r="1184">
      <c r="A1184" s="2" t="inlineStr">
        <is>
          <t>IMP01177</t>
        </is>
      </c>
      <c r="B1184" s="2" t="n">
        <v>86</v>
      </c>
      <c r="C1184" s="19" t="n">
        <v>1.07</v>
      </c>
      <c r="D1184" s="29" t="n">
        <v>0.0233</v>
      </c>
      <c r="E1184" s="2" t="n">
        <v>2</v>
      </c>
      <c r="F1184" s="2" t="n">
        <v>0</v>
      </c>
      <c r="G1184" s="2" t="n">
        <v>0</v>
      </c>
      <c r="H1184" s="30">
        <f>IF(AND(B1184&gt;=5,C1184&lt;&gt;"",C1184&lt;0.8),1,0)</f>
        <v/>
      </c>
      <c r="I1184" s="30">
        <f>IF(AND(B1184&gt;=8,D1184&lt;&gt;"",D1184&gt;=0.25,D1184&lt;=0.75),1,0)</f>
        <v/>
      </c>
      <c r="J1184" s="2" t="n"/>
    </row>
    <row r="1185">
      <c r="A1185" s="2" t="inlineStr">
        <is>
          <t>IMP01178</t>
        </is>
      </c>
      <c r="B1185" s="2" t="n">
        <v>0</v>
      </c>
      <c r="C1185" s="19" t="n"/>
      <c r="D1185" s="29" t="n"/>
      <c r="E1185" s="2" t="n">
        <v>0</v>
      </c>
      <c r="F1185" s="2" t="n">
        <v>0</v>
      </c>
      <c r="G1185" s="2" t="n">
        <v>0</v>
      </c>
      <c r="H1185" s="30">
        <f>IF(AND(B1185&gt;=5,C1185&lt;&gt;"",C1185&lt;0.8),1,0)</f>
        <v/>
      </c>
      <c r="I1185" s="30">
        <f>IF(AND(B1185&gt;=8,D1185&lt;&gt;"",D1185&gt;=0.25,D1185&lt;=0.75),1,0)</f>
        <v/>
      </c>
      <c r="J1185" s="2" t="n"/>
    </row>
    <row r="1186">
      <c r="A1186" s="2" t="inlineStr">
        <is>
          <t>IMP01179</t>
        </is>
      </c>
      <c r="B1186" s="2" t="n">
        <v>68</v>
      </c>
      <c r="C1186" s="19" t="n">
        <v>0.893</v>
      </c>
      <c r="D1186" s="29" t="n">
        <v>0.0441</v>
      </c>
      <c r="E1186" s="2" t="n">
        <v>3</v>
      </c>
      <c r="F1186" s="2" t="n">
        <v>0</v>
      </c>
      <c r="G1186" s="2" t="n">
        <v>0</v>
      </c>
      <c r="H1186" s="30">
        <f>IF(AND(B1186&gt;=5,C1186&lt;&gt;"",C1186&lt;0.8),1,0)</f>
        <v/>
      </c>
      <c r="I1186" s="30">
        <f>IF(AND(B1186&gt;=8,D1186&lt;&gt;"",D1186&gt;=0.25,D1186&lt;=0.75),1,0)</f>
        <v/>
      </c>
      <c r="J1186" s="2" t="n"/>
    </row>
    <row r="1187">
      <c r="A1187" s="2" t="inlineStr">
        <is>
          <t>IMP01180</t>
        </is>
      </c>
      <c r="B1187" s="2" t="n">
        <v>839</v>
      </c>
      <c r="C1187" s="19" t="n">
        <v>0.9955000000000001</v>
      </c>
      <c r="D1187" s="29" t="n">
        <v>0.006</v>
      </c>
      <c r="E1187" s="2" t="n">
        <v>2</v>
      </c>
      <c r="F1187" s="2" t="n">
        <v>0</v>
      </c>
      <c r="G1187" s="2" t="n">
        <v>0</v>
      </c>
      <c r="H1187" s="30">
        <f>IF(AND(B1187&gt;=5,C1187&lt;&gt;"",C1187&lt;0.8),1,0)</f>
        <v/>
      </c>
      <c r="I1187" s="30">
        <f>IF(AND(B1187&gt;=8,D1187&lt;&gt;"",D1187&gt;=0.25,D1187&lt;=0.75),1,0)</f>
        <v/>
      </c>
      <c r="J1187" s="2" t="n"/>
    </row>
    <row r="1188">
      <c r="A1188" s="2" t="inlineStr">
        <is>
          <t>IMP01181</t>
        </is>
      </c>
      <c r="B1188" s="2" t="n">
        <v>38</v>
      </c>
      <c r="C1188" s="19" t="n">
        <v>1.174</v>
      </c>
      <c r="D1188" s="29" t="n">
        <v>0.0263</v>
      </c>
      <c r="E1188" s="2" t="n">
        <v>13</v>
      </c>
      <c r="F1188" s="2" t="n">
        <v>0</v>
      </c>
      <c r="G1188" s="2" t="n">
        <v>0</v>
      </c>
      <c r="H1188" s="30">
        <f>IF(AND(B1188&gt;=5,C1188&lt;&gt;"",C1188&lt;0.8),1,0)</f>
        <v/>
      </c>
      <c r="I1188" s="30">
        <f>IF(AND(B1188&gt;=8,D1188&lt;&gt;"",D1188&gt;=0.25,D1188&lt;=0.75),1,0)</f>
        <v/>
      </c>
      <c r="J1188" s="2" t="n"/>
    </row>
    <row r="1189">
      <c r="A1189" s="2" t="inlineStr">
        <is>
          <t>IMP01182</t>
        </is>
      </c>
      <c r="B1189" s="2" t="n">
        <v>0</v>
      </c>
      <c r="C1189" s="19" t="n"/>
      <c r="D1189" s="29" t="n"/>
      <c r="E1189" s="2" t="n">
        <v>0</v>
      </c>
      <c r="F1189" s="2" t="n">
        <v>0</v>
      </c>
      <c r="G1189" s="2" t="n">
        <v>0</v>
      </c>
      <c r="H1189" s="30">
        <f>IF(AND(B1189&gt;=5,C1189&lt;&gt;"",C1189&lt;0.8),1,0)</f>
        <v/>
      </c>
      <c r="I1189" s="30">
        <f>IF(AND(B1189&gt;=8,D1189&lt;&gt;"",D1189&gt;=0.25,D1189&lt;=0.75),1,0)</f>
        <v/>
      </c>
      <c r="J1189" s="2" t="n"/>
    </row>
    <row r="1190">
      <c r="A1190" s="2" t="inlineStr">
        <is>
          <t>IMP01183</t>
        </is>
      </c>
      <c r="B1190" s="2" t="n">
        <v>107</v>
      </c>
      <c r="C1190" s="19" t="n">
        <v>0.7285</v>
      </c>
      <c r="D1190" s="29" t="n">
        <v>0.514</v>
      </c>
      <c r="E1190" s="2" t="n">
        <v>1</v>
      </c>
      <c r="F1190" s="2" t="n">
        <v>1</v>
      </c>
      <c r="G1190" s="2" t="n">
        <v>1</v>
      </c>
      <c r="H1190" s="30">
        <f>IF(AND(B1190&gt;=5,C1190&lt;&gt;"",C1190&lt;0.8),1,0)</f>
        <v/>
      </c>
      <c r="I1190" s="30">
        <f>IF(AND(B1190&gt;=8,D1190&lt;&gt;"",D1190&gt;=0.25,D1190&lt;=0.75),1,0)</f>
        <v/>
      </c>
      <c r="J1190" s="2" t="n"/>
    </row>
    <row r="1191">
      <c r="A1191" s="2" t="inlineStr">
        <is>
          <t>IMP01184</t>
        </is>
      </c>
      <c r="B1191" s="2" t="n">
        <v>36</v>
      </c>
      <c r="C1191" s="19" t="n">
        <v>0.992</v>
      </c>
      <c r="D1191" s="29" t="n">
        <v>0</v>
      </c>
      <c r="E1191" s="2" t="n">
        <v>2</v>
      </c>
      <c r="F1191" s="2" t="n">
        <v>0</v>
      </c>
      <c r="G1191" s="2" t="n">
        <v>0</v>
      </c>
      <c r="H1191" s="30">
        <f>IF(AND(B1191&gt;=5,C1191&lt;&gt;"",C1191&lt;0.8),1,0)</f>
        <v/>
      </c>
      <c r="I1191" s="30">
        <f>IF(AND(B1191&gt;=8,D1191&lt;&gt;"",D1191&gt;=0.25,D1191&lt;=0.75),1,0)</f>
        <v/>
      </c>
      <c r="J1191" s="2" t="n"/>
    </row>
    <row r="1192">
      <c r="A1192" s="2" t="inlineStr">
        <is>
          <t>IMP01185</t>
        </is>
      </c>
      <c r="B1192" s="2" t="n">
        <v>1</v>
      </c>
      <c r="C1192" s="19" t="n">
        <v>0.929</v>
      </c>
      <c r="D1192" s="29" t="n">
        <v>0</v>
      </c>
      <c r="E1192" s="2" t="n">
        <v>1</v>
      </c>
      <c r="F1192" s="2" t="n">
        <v>0</v>
      </c>
      <c r="G1192" s="2" t="n">
        <v>0</v>
      </c>
      <c r="H1192" s="30">
        <f>IF(AND(B1192&gt;=5,C1192&lt;&gt;"",C1192&lt;0.8),1,0)</f>
        <v/>
      </c>
      <c r="I1192" s="30">
        <f>IF(AND(B1192&gt;=8,D1192&lt;&gt;"",D1192&gt;=0.25,D1192&lt;=0.75),1,0)</f>
        <v/>
      </c>
      <c r="J1192" s="2" t="n"/>
    </row>
    <row r="1193">
      <c r="A1193" s="2" t="inlineStr">
        <is>
          <t>IMP01186</t>
        </is>
      </c>
      <c r="B1193" s="2" t="n">
        <v>2</v>
      </c>
      <c r="C1193" s="19" t="n">
        <v>1.4805</v>
      </c>
      <c r="D1193" s="29" t="n">
        <v>0</v>
      </c>
      <c r="E1193" s="2" t="n">
        <v>2</v>
      </c>
      <c r="F1193" s="2" t="n">
        <v>0</v>
      </c>
      <c r="G1193" s="2" t="n">
        <v>0</v>
      </c>
      <c r="H1193" s="30">
        <f>IF(AND(B1193&gt;=5,C1193&lt;&gt;"",C1193&lt;0.8),1,0)</f>
        <v/>
      </c>
      <c r="I1193" s="30">
        <f>IF(AND(B1193&gt;=8,D1193&lt;&gt;"",D1193&gt;=0.25,D1193&lt;=0.75),1,0)</f>
        <v/>
      </c>
      <c r="J1193" s="2" t="n"/>
    </row>
    <row r="1194">
      <c r="A1194" s="2" t="inlineStr">
        <is>
          <t>IMP01187</t>
        </is>
      </c>
      <c r="B1194" s="2" t="n">
        <v>562</v>
      </c>
      <c r="C1194" s="19" t="n">
        <v>0.9340000000000001</v>
      </c>
      <c r="D1194" s="29" t="n">
        <v>0.1032</v>
      </c>
      <c r="E1194" s="2" t="n">
        <v>1</v>
      </c>
      <c r="F1194" s="2" t="n">
        <v>0</v>
      </c>
      <c r="G1194" s="2" t="n">
        <v>0</v>
      </c>
      <c r="H1194" s="30">
        <f>IF(AND(B1194&gt;=5,C1194&lt;&gt;"",C1194&lt;0.8),1,0)</f>
        <v/>
      </c>
      <c r="I1194" s="30">
        <f>IF(AND(B1194&gt;=8,D1194&lt;&gt;"",D1194&gt;=0.25,D1194&lt;=0.75),1,0)</f>
        <v/>
      </c>
      <c r="J1194" s="2" t="n"/>
    </row>
    <row r="1195">
      <c r="A1195" s="2" t="inlineStr">
        <is>
          <t>IMP01188</t>
        </is>
      </c>
      <c r="B1195" s="2" t="n">
        <v>64</v>
      </c>
      <c r="C1195" s="19" t="n">
        <v>1.016</v>
      </c>
      <c r="D1195" s="29" t="n">
        <v>0.0469</v>
      </c>
      <c r="E1195" s="2" t="n">
        <v>2</v>
      </c>
      <c r="F1195" s="2" t="n">
        <v>0</v>
      </c>
      <c r="G1195" s="2" t="n">
        <v>0</v>
      </c>
      <c r="H1195" s="30">
        <f>IF(AND(B1195&gt;=5,C1195&lt;&gt;"",C1195&lt;0.8),1,0)</f>
        <v/>
      </c>
      <c r="I1195" s="30">
        <f>IF(AND(B1195&gt;=8,D1195&lt;&gt;"",D1195&gt;=0.25,D1195&lt;=0.75),1,0)</f>
        <v/>
      </c>
      <c r="J1195" s="2" t="n"/>
    </row>
    <row r="1196">
      <c r="A1196" s="2" t="inlineStr">
        <is>
          <t>IMP01189</t>
        </is>
      </c>
      <c r="B1196" s="2" t="n">
        <v>42</v>
      </c>
      <c r="C1196" s="19" t="n">
        <v>1.241</v>
      </c>
      <c r="D1196" s="29" t="n">
        <v>0.0238</v>
      </c>
      <c r="E1196" s="2" t="n">
        <v>1</v>
      </c>
      <c r="F1196" s="2" t="n">
        <v>0</v>
      </c>
      <c r="G1196" s="2" t="n">
        <v>0</v>
      </c>
      <c r="H1196" s="30">
        <f>IF(AND(B1196&gt;=5,C1196&lt;&gt;"",C1196&lt;0.8),1,0)</f>
        <v/>
      </c>
      <c r="I1196" s="30">
        <f>IF(AND(B1196&gt;=8,D1196&lt;&gt;"",D1196&gt;=0.25,D1196&lt;=0.75),1,0)</f>
        <v/>
      </c>
      <c r="J1196" s="2" t="n"/>
    </row>
    <row r="1197">
      <c r="A1197" s="2" t="inlineStr">
        <is>
          <t>IMP01190</t>
        </is>
      </c>
      <c r="B1197" s="2" t="n">
        <v>5</v>
      </c>
      <c r="C1197" s="19" t="n">
        <v>0.951</v>
      </c>
      <c r="D1197" s="29" t="n">
        <v>0</v>
      </c>
      <c r="E1197" s="2" t="n">
        <v>1</v>
      </c>
      <c r="F1197" s="2" t="n">
        <v>0</v>
      </c>
      <c r="G1197" s="2" t="n">
        <v>0</v>
      </c>
      <c r="H1197" s="30">
        <f>IF(AND(B1197&gt;=5,C1197&lt;&gt;"",C1197&lt;0.8),1,0)</f>
        <v/>
      </c>
      <c r="I1197" s="30">
        <f>IF(AND(B1197&gt;=8,D1197&lt;&gt;"",D1197&gt;=0.25,D1197&lt;=0.75),1,0)</f>
        <v/>
      </c>
      <c r="J1197" s="2" t="n"/>
    </row>
    <row r="1198">
      <c r="A1198" s="2" t="inlineStr">
        <is>
          <t>IMP01191</t>
        </is>
      </c>
      <c r="B1198" s="2" t="n">
        <v>8</v>
      </c>
      <c r="C1198" s="19" t="n">
        <v>0.916</v>
      </c>
      <c r="D1198" s="29" t="n">
        <v>0.125</v>
      </c>
      <c r="E1198" s="2" t="n">
        <v>1</v>
      </c>
      <c r="F1198" s="2" t="n">
        <v>0</v>
      </c>
      <c r="G1198" s="2" t="n">
        <v>0</v>
      </c>
      <c r="H1198" s="30">
        <f>IF(AND(B1198&gt;=5,C1198&lt;&gt;"",C1198&lt;0.8),1,0)</f>
        <v/>
      </c>
      <c r="I1198" s="30">
        <f>IF(AND(B1198&gt;=8,D1198&lt;&gt;"",D1198&gt;=0.25,D1198&lt;=0.75),1,0)</f>
        <v/>
      </c>
      <c r="J1198" s="2" t="n"/>
    </row>
    <row r="1199">
      <c r="A1199" s="2" t="inlineStr">
        <is>
          <t>IMP01192</t>
        </is>
      </c>
      <c r="B1199" s="2" t="n">
        <v>4</v>
      </c>
      <c r="C1199" s="19" t="n">
        <v>1.1765</v>
      </c>
      <c r="D1199" s="29" t="n">
        <v>0</v>
      </c>
      <c r="E1199" s="2" t="n">
        <v>2</v>
      </c>
      <c r="F1199" s="2" t="n">
        <v>0</v>
      </c>
      <c r="G1199" s="2" t="n">
        <v>0</v>
      </c>
      <c r="H1199" s="30">
        <f>IF(AND(B1199&gt;=5,C1199&lt;&gt;"",C1199&lt;0.8),1,0)</f>
        <v/>
      </c>
      <c r="I1199" s="30">
        <f>IF(AND(B1199&gt;=8,D1199&lt;&gt;"",D1199&gt;=0.25,D1199&lt;=0.75),1,0)</f>
        <v/>
      </c>
      <c r="J1199" s="2" t="n"/>
    </row>
    <row r="1200">
      <c r="A1200" s="2" t="inlineStr">
        <is>
          <t>IMP01193</t>
        </is>
      </c>
      <c r="B1200" s="2" t="n">
        <v>13</v>
      </c>
      <c r="C1200" s="19" t="n">
        <v>0.9409999999999999</v>
      </c>
      <c r="D1200" s="29" t="n">
        <v>0.0769</v>
      </c>
      <c r="E1200" s="2" t="n">
        <v>2</v>
      </c>
      <c r="F1200" s="2" t="n">
        <v>0</v>
      </c>
      <c r="G1200" s="2" t="n">
        <v>0</v>
      </c>
      <c r="H1200" s="30">
        <f>IF(AND(B1200&gt;=5,C1200&lt;&gt;"",C1200&lt;0.8),1,0)</f>
        <v/>
      </c>
      <c r="I1200" s="30">
        <f>IF(AND(B1200&gt;=8,D1200&lt;&gt;"",D1200&gt;=0.25,D1200&lt;=0.75),1,0)</f>
        <v/>
      </c>
      <c r="J1200" s="2" t="n"/>
    </row>
    <row r="1201">
      <c r="A1201" s="2" t="inlineStr">
        <is>
          <t>IMP01194</t>
        </is>
      </c>
      <c r="B1201" s="2" t="n">
        <v>18</v>
      </c>
      <c r="C1201" s="19" t="n">
        <v>1.288</v>
      </c>
      <c r="D1201" s="29" t="n">
        <v>0.0556</v>
      </c>
      <c r="E1201" s="2" t="n">
        <v>1</v>
      </c>
      <c r="F1201" s="2" t="n">
        <v>0</v>
      </c>
      <c r="G1201" s="2" t="n">
        <v>0</v>
      </c>
      <c r="H1201" s="30">
        <f>IF(AND(B1201&gt;=5,C1201&lt;&gt;"",C1201&lt;0.8),1,0)</f>
        <v/>
      </c>
      <c r="I1201" s="30">
        <f>IF(AND(B1201&gt;=8,D1201&lt;&gt;"",D1201&gt;=0.25,D1201&lt;=0.75),1,0)</f>
        <v/>
      </c>
      <c r="J1201" s="2" t="n"/>
    </row>
    <row r="1202">
      <c r="A1202" s="2" t="inlineStr">
        <is>
          <t>IMP01195</t>
        </is>
      </c>
      <c r="B1202" s="2" t="n">
        <v>365</v>
      </c>
      <c r="C1202" s="19" t="n">
        <v>0.998</v>
      </c>
      <c r="D1202" s="29" t="n">
        <v>0.2247</v>
      </c>
      <c r="E1202" s="2" t="n">
        <v>1</v>
      </c>
      <c r="F1202" s="2" t="n">
        <v>0</v>
      </c>
      <c r="G1202" s="2" t="n">
        <v>0</v>
      </c>
      <c r="H1202" s="30">
        <f>IF(AND(B1202&gt;=5,C1202&lt;&gt;"",C1202&lt;0.8),1,0)</f>
        <v/>
      </c>
      <c r="I1202" s="30">
        <f>IF(AND(B1202&gt;=8,D1202&lt;&gt;"",D1202&gt;=0.25,D1202&lt;=0.75),1,0)</f>
        <v/>
      </c>
      <c r="J1202" s="2" t="n"/>
    </row>
    <row r="1203">
      <c r="A1203" s="2" t="inlineStr">
        <is>
          <t>IMP01196</t>
        </is>
      </c>
      <c r="B1203" s="2" t="n">
        <v>27</v>
      </c>
      <c r="C1203" s="19" t="n">
        <v>1.061</v>
      </c>
      <c r="D1203" s="29" t="n">
        <v>0</v>
      </c>
      <c r="E1203" s="2" t="n">
        <v>1</v>
      </c>
      <c r="F1203" s="2" t="n">
        <v>0</v>
      </c>
      <c r="G1203" s="2" t="n">
        <v>0</v>
      </c>
      <c r="H1203" s="30">
        <f>IF(AND(B1203&gt;=5,C1203&lt;&gt;"",C1203&lt;0.8),1,0)</f>
        <v/>
      </c>
      <c r="I1203" s="30">
        <f>IF(AND(B1203&gt;=8,D1203&lt;&gt;"",D1203&gt;=0.25,D1203&lt;=0.75),1,0)</f>
        <v/>
      </c>
      <c r="J1203" s="2" t="n"/>
    </row>
    <row r="1204">
      <c r="A1204" s="2" t="inlineStr">
        <is>
          <t>IMP01197</t>
        </is>
      </c>
      <c r="B1204" s="2" t="n">
        <v>91</v>
      </c>
      <c r="C1204" s="19" t="n">
        <v>0.929</v>
      </c>
      <c r="D1204" s="29" t="n">
        <v>0.1538</v>
      </c>
      <c r="E1204" s="2" t="n">
        <v>1</v>
      </c>
      <c r="F1204" s="2" t="n">
        <v>0</v>
      </c>
      <c r="G1204" s="2" t="n">
        <v>0</v>
      </c>
      <c r="H1204" s="30">
        <f>IF(AND(B1204&gt;=5,C1204&lt;&gt;"",C1204&lt;0.8),1,0)</f>
        <v/>
      </c>
      <c r="I1204" s="30">
        <f>IF(AND(B1204&gt;=8,D1204&lt;&gt;"",D1204&gt;=0.25,D1204&lt;=0.75),1,0)</f>
        <v/>
      </c>
      <c r="J1204" s="2" t="n"/>
    </row>
    <row r="1205">
      <c r="A1205" s="2" t="inlineStr">
        <is>
          <t>IMP01198</t>
        </is>
      </c>
      <c r="B1205" s="2" t="n">
        <v>0</v>
      </c>
      <c r="C1205" s="19" t="n"/>
      <c r="D1205" s="29" t="n"/>
      <c r="E1205" s="2" t="n">
        <v>0</v>
      </c>
      <c r="F1205" s="2" t="n">
        <v>0</v>
      </c>
      <c r="G1205" s="2" t="n">
        <v>0</v>
      </c>
      <c r="H1205" s="30">
        <f>IF(AND(B1205&gt;=5,C1205&lt;&gt;"",C1205&lt;0.8),1,0)</f>
        <v/>
      </c>
      <c r="I1205" s="30">
        <f>IF(AND(B1205&gt;=8,D1205&lt;&gt;"",D1205&gt;=0.25,D1205&lt;=0.75),1,0)</f>
        <v/>
      </c>
      <c r="J1205" s="2" t="n"/>
    </row>
    <row r="1206">
      <c r="A1206" s="2" t="inlineStr">
        <is>
          <t>IMP01199</t>
        </is>
      </c>
      <c r="B1206" s="2" t="n">
        <v>55</v>
      </c>
      <c r="C1206" s="19" t="n">
        <v>1.003</v>
      </c>
      <c r="D1206" s="29" t="n">
        <v>0.0182</v>
      </c>
      <c r="E1206" s="2" t="n">
        <v>2</v>
      </c>
      <c r="F1206" s="2" t="n">
        <v>0</v>
      </c>
      <c r="G1206" s="2" t="n">
        <v>0</v>
      </c>
      <c r="H1206" s="30">
        <f>IF(AND(B1206&gt;=5,C1206&lt;&gt;"",C1206&lt;0.8),1,0)</f>
        <v/>
      </c>
      <c r="I1206" s="30">
        <f>IF(AND(B1206&gt;=8,D1206&lt;&gt;"",D1206&gt;=0.25,D1206&lt;=0.75),1,0)</f>
        <v/>
      </c>
      <c r="J1206" s="2" t="n"/>
    </row>
    <row r="1207">
      <c r="A1207" s="2" t="inlineStr">
        <is>
          <t>IMP01200</t>
        </is>
      </c>
      <c r="B1207" s="2" t="n">
        <v>137</v>
      </c>
      <c r="C1207" s="19" t="n">
        <v>0.9370000000000001</v>
      </c>
      <c r="D1207" s="29" t="n">
        <v>0.06569999999999999</v>
      </c>
      <c r="E1207" s="2" t="n">
        <v>1</v>
      </c>
      <c r="F1207" s="2" t="n">
        <v>0</v>
      </c>
      <c r="G1207" s="2" t="n">
        <v>0</v>
      </c>
      <c r="H1207" s="30">
        <f>IF(AND(B1207&gt;=5,C1207&lt;&gt;"",C1207&lt;0.8),1,0)</f>
        <v/>
      </c>
      <c r="I1207" s="30">
        <f>IF(AND(B1207&gt;=8,D1207&lt;&gt;"",D1207&gt;=0.25,D1207&lt;=0.75),1,0)</f>
        <v/>
      </c>
      <c r="J1207" s="2" t="n"/>
    </row>
    <row r="1208">
      <c r="A1208" s="2" t="inlineStr">
        <is>
          <t>IMP01201</t>
        </is>
      </c>
      <c r="B1208" s="2" t="n">
        <v>37</v>
      </c>
      <c r="C1208" s="19" t="n">
        <v>0.754</v>
      </c>
      <c r="D1208" s="29" t="n">
        <v>0.4865</v>
      </c>
      <c r="E1208" s="2" t="n">
        <v>1</v>
      </c>
      <c r="F1208" s="2" t="n">
        <v>1</v>
      </c>
      <c r="G1208" s="2" t="n">
        <v>1</v>
      </c>
      <c r="H1208" s="30">
        <f>IF(AND(B1208&gt;=5,C1208&lt;&gt;"",C1208&lt;0.8),1,0)</f>
        <v/>
      </c>
      <c r="I1208" s="30">
        <f>IF(AND(B1208&gt;=8,D1208&lt;&gt;"",D1208&gt;=0.25,D1208&lt;=0.75),1,0)</f>
        <v/>
      </c>
      <c r="J1208" s="2" t="n"/>
    </row>
    <row r="1209">
      <c r="A1209" s="2" t="inlineStr">
        <is>
          <t>IMP01202</t>
        </is>
      </c>
      <c r="B1209" s="2" t="n">
        <v>3</v>
      </c>
      <c r="C1209" s="19" t="n">
        <v>0.926</v>
      </c>
      <c r="D1209" s="29" t="n">
        <v>0</v>
      </c>
      <c r="E1209" s="2" t="n">
        <v>1</v>
      </c>
      <c r="F1209" s="2" t="n">
        <v>0</v>
      </c>
      <c r="G1209" s="2" t="n">
        <v>0</v>
      </c>
      <c r="H1209" s="30">
        <f>IF(AND(B1209&gt;=5,C1209&lt;&gt;"",C1209&lt;0.8),1,0)</f>
        <v/>
      </c>
      <c r="I1209" s="30">
        <f>IF(AND(B1209&gt;=8,D1209&lt;&gt;"",D1209&gt;=0.25,D1209&lt;=0.75),1,0)</f>
        <v/>
      </c>
      <c r="J1209" s="2" t="n"/>
    </row>
    <row r="1210">
      <c r="A1210" s="2" t="inlineStr">
        <is>
          <t>IMP01203</t>
        </is>
      </c>
      <c r="B1210" s="2" t="n">
        <v>19</v>
      </c>
      <c r="C1210" s="19" t="n">
        <v>1.161</v>
      </c>
      <c r="D1210" s="29" t="n">
        <v>0</v>
      </c>
      <c r="E1210" s="2" t="n">
        <v>1</v>
      </c>
      <c r="F1210" s="2" t="n">
        <v>0</v>
      </c>
      <c r="G1210" s="2" t="n">
        <v>0</v>
      </c>
      <c r="H1210" s="30">
        <f>IF(AND(B1210&gt;=5,C1210&lt;&gt;"",C1210&lt;0.8),1,0)</f>
        <v/>
      </c>
      <c r="I1210" s="30">
        <f>IF(AND(B1210&gt;=8,D1210&lt;&gt;"",D1210&gt;=0.25,D1210&lt;=0.75),1,0)</f>
        <v/>
      </c>
      <c r="J1210" s="2" t="n"/>
    </row>
    <row r="1211">
      <c r="A1211" s="2" t="inlineStr">
        <is>
          <t>IMP01204</t>
        </is>
      </c>
      <c r="B1211" s="2" t="n">
        <v>11</v>
      </c>
      <c r="C1211" s="19" t="n">
        <v>0.963</v>
      </c>
      <c r="D1211" s="29" t="n">
        <v>0.1818</v>
      </c>
      <c r="E1211" s="2" t="n">
        <v>1</v>
      </c>
      <c r="F1211" s="2" t="n">
        <v>0</v>
      </c>
      <c r="G1211" s="2" t="n">
        <v>0</v>
      </c>
      <c r="H1211" s="30">
        <f>IF(AND(B1211&gt;=5,C1211&lt;&gt;"",C1211&lt;0.8),1,0)</f>
        <v/>
      </c>
      <c r="I1211" s="30">
        <f>IF(AND(B1211&gt;=8,D1211&lt;&gt;"",D1211&gt;=0.25,D1211&lt;=0.75),1,0)</f>
        <v/>
      </c>
      <c r="J1211" s="2" t="n"/>
    </row>
    <row r="1212">
      <c r="A1212" s="2" t="inlineStr">
        <is>
          <t>IMP01205</t>
        </is>
      </c>
      <c r="B1212" s="2" t="n">
        <v>273</v>
      </c>
      <c r="C1212" s="19" t="n">
        <v>0.958</v>
      </c>
      <c r="D1212" s="29" t="n">
        <v>0.0476</v>
      </c>
      <c r="E1212" s="2" t="n">
        <v>1</v>
      </c>
      <c r="F1212" s="2" t="n">
        <v>0</v>
      </c>
      <c r="G1212" s="2" t="n">
        <v>0</v>
      </c>
      <c r="H1212" s="30">
        <f>IF(AND(B1212&gt;=5,C1212&lt;&gt;"",C1212&lt;0.8),1,0)</f>
        <v/>
      </c>
      <c r="I1212" s="30">
        <f>IF(AND(B1212&gt;=8,D1212&lt;&gt;"",D1212&gt;=0.25,D1212&lt;=0.75),1,0)</f>
        <v/>
      </c>
      <c r="J1212" s="2" t="n"/>
    </row>
    <row r="1213">
      <c r="A1213" s="2" t="inlineStr">
        <is>
          <t>IMP01206</t>
        </is>
      </c>
      <c r="B1213" s="2" t="n">
        <v>0</v>
      </c>
      <c r="C1213" s="19" t="n"/>
      <c r="D1213" s="29" t="n"/>
      <c r="E1213" s="2" t="n">
        <v>0</v>
      </c>
      <c r="F1213" s="2" t="n">
        <v>0</v>
      </c>
      <c r="G1213" s="2" t="n">
        <v>0</v>
      </c>
      <c r="H1213" s="30">
        <f>IF(AND(B1213&gt;=5,C1213&lt;&gt;"",C1213&lt;0.8),1,0)</f>
        <v/>
      </c>
      <c r="I1213" s="30">
        <f>IF(AND(B1213&gt;=8,D1213&lt;&gt;"",D1213&gt;=0.25,D1213&lt;=0.75),1,0)</f>
        <v/>
      </c>
      <c r="J1213" s="2" t="n"/>
    </row>
    <row r="1214">
      <c r="A1214" s="2" t="inlineStr">
        <is>
          <t>IMP01207</t>
        </is>
      </c>
      <c r="B1214" s="2" t="n">
        <v>0</v>
      </c>
      <c r="C1214" s="19" t="n"/>
      <c r="D1214" s="29" t="n"/>
      <c r="E1214" s="2" t="n">
        <v>0</v>
      </c>
      <c r="F1214" s="2" t="n">
        <v>0</v>
      </c>
      <c r="G1214" s="2" t="n">
        <v>0</v>
      </c>
      <c r="H1214" s="30">
        <f>IF(AND(B1214&gt;=5,C1214&lt;&gt;"",C1214&lt;0.8),1,0)</f>
        <v/>
      </c>
      <c r="I1214" s="30">
        <f>IF(AND(B1214&gt;=8,D1214&lt;&gt;"",D1214&gt;=0.25,D1214&lt;=0.75),1,0)</f>
        <v/>
      </c>
      <c r="J1214" s="2" t="n"/>
    </row>
    <row r="1215">
      <c r="A1215" s="2" t="inlineStr">
        <is>
          <t>IMP01208</t>
        </is>
      </c>
      <c r="B1215" s="2" t="n">
        <v>11</v>
      </c>
      <c r="C1215" s="19" t="n">
        <v>0.88</v>
      </c>
      <c r="D1215" s="29" t="n">
        <v>0.2727</v>
      </c>
      <c r="E1215" s="2" t="n">
        <v>1</v>
      </c>
      <c r="F1215" s="2" t="n">
        <v>0</v>
      </c>
      <c r="G1215" s="2" t="n">
        <v>1</v>
      </c>
      <c r="H1215" s="30">
        <f>IF(AND(B1215&gt;=5,C1215&lt;&gt;"",C1215&lt;0.8),1,0)</f>
        <v/>
      </c>
      <c r="I1215" s="30">
        <f>IF(AND(B1215&gt;=8,D1215&lt;&gt;"",D1215&gt;=0.25,D1215&lt;=0.75),1,0)</f>
        <v/>
      </c>
      <c r="J1215" s="2" t="n"/>
    </row>
    <row r="1216">
      <c r="A1216" s="2" t="inlineStr">
        <is>
          <t>IMP01209</t>
        </is>
      </c>
      <c r="B1216" s="2" t="n">
        <v>0</v>
      </c>
      <c r="C1216" s="19" t="n"/>
      <c r="D1216" s="29" t="n"/>
      <c r="E1216" s="2" t="n">
        <v>0</v>
      </c>
      <c r="F1216" s="2" t="n">
        <v>0</v>
      </c>
      <c r="G1216" s="2" t="n">
        <v>0</v>
      </c>
      <c r="H1216" s="30">
        <f>IF(AND(B1216&gt;=5,C1216&lt;&gt;"",C1216&lt;0.8),1,0)</f>
        <v/>
      </c>
      <c r="I1216" s="30">
        <f>IF(AND(B1216&gt;=8,D1216&lt;&gt;"",D1216&gt;=0.25,D1216&lt;=0.75),1,0)</f>
        <v/>
      </c>
      <c r="J1216" s="2" t="n"/>
    </row>
    <row r="1217">
      <c r="A1217" s="2" t="inlineStr">
        <is>
          <t>IMP01210</t>
        </is>
      </c>
      <c r="B1217" s="2" t="n">
        <v>6</v>
      </c>
      <c r="C1217" s="19" t="n">
        <v>1.2085</v>
      </c>
      <c r="D1217" s="29" t="n">
        <v>0</v>
      </c>
      <c r="E1217" s="2" t="n">
        <v>1</v>
      </c>
      <c r="F1217" s="2" t="n">
        <v>0</v>
      </c>
      <c r="G1217" s="2" t="n">
        <v>0</v>
      </c>
      <c r="H1217" s="30">
        <f>IF(AND(B1217&gt;=5,C1217&lt;&gt;"",C1217&lt;0.8),1,0)</f>
        <v/>
      </c>
      <c r="I1217" s="30">
        <f>IF(AND(B1217&gt;=8,D1217&lt;&gt;"",D1217&gt;=0.25,D1217&lt;=0.75),1,0)</f>
        <v/>
      </c>
      <c r="J1217" s="2" t="n"/>
    </row>
    <row r="1218">
      <c r="A1218" s="2" t="inlineStr">
        <is>
          <t>IMP01211</t>
        </is>
      </c>
      <c r="B1218" s="2" t="n">
        <v>321</v>
      </c>
      <c r="C1218" s="19" t="n">
        <v>1.016</v>
      </c>
      <c r="D1218" s="29" t="n">
        <v>0.1869</v>
      </c>
      <c r="E1218" s="2" t="n">
        <v>1</v>
      </c>
      <c r="F1218" s="2" t="n">
        <v>0</v>
      </c>
      <c r="G1218" s="2" t="n">
        <v>0</v>
      </c>
      <c r="H1218" s="30">
        <f>IF(AND(B1218&gt;=5,C1218&lt;&gt;"",C1218&lt;0.8),1,0)</f>
        <v/>
      </c>
      <c r="I1218" s="30">
        <f>IF(AND(B1218&gt;=8,D1218&lt;&gt;"",D1218&gt;=0.25,D1218&lt;=0.75),1,0)</f>
        <v/>
      </c>
      <c r="J1218" s="2" t="n"/>
    </row>
    <row r="1219">
      <c r="A1219" s="2" t="inlineStr">
        <is>
          <t>IMP01212</t>
        </is>
      </c>
      <c r="B1219" s="2" t="n">
        <v>0</v>
      </c>
      <c r="C1219" s="19" t="n"/>
      <c r="D1219" s="29" t="n"/>
      <c r="E1219" s="2" t="n">
        <v>0</v>
      </c>
      <c r="F1219" s="2" t="n">
        <v>0</v>
      </c>
      <c r="G1219" s="2" t="n">
        <v>0</v>
      </c>
      <c r="H1219" s="30">
        <f>IF(AND(B1219&gt;=5,C1219&lt;&gt;"",C1219&lt;0.8),1,0)</f>
        <v/>
      </c>
      <c r="I1219" s="30">
        <f>IF(AND(B1219&gt;=8,D1219&lt;&gt;"",D1219&gt;=0.25,D1219&lt;=0.75),1,0)</f>
        <v/>
      </c>
      <c r="J1219" s="2" t="n"/>
    </row>
    <row r="1220">
      <c r="A1220" s="2" t="inlineStr">
        <is>
          <t>IMP01213</t>
        </is>
      </c>
      <c r="B1220" s="2" t="n">
        <v>6</v>
      </c>
      <c r="C1220" s="19" t="n">
        <v>0.95</v>
      </c>
      <c r="D1220" s="29" t="n">
        <v>0.1667</v>
      </c>
      <c r="E1220" s="2" t="n">
        <v>1</v>
      </c>
      <c r="F1220" s="2" t="n">
        <v>0</v>
      </c>
      <c r="G1220" s="2" t="n">
        <v>0</v>
      </c>
      <c r="H1220" s="30">
        <f>IF(AND(B1220&gt;=5,C1220&lt;&gt;"",C1220&lt;0.8),1,0)</f>
        <v/>
      </c>
      <c r="I1220" s="30">
        <f>IF(AND(B1220&gt;=8,D1220&lt;&gt;"",D1220&gt;=0.25,D1220&lt;=0.75),1,0)</f>
        <v/>
      </c>
      <c r="J1220" s="2" t="n"/>
    </row>
    <row r="1221">
      <c r="A1221" s="2" t="inlineStr">
        <is>
          <t>IMP01214</t>
        </is>
      </c>
      <c r="B1221" s="2" t="n">
        <v>179</v>
      </c>
      <c r="C1221" s="19" t="n">
        <v>0.974</v>
      </c>
      <c r="D1221" s="29" t="n">
        <v>0.067</v>
      </c>
      <c r="E1221" s="2" t="n">
        <v>1</v>
      </c>
      <c r="F1221" s="2" t="n">
        <v>0</v>
      </c>
      <c r="G1221" s="2" t="n">
        <v>0</v>
      </c>
      <c r="H1221" s="30">
        <f>IF(AND(B1221&gt;=5,C1221&lt;&gt;"",C1221&lt;0.8),1,0)</f>
        <v/>
      </c>
      <c r="I1221" s="30">
        <f>IF(AND(B1221&gt;=8,D1221&lt;&gt;"",D1221&gt;=0.25,D1221&lt;=0.75),1,0)</f>
        <v/>
      </c>
      <c r="J1221" s="2" t="n"/>
    </row>
    <row r="1222">
      <c r="A1222" s="2" t="inlineStr">
        <is>
          <t>IMP01215</t>
        </is>
      </c>
      <c r="B1222" s="2" t="n">
        <v>154</v>
      </c>
      <c r="C1222" s="19" t="n">
        <v>0.9385</v>
      </c>
      <c r="D1222" s="29" t="n">
        <v>0.1558</v>
      </c>
      <c r="E1222" s="2" t="n">
        <v>2</v>
      </c>
      <c r="F1222" s="2" t="n">
        <v>0</v>
      </c>
      <c r="G1222" s="2" t="n">
        <v>0</v>
      </c>
      <c r="H1222" s="30">
        <f>IF(AND(B1222&gt;=5,C1222&lt;&gt;"",C1222&lt;0.8),1,0)</f>
        <v/>
      </c>
      <c r="I1222" s="30">
        <f>IF(AND(B1222&gt;=8,D1222&lt;&gt;"",D1222&gt;=0.25,D1222&lt;=0.75),1,0)</f>
        <v/>
      </c>
      <c r="J1222" s="2" t="n"/>
    </row>
    <row r="1223">
      <c r="A1223" s="2" t="inlineStr">
        <is>
          <t>IMP01216</t>
        </is>
      </c>
      <c r="B1223" s="2" t="n">
        <v>6</v>
      </c>
      <c r="C1223" s="19" t="n">
        <v>1.007</v>
      </c>
      <c r="D1223" s="29" t="n">
        <v>0</v>
      </c>
      <c r="E1223" s="2" t="n">
        <v>2</v>
      </c>
      <c r="F1223" s="2" t="n">
        <v>0</v>
      </c>
      <c r="G1223" s="2" t="n">
        <v>0</v>
      </c>
      <c r="H1223" s="30">
        <f>IF(AND(B1223&gt;=5,C1223&lt;&gt;"",C1223&lt;0.8),1,0)</f>
        <v/>
      </c>
      <c r="I1223" s="30">
        <f>IF(AND(B1223&gt;=8,D1223&lt;&gt;"",D1223&gt;=0.25,D1223&lt;=0.75),1,0)</f>
        <v/>
      </c>
      <c r="J1223" s="2" t="n"/>
    </row>
    <row r="1224">
      <c r="A1224" s="2" t="inlineStr">
        <is>
          <t>IMP01217</t>
        </is>
      </c>
      <c r="B1224" s="2" t="n">
        <v>105</v>
      </c>
      <c r="C1224" s="19" t="n">
        <v>1.092</v>
      </c>
      <c r="D1224" s="29" t="n">
        <v>0.019</v>
      </c>
      <c r="E1224" s="2" t="n">
        <v>1</v>
      </c>
      <c r="F1224" s="2" t="n">
        <v>0</v>
      </c>
      <c r="G1224" s="2" t="n">
        <v>0</v>
      </c>
      <c r="H1224" s="30">
        <f>IF(AND(B1224&gt;=5,C1224&lt;&gt;"",C1224&lt;0.8),1,0)</f>
        <v/>
      </c>
      <c r="I1224" s="30">
        <f>IF(AND(B1224&gt;=8,D1224&lt;&gt;"",D1224&gt;=0.25,D1224&lt;=0.75),1,0)</f>
        <v/>
      </c>
      <c r="J1224" s="2" t="n"/>
    </row>
    <row r="1225">
      <c r="A1225" s="2" t="inlineStr">
        <is>
          <t>IMP01218</t>
        </is>
      </c>
      <c r="B1225" s="2" t="n">
        <v>56</v>
      </c>
      <c r="C1225" s="19" t="n">
        <v>0.9675</v>
      </c>
      <c r="D1225" s="29" t="n">
        <v>0.0357</v>
      </c>
      <c r="E1225" s="2" t="n">
        <v>1</v>
      </c>
      <c r="F1225" s="2" t="n">
        <v>0</v>
      </c>
      <c r="G1225" s="2" t="n">
        <v>0</v>
      </c>
      <c r="H1225" s="30">
        <f>IF(AND(B1225&gt;=5,C1225&lt;&gt;"",C1225&lt;0.8),1,0)</f>
        <v/>
      </c>
      <c r="I1225" s="30">
        <f>IF(AND(B1225&gt;=8,D1225&lt;&gt;"",D1225&gt;=0.25,D1225&lt;=0.75),1,0)</f>
        <v/>
      </c>
      <c r="J1225" s="2" t="n"/>
    </row>
    <row r="1226">
      <c r="A1226" s="2" t="inlineStr">
        <is>
          <t>IMP01219</t>
        </is>
      </c>
      <c r="B1226" s="2" t="n">
        <v>0</v>
      </c>
      <c r="C1226" s="19" t="n"/>
      <c r="D1226" s="29" t="n"/>
      <c r="E1226" s="2" t="n">
        <v>0</v>
      </c>
      <c r="F1226" s="2" t="n">
        <v>0</v>
      </c>
      <c r="G1226" s="2" t="n">
        <v>0</v>
      </c>
      <c r="H1226" s="30">
        <f>IF(AND(B1226&gt;=5,C1226&lt;&gt;"",C1226&lt;0.8),1,0)</f>
        <v/>
      </c>
      <c r="I1226" s="30">
        <f>IF(AND(B1226&gt;=8,D1226&lt;&gt;"",D1226&gt;=0.25,D1226&lt;=0.75),1,0)</f>
        <v/>
      </c>
      <c r="J1226" s="2" t="n"/>
    </row>
    <row r="1227">
      <c r="A1227" s="2" t="inlineStr">
        <is>
          <t>IMP01220</t>
        </is>
      </c>
      <c r="B1227" s="2" t="n">
        <v>1</v>
      </c>
      <c r="C1227" s="19" t="n">
        <v>1.339</v>
      </c>
      <c r="D1227" s="29" t="n">
        <v>0</v>
      </c>
      <c r="E1227" s="2" t="n">
        <v>2</v>
      </c>
      <c r="F1227" s="2" t="n">
        <v>0</v>
      </c>
      <c r="G1227" s="2" t="n">
        <v>0</v>
      </c>
      <c r="H1227" s="30">
        <f>IF(AND(B1227&gt;=5,C1227&lt;&gt;"",C1227&lt;0.8),1,0)</f>
        <v/>
      </c>
      <c r="I1227" s="30">
        <f>IF(AND(B1227&gt;=8,D1227&lt;&gt;"",D1227&gt;=0.25,D1227&lt;=0.75),1,0)</f>
        <v/>
      </c>
      <c r="J1227" s="2" t="n"/>
    </row>
    <row r="1228">
      <c r="A1228" s="2" t="inlineStr">
        <is>
          <t>IMP01221</t>
        </is>
      </c>
      <c r="B1228" s="2" t="n">
        <v>0</v>
      </c>
      <c r="C1228" s="19" t="n"/>
      <c r="D1228" s="29" t="n"/>
      <c r="E1228" s="2" t="n">
        <v>0</v>
      </c>
      <c r="F1228" s="2" t="n">
        <v>0</v>
      </c>
      <c r="G1228" s="2" t="n">
        <v>0</v>
      </c>
      <c r="H1228" s="30">
        <f>IF(AND(B1228&gt;=5,C1228&lt;&gt;"",C1228&lt;0.8),1,0)</f>
        <v/>
      </c>
      <c r="I1228" s="30">
        <f>IF(AND(B1228&gt;=8,D1228&lt;&gt;"",D1228&gt;=0.25,D1228&lt;=0.75),1,0)</f>
        <v/>
      </c>
      <c r="J1228" s="2" t="n"/>
    </row>
    <row r="1229">
      <c r="A1229" s="2" t="inlineStr">
        <is>
          <t>IMP01222</t>
        </is>
      </c>
      <c r="B1229" s="2" t="n">
        <v>2</v>
      </c>
      <c r="C1229" s="19" t="n">
        <v>0.8485</v>
      </c>
      <c r="D1229" s="29" t="n">
        <v>0</v>
      </c>
      <c r="E1229" s="2" t="n">
        <v>1</v>
      </c>
      <c r="F1229" s="2" t="n">
        <v>0</v>
      </c>
      <c r="G1229" s="2" t="n">
        <v>0</v>
      </c>
      <c r="H1229" s="30">
        <f>IF(AND(B1229&gt;=5,C1229&lt;&gt;"",C1229&lt;0.8),1,0)</f>
        <v/>
      </c>
      <c r="I1229" s="30">
        <f>IF(AND(B1229&gt;=8,D1229&lt;&gt;"",D1229&gt;=0.25,D1229&lt;=0.75),1,0)</f>
        <v/>
      </c>
      <c r="J1229" s="2" t="n"/>
    </row>
    <row r="1230">
      <c r="A1230" s="2" t="inlineStr">
        <is>
          <t>IMP01223</t>
        </is>
      </c>
      <c r="B1230" s="2" t="n">
        <v>24</v>
      </c>
      <c r="C1230" s="19" t="n">
        <v>1.023</v>
      </c>
      <c r="D1230" s="29" t="n">
        <v>0.0833</v>
      </c>
      <c r="E1230" s="2" t="n">
        <v>9</v>
      </c>
      <c r="F1230" s="2" t="n">
        <v>0</v>
      </c>
      <c r="G1230" s="2" t="n">
        <v>0</v>
      </c>
      <c r="H1230" s="30">
        <f>IF(AND(B1230&gt;=5,C1230&lt;&gt;"",C1230&lt;0.8),1,0)</f>
        <v/>
      </c>
      <c r="I1230" s="30">
        <f>IF(AND(B1230&gt;=8,D1230&lt;&gt;"",D1230&gt;=0.25,D1230&lt;=0.75),1,0)</f>
        <v/>
      </c>
      <c r="J1230" s="2" t="n"/>
    </row>
    <row r="1231">
      <c r="A1231" s="2" t="inlineStr">
        <is>
          <t>IMP01224</t>
        </is>
      </c>
      <c r="B1231" s="2" t="n">
        <v>77</v>
      </c>
      <c r="C1231" s="19" t="n">
        <v>1.014</v>
      </c>
      <c r="D1231" s="29" t="n">
        <v>0.0649</v>
      </c>
      <c r="E1231" s="2" t="n">
        <v>1</v>
      </c>
      <c r="F1231" s="2" t="n">
        <v>0</v>
      </c>
      <c r="G1231" s="2" t="n">
        <v>0</v>
      </c>
      <c r="H1231" s="30">
        <f>IF(AND(B1231&gt;=5,C1231&lt;&gt;"",C1231&lt;0.8),1,0)</f>
        <v/>
      </c>
      <c r="I1231" s="30">
        <f>IF(AND(B1231&gt;=8,D1231&lt;&gt;"",D1231&gt;=0.25,D1231&lt;=0.75),1,0)</f>
        <v/>
      </c>
      <c r="J1231" s="2" t="n"/>
    </row>
    <row r="1232">
      <c r="A1232" s="2" t="inlineStr">
        <is>
          <t>IMP01225</t>
        </is>
      </c>
      <c r="B1232" s="2" t="n">
        <v>29</v>
      </c>
      <c r="C1232" s="19" t="n">
        <v>1.045</v>
      </c>
      <c r="D1232" s="29" t="n">
        <v>0.0345</v>
      </c>
      <c r="E1232" s="2" t="n">
        <v>2</v>
      </c>
      <c r="F1232" s="2" t="n">
        <v>0</v>
      </c>
      <c r="G1232" s="2" t="n">
        <v>0</v>
      </c>
      <c r="H1232" s="30">
        <f>IF(AND(B1232&gt;=5,C1232&lt;&gt;"",C1232&lt;0.8),1,0)</f>
        <v/>
      </c>
      <c r="I1232" s="30">
        <f>IF(AND(B1232&gt;=8,D1232&lt;&gt;"",D1232&gt;=0.25,D1232&lt;=0.75),1,0)</f>
        <v/>
      </c>
      <c r="J1232" s="2" t="n"/>
    </row>
    <row r="1233">
      <c r="A1233" s="2" t="inlineStr">
        <is>
          <t>IMP01226</t>
        </is>
      </c>
      <c r="B1233" s="2" t="n">
        <v>0</v>
      </c>
      <c r="C1233" s="19" t="n"/>
      <c r="D1233" s="29" t="n"/>
      <c r="E1233" s="2" t="n">
        <v>0</v>
      </c>
      <c r="F1233" s="2" t="n">
        <v>0</v>
      </c>
      <c r="G1233" s="2" t="n">
        <v>0</v>
      </c>
      <c r="H1233" s="30">
        <f>IF(AND(B1233&gt;=5,C1233&lt;&gt;"",C1233&lt;0.8),1,0)</f>
        <v/>
      </c>
      <c r="I1233" s="30">
        <f>IF(AND(B1233&gt;=8,D1233&lt;&gt;"",D1233&gt;=0.25,D1233&lt;=0.75),1,0)</f>
        <v/>
      </c>
      <c r="J1233" s="2" t="n"/>
    </row>
    <row r="1234">
      <c r="A1234" s="2" t="inlineStr">
        <is>
          <t>IMP01227</t>
        </is>
      </c>
      <c r="B1234" s="2" t="n">
        <v>2</v>
      </c>
      <c r="C1234" s="19" t="n">
        <v>0.8285</v>
      </c>
      <c r="D1234" s="29" t="n">
        <v>0.5</v>
      </c>
      <c r="E1234" s="2" t="n">
        <v>2</v>
      </c>
      <c r="F1234" s="2" t="n">
        <v>0</v>
      </c>
      <c r="G1234" s="2" t="n">
        <v>0</v>
      </c>
      <c r="H1234" s="30">
        <f>IF(AND(B1234&gt;=5,C1234&lt;&gt;"",C1234&lt;0.8),1,0)</f>
        <v/>
      </c>
      <c r="I1234" s="30">
        <f>IF(AND(B1234&gt;=8,D1234&lt;&gt;"",D1234&gt;=0.25,D1234&lt;=0.75),1,0)</f>
        <v/>
      </c>
      <c r="J1234" s="2" t="n"/>
    </row>
    <row r="1235">
      <c r="A1235" s="2" t="inlineStr">
        <is>
          <t>IMP01228</t>
        </is>
      </c>
      <c r="B1235" s="2" t="n">
        <v>136</v>
      </c>
      <c r="C1235" s="19" t="n">
        <v>1.0465</v>
      </c>
      <c r="D1235" s="29" t="n">
        <v>0.0147</v>
      </c>
      <c r="E1235" s="2" t="n">
        <v>1</v>
      </c>
      <c r="F1235" s="2" t="n">
        <v>0</v>
      </c>
      <c r="G1235" s="2" t="n">
        <v>0</v>
      </c>
      <c r="H1235" s="30">
        <f>IF(AND(B1235&gt;=5,C1235&lt;&gt;"",C1235&lt;0.8),1,0)</f>
        <v/>
      </c>
      <c r="I1235" s="30">
        <f>IF(AND(B1235&gt;=8,D1235&lt;&gt;"",D1235&gt;=0.25,D1235&lt;=0.75),1,0)</f>
        <v/>
      </c>
      <c r="J1235" s="2" t="n"/>
    </row>
    <row r="1236">
      <c r="A1236" s="2" t="inlineStr">
        <is>
          <t>IMP01229</t>
        </is>
      </c>
      <c r="B1236" s="2" t="n">
        <v>147</v>
      </c>
      <c r="C1236" s="19" t="n">
        <v>0.9365</v>
      </c>
      <c r="D1236" s="29" t="n">
        <v>0.1088</v>
      </c>
      <c r="E1236" s="2" t="n">
        <v>1</v>
      </c>
      <c r="F1236" s="2" t="n">
        <v>0</v>
      </c>
      <c r="G1236" s="2" t="n">
        <v>0</v>
      </c>
      <c r="H1236" s="30">
        <f>IF(AND(B1236&gt;=5,C1236&lt;&gt;"",C1236&lt;0.8),1,0)</f>
        <v/>
      </c>
      <c r="I1236" s="30">
        <f>IF(AND(B1236&gt;=8,D1236&lt;&gt;"",D1236&gt;=0.25,D1236&lt;=0.75),1,0)</f>
        <v/>
      </c>
      <c r="J1236" s="2" t="n"/>
    </row>
    <row r="1237">
      <c r="A1237" s="2" t="inlineStr">
        <is>
          <t>IMP01230</t>
        </is>
      </c>
      <c r="B1237" s="2" t="n">
        <v>10</v>
      </c>
      <c r="C1237" s="19" t="n">
        <v>0.929</v>
      </c>
      <c r="D1237" s="29" t="n">
        <v>0.4</v>
      </c>
      <c r="E1237" s="2" t="n">
        <v>1</v>
      </c>
      <c r="F1237" s="2" t="n">
        <v>0</v>
      </c>
      <c r="G1237" s="2" t="n">
        <v>1</v>
      </c>
      <c r="H1237" s="30">
        <f>IF(AND(B1237&gt;=5,C1237&lt;&gt;"",C1237&lt;0.8),1,0)</f>
        <v/>
      </c>
      <c r="I1237" s="30">
        <f>IF(AND(B1237&gt;=8,D1237&lt;&gt;"",D1237&gt;=0.25,D1237&lt;=0.75),1,0)</f>
        <v/>
      </c>
      <c r="J1237" s="2" t="n"/>
    </row>
    <row r="1238">
      <c r="A1238" s="2" t="inlineStr">
        <is>
          <t>IMP01231</t>
        </is>
      </c>
      <c r="B1238" s="2" t="n">
        <v>48</v>
      </c>
      <c r="C1238" s="19" t="n">
        <v>0.9135</v>
      </c>
      <c r="D1238" s="29" t="n">
        <v>0.0833</v>
      </c>
      <c r="E1238" s="2" t="n">
        <v>2</v>
      </c>
      <c r="F1238" s="2" t="n">
        <v>0</v>
      </c>
      <c r="G1238" s="2" t="n">
        <v>0</v>
      </c>
      <c r="H1238" s="30">
        <f>IF(AND(B1238&gt;=5,C1238&lt;&gt;"",C1238&lt;0.8),1,0)</f>
        <v/>
      </c>
      <c r="I1238" s="30">
        <f>IF(AND(B1238&gt;=8,D1238&lt;&gt;"",D1238&gt;=0.25,D1238&lt;=0.75),1,0)</f>
        <v/>
      </c>
      <c r="J1238" s="2" t="n"/>
    </row>
    <row r="1239">
      <c r="A1239" s="2" t="inlineStr">
        <is>
          <t>IMP01232</t>
        </is>
      </c>
      <c r="B1239" s="2" t="n">
        <v>14</v>
      </c>
      <c r="C1239" s="19" t="n">
        <v>0.9895</v>
      </c>
      <c r="D1239" s="29" t="n">
        <v>0</v>
      </c>
      <c r="E1239" s="2" t="n">
        <v>1</v>
      </c>
      <c r="F1239" s="2" t="n">
        <v>0</v>
      </c>
      <c r="G1239" s="2" t="n">
        <v>0</v>
      </c>
      <c r="H1239" s="30">
        <f>IF(AND(B1239&gt;=5,C1239&lt;&gt;"",C1239&lt;0.8),1,0)</f>
        <v/>
      </c>
      <c r="I1239" s="30">
        <f>IF(AND(B1239&gt;=8,D1239&lt;&gt;"",D1239&gt;=0.25,D1239&lt;=0.75),1,0)</f>
        <v/>
      </c>
      <c r="J1239" s="2" t="n"/>
    </row>
    <row r="1240">
      <c r="A1240" s="2" t="inlineStr">
        <is>
          <t>IMP01233</t>
        </is>
      </c>
      <c r="B1240" s="2" t="n">
        <v>6</v>
      </c>
      <c r="C1240" s="19" t="n">
        <v>0.9475</v>
      </c>
      <c r="D1240" s="29" t="n">
        <v>0</v>
      </c>
      <c r="E1240" s="2" t="n">
        <v>1</v>
      </c>
      <c r="F1240" s="2" t="n">
        <v>0</v>
      </c>
      <c r="G1240" s="2" t="n">
        <v>0</v>
      </c>
      <c r="H1240" s="30">
        <f>IF(AND(B1240&gt;=5,C1240&lt;&gt;"",C1240&lt;0.8),1,0)</f>
        <v/>
      </c>
      <c r="I1240" s="30">
        <f>IF(AND(B1240&gt;=8,D1240&lt;&gt;"",D1240&gt;=0.25,D1240&lt;=0.75),1,0)</f>
        <v/>
      </c>
      <c r="J1240" s="2" t="n"/>
    </row>
    <row r="1241">
      <c r="A1241" s="2" t="inlineStr">
        <is>
          <t>IMP01234</t>
        </is>
      </c>
      <c r="B1241" s="2" t="n">
        <v>109</v>
      </c>
      <c r="C1241" s="19" t="n">
        <v>0.92</v>
      </c>
      <c r="D1241" s="29" t="n">
        <v>0.08260000000000001</v>
      </c>
      <c r="E1241" s="2" t="n">
        <v>3</v>
      </c>
      <c r="F1241" s="2" t="n">
        <v>0</v>
      </c>
      <c r="G1241" s="2" t="n">
        <v>0</v>
      </c>
      <c r="H1241" s="30">
        <f>IF(AND(B1241&gt;=5,C1241&lt;&gt;"",C1241&lt;0.8),1,0)</f>
        <v/>
      </c>
      <c r="I1241" s="30">
        <f>IF(AND(B1241&gt;=8,D1241&lt;&gt;"",D1241&gt;=0.25,D1241&lt;=0.75),1,0)</f>
        <v/>
      </c>
      <c r="J1241" s="2" t="n"/>
    </row>
    <row r="1242">
      <c r="A1242" s="2" t="inlineStr">
        <is>
          <t>IMP01235</t>
        </is>
      </c>
      <c r="B1242" s="2" t="n">
        <v>24</v>
      </c>
      <c r="C1242" s="19" t="n">
        <v>0.906</v>
      </c>
      <c r="D1242" s="29" t="n">
        <v>0</v>
      </c>
      <c r="E1242" s="2" t="n">
        <v>2</v>
      </c>
      <c r="F1242" s="2" t="n">
        <v>0</v>
      </c>
      <c r="G1242" s="2" t="n">
        <v>0</v>
      </c>
      <c r="H1242" s="30">
        <f>IF(AND(B1242&gt;=5,C1242&lt;&gt;"",C1242&lt;0.8),1,0)</f>
        <v/>
      </c>
      <c r="I1242" s="30">
        <f>IF(AND(B1242&gt;=8,D1242&lt;&gt;"",D1242&gt;=0.25,D1242&lt;=0.75),1,0)</f>
        <v/>
      </c>
      <c r="J1242" s="2" t="n"/>
    </row>
    <row r="1243">
      <c r="A1243" s="2" t="inlineStr">
        <is>
          <t>IMP01236</t>
        </is>
      </c>
      <c r="B1243" s="2" t="n">
        <v>1</v>
      </c>
      <c r="C1243" s="19" t="n">
        <v>0.927</v>
      </c>
      <c r="D1243" s="29" t="n">
        <v>0</v>
      </c>
      <c r="E1243" s="2" t="n">
        <v>1</v>
      </c>
      <c r="F1243" s="2" t="n">
        <v>0</v>
      </c>
      <c r="G1243" s="2" t="n">
        <v>0</v>
      </c>
      <c r="H1243" s="30">
        <f>IF(AND(B1243&gt;=5,C1243&lt;&gt;"",C1243&lt;0.8),1,0)</f>
        <v/>
      </c>
      <c r="I1243" s="30">
        <f>IF(AND(B1243&gt;=8,D1243&lt;&gt;"",D1243&gt;=0.25,D1243&lt;=0.75),1,0)</f>
        <v/>
      </c>
      <c r="J1243" s="2" t="n"/>
    </row>
    <row r="1244">
      <c r="A1244" s="2" t="inlineStr">
        <is>
          <t>IMP01237</t>
        </is>
      </c>
      <c r="B1244" s="2" t="n">
        <v>33</v>
      </c>
      <c r="C1244" s="19" t="n">
        <v>1.085</v>
      </c>
      <c r="D1244" s="29" t="n">
        <v>0.1818</v>
      </c>
      <c r="E1244" s="2" t="n">
        <v>2</v>
      </c>
      <c r="F1244" s="2" t="n">
        <v>0</v>
      </c>
      <c r="G1244" s="2" t="n">
        <v>0</v>
      </c>
      <c r="H1244" s="30">
        <f>IF(AND(B1244&gt;=5,C1244&lt;&gt;"",C1244&lt;0.8),1,0)</f>
        <v/>
      </c>
      <c r="I1244" s="30">
        <f>IF(AND(B1244&gt;=8,D1244&lt;&gt;"",D1244&gt;=0.25,D1244&lt;=0.75),1,0)</f>
        <v/>
      </c>
      <c r="J1244" s="2" t="n"/>
    </row>
    <row r="1245">
      <c r="A1245" s="2" t="inlineStr">
        <is>
          <t>IMP01238</t>
        </is>
      </c>
      <c r="B1245" s="2" t="n">
        <v>2</v>
      </c>
      <c r="C1245" s="19" t="n">
        <v>0.861</v>
      </c>
      <c r="D1245" s="29" t="n">
        <v>0</v>
      </c>
      <c r="E1245" s="2" t="n">
        <v>1</v>
      </c>
      <c r="F1245" s="2" t="n">
        <v>0</v>
      </c>
      <c r="G1245" s="2" t="n">
        <v>0</v>
      </c>
      <c r="H1245" s="30">
        <f>IF(AND(B1245&gt;=5,C1245&lt;&gt;"",C1245&lt;0.8),1,0)</f>
        <v/>
      </c>
      <c r="I1245" s="30">
        <f>IF(AND(B1245&gt;=8,D1245&lt;&gt;"",D1245&gt;=0.25,D1245&lt;=0.75),1,0)</f>
        <v/>
      </c>
      <c r="J1245" s="2" t="n"/>
    </row>
    <row r="1246">
      <c r="A1246" s="2" t="inlineStr">
        <is>
          <t>IMP01239</t>
        </is>
      </c>
      <c r="B1246" s="2" t="n">
        <v>42</v>
      </c>
      <c r="C1246" s="19" t="n">
        <v>0.805</v>
      </c>
      <c r="D1246" s="29" t="n">
        <v>0.2857</v>
      </c>
      <c r="E1246" s="2" t="n">
        <v>1</v>
      </c>
      <c r="F1246" s="2" t="n">
        <v>0</v>
      </c>
      <c r="G1246" s="2" t="n">
        <v>1</v>
      </c>
      <c r="H1246" s="30">
        <f>IF(AND(B1246&gt;=5,C1246&lt;&gt;"",C1246&lt;0.8),1,0)</f>
        <v/>
      </c>
      <c r="I1246" s="30">
        <f>IF(AND(B1246&gt;=8,D1246&lt;&gt;"",D1246&gt;=0.25,D1246&lt;=0.75),1,0)</f>
        <v/>
      </c>
      <c r="J1246" s="2" t="n"/>
    </row>
    <row r="1247">
      <c r="A1247" s="2" t="inlineStr">
        <is>
          <t>IMP01240</t>
        </is>
      </c>
      <c r="B1247" s="2" t="n">
        <v>45</v>
      </c>
      <c r="C1247" s="19" t="n">
        <v>1.059</v>
      </c>
      <c r="D1247" s="29" t="n">
        <v>0.0444</v>
      </c>
      <c r="E1247" s="2" t="n">
        <v>1</v>
      </c>
      <c r="F1247" s="2" t="n">
        <v>0</v>
      </c>
      <c r="G1247" s="2" t="n">
        <v>0</v>
      </c>
      <c r="H1247" s="30">
        <f>IF(AND(B1247&gt;=5,C1247&lt;&gt;"",C1247&lt;0.8),1,0)</f>
        <v/>
      </c>
      <c r="I1247" s="30">
        <f>IF(AND(B1247&gt;=8,D1247&lt;&gt;"",D1247&gt;=0.25,D1247&lt;=0.75),1,0)</f>
        <v/>
      </c>
      <c r="J1247" s="2" t="n"/>
    </row>
    <row r="1248">
      <c r="A1248" s="2" t="inlineStr">
        <is>
          <t>IMP01241</t>
        </is>
      </c>
      <c r="B1248" s="2" t="n">
        <v>74</v>
      </c>
      <c r="C1248" s="19" t="n">
        <v>1.32</v>
      </c>
      <c r="D1248" s="29" t="n">
        <v>0</v>
      </c>
      <c r="E1248" s="2" t="n">
        <v>1</v>
      </c>
      <c r="F1248" s="2" t="n">
        <v>0</v>
      </c>
      <c r="G1248" s="2" t="n">
        <v>0</v>
      </c>
      <c r="H1248" s="30">
        <f>IF(AND(B1248&gt;=5,C1248&lt;&gt;"",C1248&lt;0.8),1,0)</f>
        <v/>
      </c>
      <c r="I1248" s="30">
        <f>IF(AND(B1248&gt;=8,D1248&lt;&gt;"",D1248&gt;=0.25,D1248&lt;=0.75),1,0)</f>
        <v/>
      </c>
      <c r="J1248" s="2" t="n"/>
    </row>
    <row r="1249">
      <c r="A1249" s="2" t="inlineStr">
        <is>
          <t>IMP01242</t>
        </is>
      </c>
      <c r="B1249" s="2" t="n">
        <v>64</v>
      </c>
      <c r="C1249" s="19" t="n">
        <v>0.993</v>
      </c>
      <c r="D1249" s="29" t="n">
        <v>0.3438</v>
      </c>
      <c r="E1249" s="2" t="n">
        <v>2</v>
      </c>
      <c r="F1249" s="2" t="n">
        <v>0</v>
      </c>
      <c r="G1249" s="2" t="n">
        <v>1</v>
      </c>
      <c r="H1249" s="30">
        <f>IF(AND(B1249&gt;=5,C1249&lt;&gt;"",C1249&lt;0.8),1,0)</f>
        <v/>
      </c>
      <c r="I1249" s="30">
        <f>IF(AND(B1249&gt;=8,D1249&lt;&gt;"",D1249&gt;=0.25,D1249&lt;=0.75),1,0)</f>
        <v/>
      </c>
      <c r="J1249" s="2" t="n"/>
    </row>
    <row r="1250">
      <c r="A1250" s="2" t="inlineStr">
        <is>
          <t>IMP01243</t>
        </is>
      </c>
      <c r="B1250" s="2" t="n">
        <v>25</v>
      </c>
      <c r="C1250" s="19" t="n">
        <v>0.994</v>
      </c>
      <c r="D1250" s="29" t="n">
        <v>0.08</v>
      </c>
      <c r="E1250" s="2" t="n">
        <v>1</v>
      </c>
      <c r="F1250" s="2" t="n">
        <v>0</v>
      </c>
      <c r="G1250" s="2" t="n">
        <v>0</v>
      </c>
      <c r="H1250" s="30">
        <f>IF(AND(B1250&gt;=5,C1250&lt;&gt;"",C1250&lt;0.8),1,0)</f>
        <v/>
      </c>
      <c r="I1250" s="30">
        <f>IF(AND(B1250&gt;=8,D1250&lt;&gt;"",D1250&gt;=0.25,D1250&lt;=0.75),1,0)</f>
        <v/>
      </c>
      <c r="J1250" s="2" t="n"/>
    </row>
    <row r="1251">
      <c r="A1251" s="2" t="inlineStr">
        <is>
          <t>IMP01244</t>
        </is>
      </c>
      <c r="B1251" s="2" t="n">
        <v>6</v>
      </c>
      <c r="C1251" s="19" t="n">
        <v>1.205</v>
      </c>
      <c r="D1251" s="29" t="n">
        <v>0</v>
      </c>
      <c r="E1251" s="2" t="n">
        <v>1</v>
      </c>
      <c r="F1251" s="2" t="n">
        <v>0</v>
      </c>
      <c r="G1251" s="2" t="n">
        <v>0</v>
      </c>
      <c r="H1251" s="30">
        <f>IF(AND(B1251&gt;=5,C1251&lt;&gt;"",C1251&lt;0.8),1,0)</f>
        <v/>
      </c>
      <c r="I1251" s="30">
        <f>IF(AND(B1251&gt;=8,D1251&lt;&gt;"",D1251&gt;=0.25,D1251&lt;=0.75),1,0)</f>
        <v/>
      </c>
      <c r="J1251" s="2" t="n"/>
    </row>
    <row r="1252">
      <c r="A1252" s="2" t="inlineStr">
        <is>
          <t>IMP01245</t>
        </is>
      </c>
      <c r="B1252" s="2" t="n">
        <v>23</v>
      </c>
      <c r="C1252" s="19" t="n">
        <v>1.1155</v>
      </c>
      <c r="D1252" s="29" t="n">
        <v>0</v>
      </c>
      <c r="E1252" s="2" t="n">
        <v>1</v>
      </c>
      <c r="F1252" s="2" t="n">
        <v>0</v>
      </c>
      <c r="G1252" s="2" t="n">
        <v>0</v>
      </c>
      <c r="H1252" s="30">
        <f>IF(AND(B1252&gt;=5,C1252&lt;&gt;"",C1252&lt;0.8),1,0)</f>
        <v/>
      </c>
      <c r="I1252" s="30">
        <f>IF(AND(B1252&gt;=8,D1252&lt;&gt;"",D1252&gt;=0.25,D1252&lt;=0.75),1,0)</f>
        <v/>
      </c>
      <c r="J1252" s="2" t="n"/>
    </row>
    <row r="1253">
      <c r="A1253" s="2" t="inlineStr">
        <is>
          <t>IMP01246</t>
        </is>
      </c>
      <c r="B1253" s="2" t="n">
        <v>48</v>
      </c>
      <c r="C1253" s="19" t="n">
        <v>1</v>
      </c>
      <c r="D1253" s="29" t="n">
        <v>0.2083</v>
      </c>
      <c r="E1253" s="2" t="n">
        <v>1</v>
      </c>
      <c r="F1253" s="2" t="n">
        <v>0</v>
      </c>
      <c r="G1253" s="2" t="n">
        <v>0</v>
      </c>
      <c r="H1253" s="30">
        <f>IF(AND(B1253&gt;=5,C1253&lt;&gt;"",C1253&lt;0.8),1,0)</f>
        <v/>
      </c>
      <c r="I1253" s="30">
        <f>IF(AND(B1253&gt;=8,D1253&lt;&gt;"",D1253&gt;=0.25,D1253&lt;=0.75),1,0)</f>
        <v/>
      </c>
      <c r="J1253" s="2" t="n"/>
    </row>
    <row r="1254">
      <c r="A1254" s="2" t="inlineStr">
        <is>
          <t>IMP01247</t>
        </is>
      </c>
      <c r="B1254" s="2" t="n">
        <v>82</v>
      </c>
      <c r="C1254" s="19" t="n">
        <v>1.083</v>
      </c>
      <c r="D1254" s="29" t="n">
        <v>0.0366</v>
      </c>
      <c r="E1254" s="2" t="n">
        <v>1</v>
      </c>
      <c r="F1254" s="2" t="n">
        <v>0</v>
      </c>
      <c r="G1254" s="2" t="n">
        <v>0</v>
      </c>
      <c r="H1254" s="30">
        <f>IF(AND(B1254&gt;=5,C1254&lt;&gt;"",C1254&lt;0.8),1,0)</f>
        <v/>
      </c>
      <c r="I1254" s="30">
        <f>IF(AND(B1254&gt;=8,D1254&lt;&gt;"",D1254&gt;=0.25,D1254&lt;=0.75),1,0)</f>
        <v/>
      </c>
      <c r="J1254" s="2" t="n"/>
    </row>
    <row r="1255">
      <c r="A1255" s="2" t="inlineStr">
        <is>
          <t>IMP01248</t>
        </is>
      </c>
      <c r="B1255" s="2" t="n">
        <v>160</v>
      </c>
      <c r="C1255" s="19" t="n">
        <v>0.996</v>
      </c>
      <c r="D1255" s="29" t="n">
        <v>0.025</v>
      </c>
      <c r="E1255" s="2" t="n">
        <v>1</v>
      </c>
      <c r="F1255" s="2" t="n">
        <v>0</v>
      </c>
      <c r="G1255" s="2" t="n">
        <v>0</v>
      </c>
      <c r="H1255" s="30">
        <f>IF(AND(B1255&gt;=5,C1255&lt;&gt;"",C1255&lt;0.8),1,0)</f>
        <v/>
      </c>
      <c r="I1255" s="30">
        <f>IF(AND(B1255&gt;=8,D1255&lt;&gt;"",D1255&gt;=0.25,D1255&lt;=0.75),1,0)</f>
        <v/>
      </c>
      <c r="J1255" s="2" t="n"/>
    </row>
    <row r="1256">
      <c r="A1256" s="2" t="inlineStr">
        <is>
          <t>IMP01249</t>
        </is>
      </c>
      <c r="B1256" s="2" t="n">
        <v>22</v>
      </c>
      <c r="C1256" s="19" t="n">
        <v>0.975</v>
      </c>
      <c r="D1256" s="29" t="n">
        <v>0.0455</v>
      </c>
      <c r="E1256" s="2" t="n">
        <v>2</v>
      </c>
      <c r="F1256" s="2" t="n">
        <v>0</v>
      </c>
      <c r="G1256" s="2" t="n">
        <v>0</v>
      </c>
      <c r="H1256" s="30">
        <f>IF(AND(B1256&gt;=5,C1256&lt;&gt;"",C1256&lt;0.8),1,0)</f>
        <v/>
      </c>
      <c r="I1256" s="30">
        <f>IF(AND(B1256&gt;=8,D1256&lt;&gt;"",D1256&gt;=0.25,D1256&lt;=0.75),1,0)</f>
        <v/>
      </c>
      <c r="J1256" s="2" t="n"/>
    </row>
    <row r="1257">
      <c r="A1257" s="2" t="inlineStr">
        <is>
          <t>IMP01250</t>
        </is>
      </c>
      <c r="B1257" s="2" t="n">
        <v>15</v>
      </c>
      <c r="C1257" s="19" t="n">
        <v>0.944</v>
      </c>
      <c r="D1257" s="29" t="n">
        <v>0</v>
      </c>
      <c r="E1257" s="2" t="n">
        <v>1</v>
      </c>
      <c r="F1257" s="2" t="n">
        <v>0</v>
      </c>
      <c r="G1257" s="2" t="n">
        <v>0</v>
      </c>
      <c r="H1257" s="30">
        <f>IF(AND(B1257&gt;=5,C1257&lt;&gt;"",C1257&lt;0.8),1,0)</f>
        <v/>
      </c>
      <c r="I1257" s="30">
        <f>IF(AND(B1257&gt;=8,D1257&lt;&gt;"",D1257&gt;=0.25,D1257&lt;=0.75),1,0)</f>
        <v/>
      </c>
      <c r="J1257" s="2" t="n"/>
    </row>
    <row r="1258">
      <c r="A1258" s="2" t="inlineStr">
        <is>
          <t>IMP01251</t>
        </is>
      </c>
      <c r="B1258" s="2" t="n">
        <v>105</v>
      </c>
      <c r="C1258" s="19" t="n">
        <v>1.087</v>
      </c>
      <c r="D1258" s="29" t="n">
        <v>0.0095</v>
      </c>
      <c r="E1258" s="2" t="n">
        <v>1</v>
      </c>
      <c r="F1258" s="2" t="n">
        <v>0</v>
      </c>
      <c r="G1258" s="2" t="n">
        <v>0</v>
      </c>
      <c r="H1258" s="30">
        <f>IF(AND(B1258&gt;=5,C1258&lt;&gt;"",C1258&lt;0.8),1,0)</f>
        <v/>
      </c>
      <c r="I1258" s="30">
        <f>IF(AND(B1258&gt;=8,D1258&lt;&gt;"",D1258&gt;=0.25,D1258&lt;=0.75),1,0)</f>
        <v/>
      </c>
      <c r="J1258" s="2" t="n"/>
    </row>
    <row r="1259">
      <c r="A1259" s="2" t="inlineStr">
        <is>
          <t>IMP01252</t>
        </is>
      </c>
      <c r="B1259" s="2" t="n">
        <v>8</v>
      </c>
      <c r="C1259" s="19" t="n">
        <v>1.37</v>
      </c>
      <c r="D1259" s="29" t="n">
        <v>0</v>
      </c>
      <c r="E1259" s="2" t="n">
        <v>2</v>
      </c>
      <c r="F1259" s="2" t="n">
        <v>0</v>
      </c>
      <c r="G1259" s="2" t="n">
        <v>0</v>
      </c>
      <c r="H1259" s="30">
        <f>IF(AND(B1259&gt;=5,C1259&lt;&gt;"",C1259&lt;0.8),1,0)</f>
        <v/>
      </c>
      <c r="I1259" s="30">
        <f>IF(AND(B1259&gt;=8,D1259&lt;&gt;"",D1259&gt;=0.25,D1259&lt;=0.75),1,0)</f>
        <v/>
      </c>
      <c r="J1259" s="2" t="n"/>
    </row>
    <row r="1260">
      <c r="A1260" s="2" t="inlineStr">
        <is>
          <t>IMP01253</t>
        </is>
      </c>
      <c r="B1260" s="2" t="n">
        <v>44</v>
      </c>
      <c r="C1260" s="19" t="n">
        <v>1.0095</v>
      </c>
      <c r="D1260" s="29" t="n">
        <v>0</v>
      </c>
      <c r="E1260" s="2" t="n">
        <v>1</v>
      </c>
      <c r="F1260" s="2" t="n">
        <v>0</v>
      </c>
      <c r="G1260" s="2" t="n">
        <v>0</v>
      </c>
      <c r="H1260" s="30">
        <f>IF(AND(B1260&gt;=5,C1260&lt;&gt;"",C1260&lt;0.8),1,0)</f>
        <v/>
      </c>
      <c r="I1260" s="30">
        <f>IF(AND(B1260&gt;=8,D1260&lt;&gt;"",D1260&gt;=0.25,D1260&lt;=0.75),1,0)</f>
        <v/>
      </c>
      <c r="J1260" s="2" t="n"/>
    </row>
    <row r="1261">
      <c r="A1261" s="2" t="inlineStr">
        <is>
          <t>IMP01254</t>
        </is>
      </c>
      <c r="B1261" s="2" t="n">
        <v>164</v>
      </c>
      <c r="C1261" s="19" t="n">
        <v>1</v>
      </c>
      <c r="D1261" s="29" t="n">
        <v>0.0549</v>
      </c>
      <c r="E1261" s="2" t="n">
        <v>1</v>
      </c>
      <c r="F1261" s="2" t="n">
        <v>0</v>
      </c>
      <c r="G1261" s="2" t="n">
        <v>0</v>
      </c>
      <c r="H1261" s="30">
        <f>IF(AND(B1261&gt;=5,C1261&lt;&gt;"",C1261&lt;0.8),1,0)</f>
        <v/>
      </c>
      <c r="I1261" s="30">
        <f>IF(AND(B1261&gt;=8,D1261&lt;&gt;"",D1261&gt;=0.25,D1261&lt;=0.75),1,0)</f>
        <v/>
      </c>
      <c r="J1261" s="2" t="n"/>
    </row>
    <row r="1262">
      <c r="A1262" s="2" t="inlineStr">
        <is>
          <t>IMP01255</t>
        </is>
      </c>
      <c r="B1262" s="2" t="n">
        <v>69</v>
      </c>
      <c r="C1262" s="19" t="n">
        <v>1.012</v>
      </c>
      <c r="D1262" s="29" t="n">
        <v>0.058</v>
      </c>
      <c r="E1262" s="2" t="n">
        <v>3</v>
      </c>
      <c r="F1262" s="2" t="n">
        <v>0</v>
      </c>
      <c r="G1262" s="2" t="n">
        <v>0</v>
      </c>
      <c r="H1262" s="30">
        <f>IF(AND(B1262&gt;=5,C1262&lt;&gt;"",C1262&lt;0.8),1,0)</f>
        <v/>
      </c>
      <c r="I1262" s="30">
        <f>IF(AND(B1262&gt;=8,D1262&lt;&gt;"",D1262&gt;=0.25,D1262&lt;=0.75),1,0)</f>
        <v/>
      </c>
      <c r="J1262" s="2" t="n"/>
    </row>
    <row r="1263">
      <c r="A1263" s="2" t="inlineStr">
        <is>
          <t>IMP01256</t>
        </is>
      </c>
      <c r="B1263" s="2" t="n">
        <v>921</v>
      </c>
      <c r="C1263" s="19" t="n">
        <v>0.986</v>
      </c>
      <c r="D1263" s="29" t="n">
        <v>0.0402</v>
      </c>
      <c r="E1263" s="2" t="n">
        <v>2</v>
      </c>
      <c r="F1263" s="2" t="n">
        <v>0</v>
      </c>
      <c r="G1263" s="2" t="n">
        <v>0</v>
      </c>
      <c r="H1263" s="30">
        <f>IF(AND(B1263&gt;=5,C1263&lt;&gt;"",C1263&lt;0.8),1,0)</f>
        <v/>
      </c>
      <c r="I1263" s="30">
        <f>IF(AND(B1263&gt;=8,D1263&lt;&gt;"",D1263&gt;=0.25,D1263&lt;=0.75),1,0)</f>
        <v/>
      </c>
      <c r="J1263" s="2" t="n"/>
    </row>
    <row r="1264">
      <c r="A1264" s="2" t="inlineStr">
        <is>
          <t>IMP01257</t>
        </is>
      </c>
      <c r="B1264" s="2" t="n">
        <v>29</v>
      </c>
      <c r="C1264" s="19" t="n">
        <v>0.972</v>
      </c>
      <c r="D1264" s="29" t="n">
        <v>0.06900000000000001</v>
      </c>
      <c r="E1264" s="2" t="n">
        <v>2</v>
      </c>
      <c r="F1264" s="2" t="n">
        <v>0</v>
      </c>
      <c r="G1264" s="2" t="n">
        <v>0</v>
      </c>
      <c r="H1264" s="30">
        <f>IF(AND(B1264&gt;=5,C1264&lt;&gt;"",C1264&lt;0.8),1,0)</f>
        <v/>
      </c>
      <c r="I1264" s="30">
        <f>IF(AND(B1264&gt;=8,D1264&lt;&gt;"",D1264&gt;=0.25,D1264&lt;=0.75),1,0)</f>
        <v/>
      </c>
      <c r="J1264" s="2" t="n"/>
    </row>
    <row r="1265">
      <c r="A1265" s="2" t="inlineStr">
        <is>
          <t>IMP01258</t>
        </is>
      </c>
      <c r="B1265" s="2" t="n">
        <v>19</v>
      </c>
      <c r="C1265" s="19" t="n">
        <v>1.0755</v>
      </c>
      <c r="D1265" s="29" t="n">
        <v>0</v>
      </c>
      <c r="E1265" s="2" t="n">
        <v>2</v>
      </c>
      <c r="F1265" s="2" t="n">
        <v>0</v>
      </c>
      <c r="G1265" s="2" t="n">
        <v>0</v>
      </c>
      <c r="H1265" s="30">
        <f>IF(AND(B1265&gt;=5,C1265&lt;&gt;"",C1265&lt;0.8),1,0)</f>
        <v/>
      </c>
      <c r="I1265" s="30">
        <f>IF(AND(B1265&gt;=8,D1265&lt;&gt;"",D1265&gt;=0.25,D1265&lt;=0.75),1,0)</f>
        <v/>
      </c>
      <c r="J1265" s="2" t="n"/>
    </row>
    <row r="1266">
      <c r="A1266" s="2" t="inlineStr">
        <is>
          <t>IMP01259</t>
        </is>
      </c>
      <c r="B1266" s="2" t="n">
        <v>49</v>
      </c>
      <c r="C1266" s="19" t="n">
        <v>0.819</v>
      </c>
      <c r="D1266" s="29" t="n">
        <v>0.3265</v>
      </c>
      <c r="E1266" s="2" t="n">
        <v>2</v>
      </c>
      <c r="F1266" s="2" t="n">
        <v>0</v>
      </c>
      <c r="G1266" s="2" t="n">
        <v>1</v>
      </c>
      <c r="H1266" s="30">
        <f>IF(AND(B1266&gt;=5,C1266&lt;&gt;"",C1266&lt;0.8),1,0)</f>
        <v/>
      </c>
      <c r="I1266" s="30">
        <f>IF(AND(B1266&gt;=8,D1266&lt;&gt;"",D1266&gt;=0.25,D1266&lt;=0.75),1,0)</f>
        <v/>
      </c>
      <c r="J1266" s="2" t="n"/>
    </row>
    <row r="1267">
      <c r="A1267" s="2" t="inlineStr">
        <is>
          <t>IMP01260</t>
        </is>
      </c>
      <c r="B1267" s="2" t="n">
        <v>2</v>
      </c>
      <c r="C1267" s="19" t="n">
        <v>0.8225</v>
      </c>
      <c r="D1267" s="29" t="n">
        <v>0.5</v>
      </c>
      <c r="E1267" s="2" t="n">
        <v>13</v>
      </c>
      <c r="F1267" s="2" t="n">
        <v>0</v>
      </c>
      <c r="G1267" s="2" t="n">
        <v>0</v>
      </c>
      <c r="H1267" s="30">
        <f>IF(AND(B1267&gt;=5,C1267&lt;&gt;"",C1267&lt;0.8),1,0)</f>
        <v/>
      </c>
      <c r="I1267" s="30">
        <f>IF(AND(B1267&gt;=8,D1267&lt;&gt;"",D1267&gt;=0.25,D1267&lt;=0.75),1,0)</f>
        <v/>
      </c>
      <c r="J1267" s="2" t="n"/>
    </row>
    <row r="1268">
      <c r="A1268" s="2" t="inlineStr">
        <is>
          <t>IMP01261</t>
        </is>
      </c>
      <c r="B1268" s="2" t="n">
        <v>2</v>
      </c>
      <c r="C1268" s="19" t="n">
        <v>0.8995</v>
      </c>
      <c r="D1268" s="29" t="n">
        <v>0.5</v>
      </c>
      <c r="E1268" s="2" t="n">
        <v>1</v>
      </c>
      <c r="F1268" s="2" t="n">
        <v>0</v>
      </c>
      <c r="G1268" s="2" t="n">
        <v>0</v>
      </c>
      <c r="H1268" s="30">
        <f>IF(AND(B1268&gt;=5,C1268&lt;&gt;"",C1268&lt;0.8),1,0)</f>
        <v/>
      </c>
      <c r="I1268" s="30">
        <f>IF(AND(B1268&gt;=8,D1268&lt;&gt;"",D1268&gt;=0.25,D1268&lt;=0.75),1,0)</f>
        <v/>
      </c>
      <c r="J1268" s="2" t="n"/>
    </row>
    <row r="1269">
      <c r="A1269" s="2" t="inlineStr">
        <is>
          <t>IMP01262</t>
        </is>
      </c>
      <c r="B1269" s="2" t="n">
        <v>939</v>
      </c>
      <c r="C1269" s="19" t="n">
        <v>0.997</v>
      </c>
      <c r="D1269" s="29" t="n">
        <v>0.0458</v>
      </c>
      <c r="E1269" s="2" t="n">
        <v>1</v>
      </c>
      <c r="F1269" s="2" t="n">
        <v>0</v>
      </c>
      <c r="G1269" s="2" t="n">
        <v>0</v>
      </c>
      <c r="H1269" s="30">
        <f>IF(AND(B1269&gt;=5,C1269&lt;&gt;"",C1269&lt;0.8),1,0)</f>
        <v/>
      </c>
      <c r="I1269" s="30">
        <f>IF(AND(B1269&gt;=8,D1269&lt;&gt;"",D1269&gt;=0.25,D1269&lt;=0.75),1,0)</f>
        <v/>
      </c>
      <c r="J1269" s="2" t="n"/>
    </row>
    <row r="1270">
      <c r="A1270" s="2" t="inlineStr">
        <is>
          <t>IMP01263</t>
        </is>
      </c>
      <c r="B1270" s="2" t="n">
        <v>96</v>
      </c>
      <c r="C1270" s="19" t="n">
        <v>1.0895</v>
      </c>
      <c r="D1270" s="29" t="n">
        <v>0.0104</v>
      </c>
      <c r="E1270" s="2" t="n">
        <v>1</v>
      </c>
      <c r="F1270" s="2" t="n">
        <v>0</v>
      </c>
      <c r="G1270" s="2" t="n">
        <v>0</v>
      </c>
      <c r="H1270" s="30">
        <f>IF(AND(B1270&gt;=5,C1270&lt;&gt;"",C1270&lt;0.8),1,0)</f>
        <v/>
      </c>
      <c r="I1270" s="30">
        <f>IF(AND(B1270&gt;=8,D1270&lt;&gt;"",D1270&gt;=0.25,D1270&lt;=0.75),1,0)</f>
        <v/>
      </c>
      <c r="J1270" s="2" t="n"/>
    </row>
    <row r="1271">
      <c r="A1271" s="2" t="inlineStr">
        <is>
          <t>IMP01264</t>
        </is>
      </c>
      <c r="B1271" s="2" t="n">
        <v>0</v>
      </c>
      <c r="C1271" s="19" t="n"/>
      <c r="D1271" s="29" t="n"/>
      <c r="E1271" s="2" t="n">
        <v>0</v>
      </c>
      <c r="F1271" s="2" t="n">
        <v>0</v>
      </c>
      <c r="G1271" s="2" t="n">
        <v>0</v>
      </c>
      <c r="H1271" s="30">
        <f>IF(AND(B1271&gt;=5,C1271&lt;&gt;"",C1271&lt;0.8),1,0)</f>
        <v/>
      </c>
      <c r="I1271" s="30">
        <f>IF(AND(B1271&gt;=8,D1271&lt;&gt;"",D1271&gt;=0.25,D1271&lt;=0.75),1,0)</f>
        <v/>
      </c>
      <c r="J1271" s="2" t="n"/>
    </row>
    <row r="1272">
      <c r="A1272" s="2" t="inlineStr">
        <is>
          <t>IMP01265</t>
        </is>
      </c>
      <c r="B1272" s="2" t="n">
        <v>3</v>
      </c>
      <c r="C1272" s="19" t="n">
        <v>0.962</v>
      </c>
      <c r="D1272" s="29" t="n">
        <v>0</v>
      </c>
      <c r="E1272" s="2" t="n">
        <v>1</v>
      </c>
      <c r="F1272" s="2" t="n">
        <v>0</v>
      </c>
      <c r="G1272" s="2" t="n">
        <v>0</v>
      </c>
      <c r="H1272" s="30">
        <f>IF(AND(B1272&gt;=5,C1272&lt;&gt;"",C1272&lt;0.8),1,0)</f>
        <v/>
      </c>
      <c r="I1272" s="30">
        <f>IF(AND(B1272&gt;=8,D1272&lt;&gt;"",D1272&gt;=0.25,D1272&lt;=0.75),1,0)</f>
        <v/>
      </c>
      <c r="J1272" s="2" t="n"/>
    </row>
    <row r="1273">
      <c r="A1273" s="2" t="inlineStr">
        <is>
          <t>IMP01266</t>
        </is>
      </c>
      <c r="B1273" s="2" t="n">
        <v>29</v>
      </c>
      <c r="C1273" s="19" t="n">
        <v>1.031</v>
      </c>
      <c r="D1273" s="29" t="n">
        <v>0.0345</v>
      </c>
      <c r="E1273" s="2" t="n">
        <v>2</v>
      </c>
      <c r="F1273" s="2" t="n">
        <v>0</v>
      </c>
      <c r="G1273" s="2" t="n">
        <v>0</v>
      </c>
      <c r="H1273" s="30">
        <f>IF(AND(B1273&gt;=5,C1273&lt;&gt;"",C1273&lt;0.8),1,0)</f>
        <v/>
      </c>
      <c r="I1273" s="30">
        <f>IF(AND(B1273&gt;=8,D1273&lt;&gt;"",D1273&gt;=0.25,D1273&lt;=0.75),1,0)</f>
        <v/>
      </c>
      <c r="J1273" s="2" t="n"/>
    </row>
    <row r="1274">
      <c r="A1274" s="2" t="inlineStr">
        <is>
          <t>IMP01267</t>
        </is>
      </c>
      <c r="B1274" s="2" t="n">
        <v>3</v>
      </c>
      <c r="C1274" s="19" t="n">
        <v>0.714</v>
      </c>
      <c r="D1274" s="29" t="n">
        <v>0.6667</v>
      </c>
      <c r="E1274" s="2" t="n">
        <v>1</v>
      </c>
      <c r="F1274" s="2" t="n">
        <v>0</v>
      </c>
      <c r="G1274" s="2" t="n">
        <v>0</v>
      </c>
      <c r="H1274" s="30">
        <f>IF(AND(B1274&gt;=5,C1274&lt;&gt;"",C1274&lt;0.8),1,0)</f>
        <v/>
      </c>
      <c r="I1274" s="30">
        <f>IF(AND(B1274&gt;=8,D1274&lt;&gt;"",D1274&gt;=0.25,D1274&lt;=0.75),1,0)</f>
        <v/>
      </c>
      <c r="J1274" s="2" t="n"/>
    </row>
    <row r="1275">
      <c r="A1275" s="2" t="inlineStr">
        <is>
          <t>IMP01268</t>
        </is>
      </c>
      <c r="B1275" s="2" t="n">
        <v>2</v>
      </c>
      <c r="C1275" s="19" t="n">
        <v>1.2805</v>
      </c>
      <c r="D1275" s="29" t="n">
        <v>0</v>
      </c>
      <c r="E1275" s="2" t="n">
        <v>1</v>
      </c>
      <c r="F1275" s="2" t="n">
        <v>0</v>
      </c>
      <c r="G1275" s="2" t="n">
        <v>0</v>
      </c>
      <c r="H1275" s="30">
        <f>IF(AND(B1275&gt;=5,C1275&lt;&gt;"",C1275&lt;0.8),1,0)</f>
        <v/>
      </c>
      <c r="I1275" s="30">
        <f>IF(AND(B1275&gt;=8,D1275&lt;&gt;"",D1275&gt;=0.25,D1275&lt;=0.75),1,0)</f>
        <v/>
      </c>
      <c r="J1275" s="2" t="n"/>
    </row>
    <row r="1276">
      <c r="A1276" s="2" t="inlineStr">
        <is>
          <t>IMP01269</t>
        </is>
      </c>
      <c r="B1276" s="2" t="n">
        <v>0</v>
      </c>
      <c r="C1276" s="19" t="n"/>
      <c r="D1276" s="29" t="n"/>
      <c r="E1276" s="2" t="n">
        <v>0</v>
      </c>
      <c r="F1276" s="2" t="n">
        <v>0</v>
      </c>
      <c r="G1276" s="2" t="n">
        <v>0</v>
      </c>
      <c r="H1276" s="30">
        <f>IF(AND(B1276&gt;=5,C1276&lt;&gt;"",C1276&lt;0.8),1,0)</f>
        <v/>
      </c>
      <c r="I1276" s="30">
        <f>IF(AND(B1276&gt;=8,D1276&lt;&gt;"",D1276&gt;=0.25,D1276&lt;=0.75),1,0)</f>
        <v/>
      </c>
      <c r="J1276" s="2" t="n"/>
    </row>
    <row r="1277">
      <c r="A1277" s="2" t="inlineStr">
        <is>
          <t>IMP01270</t>
        </is>
      </c>
      <c r="B1277" s="2" t="n">
        <v>16</v>
      </c>
      <c r="C1277" s="19" t="n">
        <v>1.108</v>
      </c>
      <c r="D1277" s="29" t="n">
        <v>0.125</v>
      </c>
      <c r="E1277" s="2" t="n">
        <v>1</v>
      </c>
      <c r="F1277" s="2" t="n">
        <v>0</v>
      </c>
      <c r="G1277" s="2" t="n">
        <v>0</v>
      </c>
      <c r="H1277" s="30">
        <f>IF(AND(B1277&gt;=5,C1277&lt;&gt;"",C1277&lt;0.8),1,0)</f>
        <v/>
      </c>
      <c r="I1277" s="30">
        <f>IF(AND(B1277&gt;=8,D1277&lt;&gt;"",D1277&gt;=0.25,D1277&lt;=0.75),1,0)</f>
        <v/>
      </c>
      <c r="J1277" s="2" t="n"/>
    </row>
    <row r="1278">
      <c r="A1278" s="2" t="inlineStr">
        <is>
          <t>IMP01271</t>
        </is>
      </c>
      <c r="B1278" s="2" t="n">
        <v>14</v>
      </c>
      <c r="C1278" s="19" t="n">
        <v>1.084</v>
      </c>
      <c r="D1278" s="29" t="n">
        <v>0</v>
      </c>
      <c r="E1278" s="2" t="n">
        <v>2</v>
      </c>
      <c r="F1278" s="2" t="n">
        <v>0</v>
      </c>
      <c r="G1278" s="2" t="n">
        <v>0</v>
      </c>
      <c r="H1278" s="30">
        <f>IF(AND(B1278&gt;=5,C1278&lt;&gt;"",C1278&lt;0.8),1,0)</f>
        <v/>
      </c>
      <c r="I1278" s="30">
        <f>IF(AND(B1278&gt;=8,D1278&lt;&gt;"",D1278&gt;=0.25,D1278&lt;=0.75),1,0)</f>
        <v/>
      </c>
      <c r="J1278" s="2" t="n"/>
    </row>
    <row r="1279">
      <c r="A1279" s="2" t="inlineStr">
        <is>
          <t>IMP01272</t>
        </is>
      </c>
      <c r="B1279" s="2" t="n">
        <v>100</v>
      </c>
      <c r="C1279" s="19" t="n">
        <v>1.009</v>
      </c>
      <c r="D1279" s="29" t="n">
        <v>0</v>
      </c>
      <c r="E1279" s="2" t="n">
        <v>1</v>
      </c>
      <c r="F1279" s="2" t="n">
        <v>0</v>
      </c>
      <c r="G1279" s="2" t="n">
        <v>0</v>
      </c>
      <c r="H1279" s="30">
        <f>IF(AND(B1279&gt;=5,C1279&lt;&gt;"",C1279&lt;0.8),1,0)</f>
        <v/>
      </c>
      <c r="I1279" s="30">
        <f>IF(AND(B1279&gt;=8,D1279&lt;&gt;"",D1279&gt;=0.25,D1279&lt;=0.75),1,0)</f>
        <v/>
      </c>
      <c r="J1279" s="2" t="n"/>
    </row>
    <row r="1280">
      <c r="A1280" s="2" t="inlineStr">
        <is>
          <t>IMP01273</t>
        </is>
      </c>
      <c r="B1280" s="2" t="n">
        <v>76</v>
      </c>
      <c r="C1280" s="19" t="n">
        <v>0.892</v>
      </c>
      <c r="D1280" s="29" t="n">
        <v>0.3684</v>
      </c>
      <c r="E1280" s="2" t="n">
        <v>1</v>
      </c>
      <c r="F1280" s="2" t="n">
        <v>0</v>
      </c>
      <c r="G1280" s="2" t="n">
        <v>1</v>
      </c>
      <c r="H1280" s="30">
        <f>IF(AND(B1280&gt;=5,C1280&lt;&gt;"",C1280&lt;0.8),1,0)</f>
        <v/>
      </c>
      <c r="I1280" s="30">
        <f>IF(AND(B1280&gt;=8,D1280&lt;&gt;"",D1280&gt;=0.25,D1280&lt;=0.75),1,0)</f>
        <v/>
      </c>
      <c r="J1280" s="2" t="n"/>
    </row>
    <row r="1281">
      <c r="A1281" s="2" t="inlineStr">
        <is>
          <t>IMP01274</t>
        </is>
      </c>
      <c r="B1281" s="2" t="n">
        <v>1</v>
      </c>
      <c r="C1281" s="19" t="n">
        <v>1.024</v>
      </c>
      <c r="D1281" s="29" t="n">
        <v>0</v>
      </c>
      <c r="E1281" s="2" t="n">
        <v>1</v>
      </c>
      <c r="F1281" s="2" t="n">
        <v>0</v>
      </c>
      <c r="G1281" s="2" t="n">
        <v>0</v>
      </c>
      <c r="H1281" s="30">
        <f>IF(AND(B1281&gt;=5,C1281&lt;&gt;"",C1281&lt;0.8),1,0)</f>
        <v/>
      </c>
      <c r="I1281" s="30">
        <f>IF(AND(B1281&gt;=8,D1281&lt;&gt;"",D1281&gt;=0.25,D1281&lt;=0.75),1,0)</f>
        <v/>
      </c>
      <c r="J1281" s="2" t="n"/>
    </row>
    <row r="1282">
      <c r="A1282" s="2" t="inlineStr">
        <is>
          <t>IMP01275</t>
        </is>
      </c>
      <c r="B1282" s="2" t="n">
        <v>1</v>
      </c>
      <c r="C1282" s="19" t="n">
        <v>0.916</v>
      </c>
      <c r="D1282" s="29" t="n">
        <v>0</v>
      </c>
      <c r="E1282" s="2" t="n">
        <v>1</v>
      </c>
      <c r="F1282" s="2" t="n">
        <v>0</v>
      </c>
      <c r="G1282" s="2" t="n">
        <v>0</v>
      </c>
      <c r="H1282" s="30">
        <f>IF(AND(B1282&gt;=5,C1282&lt;&gt;"",C1282&lt;0.8),1,0)</f>
        <v/>
      </c>
      <c r="I1282" s="30">
        <f>IF(AND(B1282&gt;=8,D1282&lt;&gt;"",D1282&gt;=0.25,D1282&lt;=0.75),1,0)</f>
        <v/>
      </c>
      <c r="J1282" s="2" t="n"/>
    </row>
    <row r="1283">
      <c r="A1283" s="2" t="inlineStr">
        <is>
          <t>IMP01276</t>
        </is>
      </c>
      <c r="B1283" s="2" t="n">
        <v>104</v>
      </c>
      <c r="C1283" s="19" t="n">
        <v>1.271</v>
      </c>
      <c r="D1283" s="29" t="n">
        <v>0</v>
      </c>
      <c r="E1283" s="2" t="n">
        <v>2</v>
      </c>
      <c r="F1283" s="2" t="n">
        <v>0</v>
      </c>
      <c r="G1283" s="2" t="n">
        <v>0</v>
      </c>
      <c r="H1283" s="30">
        <f>IF(AND(B1283&gt;=5,C1283&lt;&gt;"",C1283&lt;0.8),1,0)</f>
        <v/>
      </c>
      <c r="I1283" s="30">
        <f>IF(AND(B1283&gt;=8,D1283&lt;&gt;"",D1283&gt;=0.25,D1283&lt;=0.75),1,0)</f>
        <v/>
      </c>
      <c r="J1283" s="2" t="n"/>
    </row>
    <row r="1284">
      <c r="A1284" s="2" t="inlineStr">
        <is>
          <t>IMP01277</t>
        </is>
      </c>
      <c r="B1284" s="2" t="n">
        <v>94</v>
      </c>
      <c r="C1284" s="19" t="n">
        <v>0.98</v>
      </c>
      <c r="D1284" s="29" t="n">
        <v>0.383</v>
      </c>
      <c r="E1284" s="2" t="n">
        <v>2</v>
      </c>
      <c r="F1284" s="2" t="n">
        <v>0</v>
      </c>
      <c r="G1284" s="2" t="n">
        <v>1</v>
      </c>
      <c r="H1284" s="30">
        <f>IF(AND(B1284&gt;=5,C1284&lt;&gt;"",C1284&lt;0.8),1,0)</f>
        <v/>
      </c>
      <c r="I1284" s="30">
        <f>IF(AND(B1284&gt;=8,D1284&lt;&gt;"",D1284&gt;=0.25,D1284&lt;=0.75),1,0)</f>
        <v/>
      </c>
      <c r="J1284" s="2" t="n"/>
    </row>
    <row r="1285">
      <c r="A1285" s="2" t="inlineStr">
        <is>
          <t>IMP01278</t>
        </is>
      </c>
      <c r="B1285" s="2" t="n">
        <v>1</v>
      </c>
      <c r="C1285" s="19" t="n">
        <v>0.708</v>
      </c>
      <c r="D1285" s="29" t="n">
        <v>1</v>
      </c>
      <c r="E1285" s="2" t="n">
        <v>1</v>
      </c>
      <c r="F1285" s="2" t="n">
        <v>0</v>
      </c>
      <c r="G1285" s="2" t="n">
        <v>0</v>
      </c>
      <c r="H1285" s="30">
        <f>IF(AND(B1285&gt;=5,C1285&lt;&gt;"",C1285&lt;0.8),1,0)</f>
        <v/>
      </c>
      <c r="I1285" s="30">
        <f>IF(AND(B1285&gt;=8,D1285&lt;&gt;"",D1285&gt;=0.25,D1285&lt;=0.75),1,0)</f>
        <v/>
      </c>
      <c r="J1285" s="2" t="n"/>
    </row>
    <row r="1286">
      <c r="A1286" s="2" t="inlineStr">
        <is>
          <t>IMP01279</t>
        </is>
      </c>
      <c r="B1286" s="2" t="n">
        <v>31</v>
      </c>
      <c r="C1286" s="19" t="n">
        <v>0.849</v>
      </c>
      <c r="D1286" s="29" t="n">
        <v>0.0645</v>
      </c>
      <c r="E1286" s="2" t="n">
        <v>1</v>
      </c>
      <c r="F1286" s="2" t="n">
        <v>0</v>
      </c>
      <c r="G1286" s="2" t="n">
        <v>0</v>
      </c>
      <c r="H1286" s="30">
        <f>IF(AND(B1286&gt;=5,C1286&lt;&gt;"",C1286&lt;0.8),1,0)</f>
        <v/>
      </c>
      <c r="I1286" s="30">
        <f>IF(AND(B1286&gt;=8,D1286&lt;&gt;"",D1286&gt;=0.25,D1286&lt;=0.75),1,0)</f>
        <v/>
      </c>
      <c r="J1286" s="2" t="n"/>
    </row>
    <row r="1287">
      <c r="A1287" s="2" t="inlineStr">
        <is>
          <t>IMP01280</t>
        </is>
      </c>
      <c r="B1287" s="2" t="n">
        <v>31</v>
      </c>
      <c r="C1287" s="19" t="n">
        <v>0.984</v>
      </c>
      <c r="D1287" s="29" t="n">
        <v>0</v>
      </c>
      <c r="E1287" s="2" t="n">
        <v>2</v>
      </c>
      <c r="F1287" s="2" t="n">
        <v>0</v>
      </c>
      <c r="G1287" s="2" t="n">
        <v>0</v>
      </c>
      <c r="H1287" s="30">
        <f>IF(AND(B1287&gt;=5,C1287&lt;&gt;"",C1287&lt;0.8),1,0)</f>
        <v/>
      </c>
      <c r="I1287" s="30">
        <f>IF(AND(B1287&gt;=8,D1287&lt;&gt;"",D1287&gt;=0.25,D1287&lt;=0.75),1,0)</f>
        <v/>
      </c>
      <c r="J1287" s="2" t="n"/>
    </row>
    <row r="1288">
      <c r="A1288" s="2" t="inlineStr">
        <is>
          <t>IMP01281</t>
        </is>
      </c>
      <c r="B1288" s="2" t="n">
        <v>5</v>
      </c>
      <c r="C1288" s="19" t="n">
        <v>0.944</v>
      </c>
      <c r="D1288" s="29" t="n">
        <v>0</v>
      </c>
      <c r="E1288" s="2" t="n">
        <v>2</v>
      </c>
      <c r="F1288" s="2" t="n">
        <v>0</v>
      </c>
      <c r="G1288" s="2" t="n">
        <v>0</v>
      </c>
      <c r="H1288" s="30">
        <f>IF(AND(B1288&gt;=5,C1288&lt;&gt;"",C1288&lt;0.8),1,0)</f>
        <v/>
      </c>
      <c r="I1288" s="30">
        <f>IF(AND(B1288&gt;=8,D1288&lt;&gt;"",D1288&gt;=0.25,D1288&lt;=0.75),1,0)</f>
        <v/>
      </c>
      <c r="J1288" s="2" t="n"/>
    </row>
    <row r="1289">
      <c r="A1289" s="2" t="inlineStr">
        <is>
          <t>IMP01282</t>
        </is>
      </c>
      <c r="B1289" s="2" t="n">
        <v>1</v>
      </c>
      <c r="C1289" s="19" t="n">
        <v>1.124</v>
      </c>
      <c r="D1289" s="29" t="n">
        <v>0</v>
      </c>
      <c r="E1289" s="2" t="n">
        <v>1</v>
      </c>
      <c r="F1289" s="2" t="n">
        <v>0</v>
      </c>
      <c r="G1289" s="2" t="n">
        <v>0</v>
      </c>
      <c r="H1289" s="30">
        <f>IF(AND(B1289&gt;=5,C1289&lt;&gt;"",C1289&lt;0.8),1,0)</f>
        <v/>
      </c>
      <c r="I1289" s="30">
        <f>IF(AND(B1289&gt;=8,D1289&lt;&gt;"",D1289&gt;=0.25,D1289&lt;=0.75),1,0)</f>
        <v/>
      </c>
      <c r="J1289" s="2" t="n"/>
    </row>
    <row r="1290">
      <c r="A1290" s="2" t="inlineStr">
        <is>
          <t>IMP01283</t>
        </is>
      </c>
      <c r="B1290" s="2" t="n">
        <v>529</v>
      </c>
      <c r="C1290" s="19" t="n">
        <v>0.991</v>
      </c>
      <c r="D1290" s="29" t="n">
        <v>0.0359</v>
      </c>
      <c r="E1290" s="2" t="n">
        <v>1</v>
      </c>
      <c r="F1290" s="2" t="n">
        <v>0</v>
      </c>
      <c r="G1290" s="2" t="n">
        <v>0</v>
      </c>
      <c r="H1290" s="30">
        <f>IF(AND(B1290&gt;=5,C1290&lt;&gt;"",C1290&lt;0.8),1,0)</f>
        <v/>
      </c>
      <c r="I1290" s="30">
        <f>IF(AND(B1290&gt;=8,D1290&lt;&gt;"",D1290&gt;=0.25,D1290&lt;=0.75),1,0)</f>
        <v/>
      </c>
      <c r="J1290" s="2" t="n"/>
    </row>
    <row r="1291">
      <c r="A1291" s="2" t="inlineStr">
        <is>
          <t>IMP01284</t>
        </is>
      </c>
      <c r="B1291" s="2" t="n">
        <v>114</v>
      </c>
      <c r="C1291" s="19" t="n">
        <v>0.981</v>
      </c>
      <c r="D1291" s="29" t="n">
        <v>0.0175</v>
      </c>
      <c r="E1291" s="2" t="n">
        <v>1</v>
      </c>
      <c r="F1291" s="2" t="n">
        <v>0</v>
      </c>
      <c r="G1291" s="2" t="n">
        <v>0</v>
      </c>
      <c r="H1291" s="30">
        <f>IF(AND(B1291&gt;=5,C1291&lt;&gt;"",C1291&lt;0.8),1,0)</f>
        <v/>
      </c>
      <c r="I1291" s="30">
        <f>IF(AND(B1291&gt;=8,D1291&lt;&gt;"",D1291&gt;=0.25,D1291&lt;=0.75),1,0)</f>
        <v/>
      </c>
      <c r="J1291" s="2" t="n"/>
    </row>
    <row r="1292">
      <c r="A1292" s="2" t="inlineStr">
        <is>
          <t>IMP01285</t>
        </is>
      </c>
      <c r="B1292" s="2" t="n">
        <v>6</v>
      </c>
      <c r="C1292" s="19" t="n">
        <v>1.0355</v>
      </c>
      <c r="D1292" s="29" t="n">
        <v>0</v>
      </c>
      <c r="E1292" s="2" t="n">
        <v>1</v>
      </c>
      <c r="F1292" s="2" t="n">
        <v>0</v>
      </c>
      <c r="G1292" s="2" t="n">
        <v>0</v>
      </c>
      <c r="H1292" s="30">
        <f>IF(AND(B1292&gt;=5,C1292&lt;&gt;"",C1292&lt;0.8),1,0)</f>
        <v/>
      </c>
      <c r="I1292" s="30">
        <f>IF(AND(B1292&gt;=8,D1292&lt;&gt;"",D1292&gt;=0.25,D1292&lt;=0.75),1,0)</f>
        <v/>
      </c>
      <c r="J1292" s="2" t="n"/>
    </row>
    <row r="1293">
      <c r="A1293" s="2" t="inlineStr">
        <is>
          <t>IMP01286</t>
        </is>
      </c>
      <c r="B1293" s="2" t="n">
        <v>5</v>
      </c>
      <c r="C1293" s="19" t="n">
        <v>0.987</v>
      </c>
      <c r="D1293" s="29" t="n">
        <v>0</v>
      </c>
      <c r="E1293" s="2" t="n">
        <v>1</v>
      </c>
      <c r="F1293" s="2" t="n">
        <v>0</v>
      </c>
      <c r="G1293" s="2" t="n">
        <v>0</v>
      </c>
      <c r="H1293" s="30">
        <f>IF(AND(B1293&gt;=5,C1293&lt;&gt;"",C1293&lt;0.8),1,0)</f>
        <v/>
      </c>
      <c r="I1293" s="30">
        <f>IF(AND(B1293&gt;=8,D1293&lt;&gt;"",D1293&gt;=0.25,D1293&lt;=0.75),1,0)</f>
        <v/>
      </c>
      <c r="J1293" s="2" t="n"/>
    </row>
    <row r="1294">
      <c r="A1294" s="2" t="inlineStr">
        <is>
          <t>IMP01287</t>
        </is>
      </c>
      <c r="B1294" s="2" t="n">
        <v>9</v>
      </c>
      <c r="C1294" s="19" t="n">
        <v>0.8090000000000001</v>
      </c>
      <c r="D1294" s="29" t="n">
        <v>0.2222</v>
      </c>
      <c r="E1294" s="2" t="n">
        <v>1</v>
      </c>
      <c r="F1294" s="2" t="n">
        <v>0</v>
      </c>
      <c r="G1294" s="2" t="n">
        <v>0</v>
      </c>
      <c r="H1294" s="30">
        <f>IF(AND(B1294&gt;=5,C1294&lt;&gt;"",C1294&lt;0.8),1,0)</f>
        <v/>
      </c>
      <c r="I1294" s="30">
        <f>IF(AND(B1294&gt;=8,D1294&lt;&gt;"",D1294&gt;=0.25,D1294&lt;=0.75),1,0)</f>
        <v/>
      </c>
      <c r="J1294" s="2" t="n"/>
    </row>
    <row r="1295">
      <c r="A1295" s="2" t="inlineStr">
        <is>
          <t>IMP01288</t>
        </is>
      </c>
      <c r="B1295" s="2" t="n">
        <v>0</v>
      </c>
      <c r="C1295" s="19" t="n"/>
      <c r="D1295" s="29" t="n"/>
      <c r="E1295" s="2" t="n">
        <v>0</v>
      </c>
      <c r="F1295" s="2" t="n">
        <v>0</v>
      </c>
      <c r="G1295" s="2" t="n">
        <v>0</v>
      </c>
      <c r="H1295" s="30">
        <f>IF(AND(B1295&gt;=5,C1295&lt;&gt;"",C1295&lt;0.8),1,0)</f>
        <v/>
      </c>
      <c r="I1295" s="30">
        <f>IF(AND(B1295&gt;=8,D1295&lt;&gt;"",D1295&gt;=0.25,D1295&lt;=0.75),1,0)</f>
        <v/>
      </c>
      <c r="J1295" s="2" t="n"/>
    </row>
    <row r="1296">
      <c r="A1296" s="2" t="inlineStr">
        <is>
          <t>IMP01289</t>
        </is>
      </c>
      <c r="B1296" s="2" t="n">
        <v>0</v>
      </c>
      <c r="C1296" s="19" t="n"/>
      <c r="D1296" s="29" t="n"/>
      <c r="E1296" s="2" t="n">
        <v>0</v>
      </c>
      <c r="F1296" s="2" t="n">
        <v>0</v>
      </c>
      <c r="G1296" s="2" t="n">
        <v>0</v>
      </c>
      <c r="H1296" s="30">
        <f>IF(AND(B1296&gt;=5,C1296&lt;&gt;"",C1296&lt;0.8),1,0)</f>
        <v/>
      </c>
      <c r="I1296" s="30">
        <f>IF(AND(B1296&gt;=8,D1296&lt;&gt;"",D1296&gt;=0.25,D1296&lt;=0.75),1,0)</f>
        <v/>
      </c>
      <c r="J1296" s="2" t="n"/>
    </row>
    <row r="1297">
      <c r="A1297" s="2" t="inlineStr">
        <is>
          <t>IMP01290</t>
        </is>
      </c>
      <c r="B1297" s="2" t="n">
        <v>58</v>
      </c>
      <c r="C1297" s="19" t="n">
        <v>1.0575</v>
      </c>
      <c r="D1297" s="29" t="n">
        <v>0</v>
      </c>
      <c r="E1297" s="2" t="n">
        <v>1</v>
      </c>
      <c r="F1297" s="2" t="n">
        <v>0</v>
      </c>
      <c r="G1297" s="2" t="n">
        <v>0</v>
      </c>
      <c r="H1297" s="30">
        <f>IF(AND(B1297&gt;=5,C1297&lt;&gt;"",C1297&lt;0.8),1,0)</f>
        <v/>
      </c>
      <c r="I1297" s="30">
        <f>IF(AND(B1297&gt;=8,D1297&lt;&gt;"",D1297&gt;=0.25,D1297&lt;=0.75),1,0)</f>
        <v/>
      </c>
      <c r="J1297" s="2" t="n"/>
    </row>
    <row r="1298">
      <c r="A1298" s="2" t="inlineStr">
        <is>
          <t>IMP01291</t>
        </is>
      </c>
      <c r="B1298" s="2" t="n">
        <v>22</v>
      </c>
      <c r="C1298" s="19" t="n">
        <v>0.992</v>
      </c>
      <c r="D1298" s="29" t="n">
        <v>0.2727</v>
      </c>
      <c r="E1298" s="2" t="n">
        <v>1</v>
      </c>
      <c r="F1298" s="2" t="n">
        <v>0</v>
      </c>
      <c r="G1298" s="2" t="n">
        <v>1</v>
      </c>
      <c r="H1298" s="30">
        <f>IF(AND(B1298&gt;=5,C1298&lt;&gt;"",C1298&lt;0.8),1,0)</f>
        <v/>
      </c>
      <c r="I1298" s="30">
        <f>IF(AND(B1298&gt;=8,D1298&lt;&gt;"",D1298&gt;=0.25,D1298&lt;=0.75),1,0)</f>
        <v/>
      </c>
      <c r="J1298" s="2" t="n"/>
    </row>
    <row r="1299">
      <c r="A1299" s="2" t="inlineStr">
        <is>
          <t>IMP01292</t>
        </is>
      </c>
      <c r="B1299" s="2" t="n">
        <v>1</v>
      </c>
      <c r="C1299" s="19" t="n">
        <v>5.314</v>
      </c>
      <c r="D1299" s="29" t="n">
        <v>0</v>
      </c>
      <c r="E1299" s="2" t="n">
        <v>1</v>
      </c>
      <c r="F1299" s="2" t="n">
        <v>0</v>
      </c>
      <c r="G1299" s="2" t="n">
        <v>0</v>
      </c>
      <c r="H1299" s="30">
        <f>IF(AND(B1299&gt;=5,C1299&lt;&gt;"",C1299&lt;0.8),1,0)</f>
        <v/>
      </c>
      <c r="I1299" s="30">
        <f>IF(AND(B1299&gt;=8,D1299&lt;&gt;"",D1299&gt;=0.25,D1299&lt;=0.75),1,0)</f>
        <v/>
      </c>
      <c r="J1299" s="2" t="n"/>
    </row>
    <row r="1300">
      <c r="A1300" s="2" t="inlineStr">
        <is>
          <t>IMP01293</t>
        </is>
      </c>
      <c r="B1300" s="2" t="n">
        <v>4</v>
      </c>
      <c r="C1300" s="19" t="n">
        <v>1.111</v>
      </c>
      <c r="D1300" s="29" t="n">
        <v>0</v>
      </c>
      <c r="E1300" s="2" t="n">
        <v>1</v>
      </c>
      <c r="F1300" s="2" t="n">
        <v>0</v>
      </c>
      <c r="G1300" s="2" t="n">
        <v>0</v>
      </c>
      <c r="H1300" s="30">
        <f>IF(AND(B1300&gt;=5,C1300&lt;&gt;"",C1300&lt;0.8),1,0)</f>
        <v/>
      </c>
      <c r="I1300" s="30">
        <f>IF(AND(B1300&gt;=8,D1300&lt;&gt;"",D1300&gt;=0.25,D1300&lt;=0.75),1,0)</f>
        <v/>
      </c>
      <c r="J1300" s="2" t="n"/>
    </row>
    <row r="1301">
      <c r="A1301" s="2" t="inlineStr">
        <is>
          <t>IMP01294</t>
        </is>
      </c>
      <c r="B1301" s="2" t="n">
        <v>5</v>
      </c>
      <c r="C1301" s="19" t="n">
        <v>0.833</v>
      </c>
      <c r="D1301" s="29" t="n">
        <v>0.2</v>
      </c>
      <c r="E1301" s="2" t="n">
        <v>1</v>
      </c>
      <c r="F1301" s="2" t="n">
        <v>0</v>
      </c>
      <c r="G1301" s="2" t="n">
        <v>0</v>
      </c>
      <c r="H1301" s="30">
        <f>IF(AND(B1301&gt;=5,C1301&lt;&gt;"",C1301&lt;0.8),1,0)</f>
        <v/>
      </c>
      <c r="I1301" s="30">
        <f>IF(AND(B1301&gt;=8,D1301&lt;&gt;"",D1301&gt;=0.25,D1301&lt;=0.75),1,0)</f>
        <v/>
      </c>
      <c r="J1301" s="2" t="n"/>
    </row>
    <row r="1302">
      <c r="A1302" s="2" t="inlineStr">
        <is>
          <t>IMP01295</t>
        </is>
      </c>
      <c r="B1302" s="2" t="n">
        <v>60</v>
      </c>
      <c r="C1302" s="19" t="n">
        <v>0.988</v>
      </c>
      <c r="D1302" s="29" t="n">
        <v>0.1167</v>
      </c>
      <c r="E1302" s="2" t="n">
        <v>1</v>
      </c>
      <c r="F1302" s="2" t="n">
        <v>0</v>
      </c>
      <c r="G1302" s="2" t="n">
        <v>0</v>
      </c>
      <c r="H1302" s="30">
        <f>IF(AND(B1302&gt;=5,C1302&lt;&gt;"",C1302&lt;0.8),1,0)</f>
        <v/>
      </c>
      <c r="I1302" s="30">
        <f>IF(AND(B1302&gt;=8,D1302&lt;&gt;"",D1302&gt;=0.25,D1302&lt;=0.75),1,0)</f>
        <v/>
      </c>
      <c r="J1302" s="2" t="n"/>
    </row>
    <row r="1303">
      <c r="A1303" s="2" t="inlineStr">
        <is>
          <t>IMP01296</t>
        </is>
      </c>
      <c r="B1303" s="2" t="n">
        <v>135</v>
      </c>
      <c r="C1303" s="19" t="n">
        <v>0.91</v>
      </c>
      <c r="D1303" s="29" t="n">
        <v>0.1037</v>
      </c>
      <c r="E1303" s="2" t="n">
        <v>1</v>
      </c>
      <c r="F1303" s="2" t="n">
        <v>0</v>
      </c>
      <c r="G1303" s="2" t="n">
        <v>0</v>
      </c>
      <c r="H1303" s="30">
        <f>IF(AND(B1303&gt;=5,C1303&lt;&gt;"",C1303&lt;0.8),1,0)</f>
        <v/>
      </c>
      <c r="I1303" s="30">
        <f>IF(AND(B1303&gt;=8,D1303&lt;&gt;"",D1303&gt;=0.25,D1303&lt;=0.75),1,0)</f>
        <v/>
      </c>
      <c r="J1303" s="2" t="n"/>
    </row>
    <row r="1304">
      <c r="A1304" s="2" t="inlineStr">
        <is>
          <t>IMP01297</t>
        </is>
      </c>
      <c r="B1304" s="2" t="n">
        <v>22</v>
      </c>
      <c r="C1304" s="19" t="n">
        <v>1.07</v>
      </c>
      <c r="D1304" s="29" t="n">
        <v>0.0455</v>
      </c>
      <c r="E1304" s="2" t="n">
        <v>2</v>
      </c>
      <c r="F1304" s="2" t="n">
        <v>0</v>
      </c>
      <c r="G1304" s="2" t="n">
        <v>0</v>
      </c>
      <c r="H1304" s="30">
        <f>IF(AND(B1304&gt;=5,C1304&lt;&gt;"",C1304&lt;0.8),1,0)</f>
        <v/>
      </c>
      <c r="I1304" s="30">
        <f>IF(AND(B1304&gt;=8,D1304&lt;&gt;"",D1304&gt;=0.25,D1304&lt;=0.75),1,0)</f>
        <v/>
      </c>
      <c r="J1304" s="2" t="n"/>
    </row>
    <row r="1305">
      <c r="A1305" s="2" t="inlineStr">
        <is>
          <t>IMP01298</t>
        </is>
      </c>
      <c r="B1305" s="2" t="n">
        <v>51</v>
      </c>
      <c r="C1305" s="19" t="n">
        <v>1.243</v>
      </c>
      <c r="D1305" s="29" t="n">
        <v>0.0392</v>
      </c>
      <c r="E1305" s="2" t="n">
        <v>1</v>
      </c>
      <c r="F1305" s="2" t="n">
        <v>0</v>
      </c>
      <c r="G1305" s="2" t="n">
        <v>0</v>
      </c>
      <c r="H1305" s="30">
        <f>IF(AND(B1305&gt;=5,C1305&lt;&gt;"",C1305&lt;0.8),1,0)</f>
        <v/>
      </c>
      <c r="I1305" s="30">
        <f>IF(AND(B1305&gt;=8,D1305&lt;&gt;"",D1305&gt;=0.25,D1305&lt;=0.75),1,0)</f>
        <v/>
      </c>
      <c r="J1305" s="2" t="n"/>
    </row>
    <row r="1306">
      <c r="A1306" s="2" t="inlineStr">
        <is>
          <t>IMP01299</t>
        </is>
      </c>
      <c r="B1306" s="2" t="n">
        <v>1</v>
      </c>
      <c r="C1306" s="19" t="n">
        <v>0.761</v>
      </c>
      <c r="D1306" s="29" t="n">
        <v>0</v>
      </c>
      <c r="E1306" s="2" t="n">
        <v>2</v>
      </c>
      <c r="F1306" s="2" t="n">
        <v>0</v>
      </c>
      <c r="G1306" s="2" t="n">
        <v>0</v>
      </c>
      <c r="H1306" s="30">
        <f>IF(AND(B1306&gt;=5,C1306&lt;&gt;"",C1306&lt;0.8),1,0)</f>
        <v/>
      </c>
      <c r="I1306" s="30">
        <f>IF(AND(B1306&gt;=8,D1306&lt;&gt;"",D1306&gt;=0.25,D1306&lt;=0.75),1,0)</f>
        <v/>
      </c>
      <c r="J1306" s="2" t="n"/>
    </row>
    <row r="1307">
      <c r="A1307" s="2" t="inlineStr">
        <is>
          <t>IMP01300</t>
        </is>
      </c>
      <c r="B1307" s="2" t="n">
        <v>0</v>
      </c>
      <c r="C1307" s="19" t="n"/>
      <c r="D1307" s="29" t="n"/>
      <c r="E1307" s="2" t="n">
        <v>0</v>
      </c>
      <c r="F1307" s="2" t="n">
        <v>0</v>
      </c>
      <c r="G1307" s="2" t="n">
        <v>0</v>
      </c>
      <c r="H1307" s="30">
        <f>IF(AND(B1307&gt;=5,C1307&lt;&gt;"",C1307&lt;0.8),1,0)</f>
        <v/>
      </c>
      <c r="I1307" s="30">
        <f>IF(AND(B1307&gt;=8,D1307&lt;&gt;"",D1307&gt;=0.25,D1307&lt;=0.75),1,0)</f>
        <v/>
      </c>
      <c r="J1307" s="2" t="n"/>
    </row>
    <row r="1308">
      <c r="A1308" s="2" t="inlineStr">
        <is>
          <t>IMP01301</t>
        </is>
      </c>
      <c r="B1308" s="2" t="n">
        <v>28</v>
      </c>
      <c r="C1308" s="19" t="n">
        <v>1.042</v>
      </c>
      <c r="D1308" s="29" t="n">
        <v>0</v>
      </c>
      <c r="E1308" s="2" t="n">
        <v>3</v>
      </c>
      <c r="F1308" s="2" t="n">
        <v>0</v>
      </c>
      <c r="G1308" s="2" t="n">
        <v>0</v>
      </c>
      <c r="H1308" s="30">
        <f>IF(AND(B1308&gt;=5,C1308&lt;&gt;"",C1308&lt;0.8),1,0)</f>
        <v/>
      </c>
      <c r="I1308" s="30">
        <f>IF(AND(B1308&gt;=8,D1308&lt;&gt;"",D1308&gt;=0.25,D1308&lt;=0.75),1,0)</f>
        <v/>
      </c>
      <c r="J1308" s="2" t="n"/>
    </row>
    <row r="1309">
      <c r="A1309" s="2" t="inlineStr">
        <is>
          <t>IMP01302</t>
        </is>
      </c>
      <c r="B1309" s="2" t="n">
        <v>2</v>
      </c>
      <c r="C1309" s="19" t="n">
        <v>1.0855</v>
      </c>
      <c r="D1309" s="29" t="n">
        <v>0</v>
      </c>
      <c r="E1309" s="2" t="n">
        <v>1</v>
      </c>
      <c r="F1309" s="2" t="n">
        <v>0</v>
      </c>
      <c r="G1309" s="2" t="n">
        <v>0</v>
      </c>
      <c r="H1309" s="30">
        <f>IF(AND(B1309&gt;=5,C1309&lt;&gt;"",C1309&lt;0.8),1,0)</f>
        <v/>
      </c>
      <c r="I1309" s="30">
        <f>IF(AND(B1309&gt;=8,D1309&lt;&gt;"",D1309&gt;=0.25,D1309&lt;=0.75),1,0)</f>
        <v/>
      </c>
      <c r="J1309" s="2" t="n"/>
    </row>
    <row r="1310">
      <c r="A1310" s="2" t="inlineStr">
        <is>
          <t>IMP01303</t>
        </is>
      </c>
      <c r="B1310" s="2" t="n">
        <v>36</v>
      </c>
      <c r="C1310" s="19" t="n">
        <v>1.081</v>
      </c>
      <c r="D1310" s="29" t="n">
        <v>0.0278</v>
      </c>
      <c r="E1310" s="2" t="n">
        <v>1</v>
      </c>
      <c r="F1310" s="2" t="n">
        <v>0</v>
      </c>
      <c r="G1310" s="2" t="n">
        <v>0</v>
      </c>
      <c r="H1310" s="30">
        <f>IF(AND(B1310&gt;=5,C1310&lt;&gt;"",C1310&lt;0.8),1,0)</f>
        <v/>
      </c>
      <c r="I1310" s="30">
        <f>IF(AND(B1310&gt;=8,D1310&lt;&gt;"",D1310&gt;=0.25,D1310&lt;=0.75),1,0)</f>
        <v/>
      </c>
      <c r="J1310" s="2" t="n"/>
    </row>
    <row r="1311">
      <c r="A1311" s="2" t="inlineStr">
        <is>
          <t>IMP01304</t>
        </is>
      </c>
      <c r="B1311" s="2" t="n">
        <v>32</v>
      </c>
      <c r="C1311" s="19" t="n">
        <v>1.046</v>
      </c>
      <c r="D1311" s="29" t="n">
        <v>0.0312</v>
      </c>
      <c r="E1311" s="2" t="n">
        <v>1</v>
      </c>
      <c r="F1311" s="2" t="n">
        <v>0</v>
      </c>
      <c r="G1311" s="2" t="n">
        <v>0</v>
      </c>
      <c r="H1311" s="30">
        <f>IF(AND(B1311&gt;=5,C1311&lt;&gt;"",C1311&lt;0.8),1,0)</f>
        <v/>
      </c>
      <c r="I1311" s="30">
        <f>IF(AND(B1311&gt;=8,D1311&lt;&gt;"",D1311&gt;=0.25,D1311&lt;=0.75),1,0)</f>
        <v/>
      </c>
      <c r="J1311" s="2" t="n"/>
    </row>
    <row r="1312">
      <c r="A1312" s="2" t="inlineStr">
        <is>
          <t>IMP01305</t>
        </is>
      </c>
      <c r="B1312" s="2" t="n">
        <v>75</v>
      </c>
      <c r="C1312" s="19" t="n">
        <v>0.912</v>
      </c>
      <c r="D1312" s="29" t="n">
        <v>0.1733</v>
      </c>
      <c r="E1312" s="2" t="n">
        <v>1</v>
      </c>
      <c r="F1312" s="2" t="n">
        <v>0</v>
      </c>
      <c r="G1312" s="2" t="n">
        <v>0</v>
      </c>
      <c r="H1312" s="30">
        <f>IF(AND(B1312&gt;=5,C1312&lt;&gt;"",C1312&lt;0.8),1,0)</f>
        <v/>
      </c>
      <c r="I1312" s="30">
        <f>IF(AND(B1312&gt;=8,D1312&lt;&gt;"",D1312&gt;=0.25,D1312&lt;=0.75),1,0)</f>
        <v/>
      </c>
      <c r="J1312" s="2" t="n"/>
    </row>
    <row r="1313">
      <c r="A1313" s="2" t="inlineStr">
        <is>
          <t>IMP01306</t>
        </is>
      </c>
      <c r="B1313" s="2" t="n">
        <v>54</v>
      </c>
      <c r="C1313" s="19" t="n">
        <v>0.778</v>
      </c>
      <c r="D1313" s="29" t="n">
        <v>0.4815</v>
      </c>
      <c r="E1313" s="2" t="n">
        <v>1</v>
      </c>
      <c r="F1313" s="2" t="n">
        <v>1</v>
      </c>
      <c r="G1313" s="2" t="n">
        <v>1</v>
      </c>
      <c r="H1313" s="30">
        <f>IF(AND(B1313&gt;=5,C1313&lt;&gt;"",C1313&lt;0.8),1,0)</f>
        <v/>
      </c>
      <c r="I1313" s="30">
        <f>IF(AND(B1313&gt;=8,D1313&lt;&gt;"",D1313&gt;=0.25,D1313&lt;=0.75),1,0)</f>
        <v/>
      </c>
      <c r="J1313" s="2" t="n"/>
    </row>
    <row r="1314">
      <c r="A1314" s="2" t="inlineStr">
        <is>
          <t>IMP01307</t>
        </is>
      </c>
      <c r="B1314" s="2" t="n">
        <v>62</v>
      </c>
      <c r="C1314" s="19" t="n">
        <v>1.1475</v>
      </c>
      <c r="D1314" s="29" t="n">
        <v>0.1452</v>
      </c>
      <c r="E1314" s="2" t="n">
        <v>1</v>
      </c>
      <c r="F1314" s="2" t="n">
        <v>0</v>
      </c>
      <c r="G1314" s="2" t="n">
        <v>0</v>
      </c>
      <c r="H1314" s="30">
        <f>IF(AND(B1314&gt;=5,C1314&lt;&gt;"",C1314&lt;0.8),1,0)</f>
        <v/>
      </c>
      <c r="I1314" s="30">
        <f>IF(AND(B1314&gt;=8,D1314&lt;&gt;"",D1314&gt;=0.25,D1314&lt;=0.75),1,0)</f>
        <v/>
      </c>
      <c r="J1314" s="2" t="n"/>
    </row>
    <row r="1315">
      <c r="A1315" s="2" t="inlineStr">
        <is>
          <t>IMP01308</t>
        </is>
      </c>
      <c r="B1315" s="2" t="n">
        <v>30</v>
      </c>
      <c r="C1315" s="19" t="n">
        <v>0.992</v>
      </c>
      <c r="D1315" s="29" t="n">
        <v>0.0667</v>
      </c>
      <c r="E1315" s="2" t="n">
        <v>2</v>
      </c>
      <c r="F1315" s="2" t="n">
        <v>0</v>
      </c>
      <c r="G1315" s="2" t="n">
        <v>0</v>
      </c>
      <c r="H1315" s="30">
        <f>IF(AND(B1315&gt;=5,C1315&lt;&gt;"",C1315&lt;0.8),1,0)</f>
        <v/>
      </c>
      <c r="I1315" s="30">
        <f>IF(AND(B1315&gt;=8,D1315&lt;&gt;"",D1315&gt;=0.25,D1315&lt;=0.75),1,0)</f>
        <v/>
      </c>
      <c r="J1315" s="2" t="n"/>
    </row>
    <row r="1316">
      <c r="A1316" s="2" t="inlineStr">
        <is>
          <t>IMP01309</t>
        </is>
      </c>
      <c r="B1316" s="2" t="n">
        <v>131</v>
      </c>
      <c r="C1316" s="19" t="n">
        <v>0.99</v>
      </c>
      <c r="D1316" s="29" t="n">
        <v>0.0992</v>
      </c>
      <c r="E1316" s="2" t="n">
        <v>2</v>
      </c>
      <c r="F1316" s="2" t="n">
        <v>0</v>
      </c>
      <c r="G1316" s="2" t="n">
        <v>0</v>
      </c>
      <c r="H1316" s="30">
        <f>IF(AND(B1316&gt;=5,C1316&lt;&gt;"",C1316&lt;0.8),1,0)</f>
        <v/>
      </c>
      <c r="I1316" s="30">
        <f>IF(AND(B1316&gt;=8,D1316&lt;&gt;"",D1316&gt;=0.25,D1316&lt;=0.75),1,0)</f>
        <v/>
      </c>
      <c r="J1316" s="2" t="n"/>
    </row>
    <row r="1317">
      <c r="A1317" s="2" t="inlineStr">
        <is>
          <t>IMP01310</t>
        </is>
      </c>
      <c r="B1317" s="2" t="n">
        <v>3354</v>
      </c>
      <c r="C1317" s="19" t="n">
        <v>0.999</v>
      </c>
      <c r="D1317" s="29" t="n">
        <v>0.0179</v>
      </c>
      <c r="E1317" s="2" t="n">
        <v>1</v>
      </c>
      <c r="F1317" s="2" t="n">
        <v>0</v>
      </c>
      <c r="G1317" s="2" t="n">
        <v>0</v>
      </c>
      <c r="H1317" s="30">
        <f>IF(AND(B1317&gt;=5,C1317&lt;&gt;"",C1317&lt;0.8),1,0)</f>
        <v/>
      </c>
      <c r="I1317" s="30">
        <f>IF(AND(B1317&gt;=8,D1317&lt;&gt;"",D1317&gt;=0.25,D1317&lt;=0.75),1,0)</f>
        <v/>
      </c>
      <c r="J1317" s="2" t="n"/>
    </row>
    <row r="1318">
      <c r="A1318" s="2" t="inlineStr">
        <is>
          <t>IMP01311</t>
        </is>
      </c>
      <c r="B1318" s="2" t="n">
        <v>0</v>
      </c>
      <c r="C1318" s="19" t="n"/>
      <c r="D1318" s="29" t="n"/>
      <c r="E1318" s="2" t="n">
        <v>0</v>
      </c>
      <c r="F1318" s="2" t="n">
        <v>0</v>
      </c>
      <c r="G1318" s="2" t="n">
        <v>0</v>
      </c>
      <c r="H1318" s="30">
        <f>IF(AND(B1318&gt;=5,C1318&lt;&gt;"",C1318&lt;0.8),1,0)</f>
        <v/>
      </c>
      <c r="I1318" s="30">
        <f>IF(AND(B1318&gt;=8,D1318&lt;&gt;"",D1318&gt;=0.25,D1318&lt;=0.75),1,0)</f>
        <v/>
      </c>
      <c r="J1318" s="2" t="n"/>
    </row>
    <row r="1319">
      <c r="A1319" s="2" t="inlineStr">
        <is>
          <t>IMP01312</t>
        </is>
      </c>
      <c r="B1319" s="2" t="n">
        <v>1</v>
      </c>
      <c r="C1319" s="19" t="n">
        <v>0.983</v>
      </c>
      <c r="D1319" s="29" t="n">
        <v>0</v>
      </c>
      <c r="E1319" s="2" t="n">
        <v>1</v>
      </c>
      <c r="F1319" s="2" t="n">
        <v>0</v>
      </c>
      <c r="G1319" s="2" t="n">
        <v>0</v>
      </c>
      <c r="H1319" s="30">
        <f>IF(AND(B1319&gt;=5,C1319&lt;&gt;"",C1319&lt;0.8),1,0)</f>
        <v/>
      </c>
      <c r="I1319" s="30">
        <f>IF(AND(B1319&gt;=8,D1319&lt;&gt;"",D1319&gt;=0.25,D1319&lt;=0.75),1,0)</f>
        <v/>
      </c>
      <c r="J1319" s="2" t="n"/>
    </row>
    <row r="1320">
      <c r="A1320" s="2" t="inlineStr">
        <is>
          <t>IMP01313</t>
        </is>
      </c>
      <c r="B1320" s="2" t="n">
        <v>171</v>
      </c>
      <c r="C1320" s="19" t="n">
        <v>1.087</v>
      </c>
      <c r="D1320" s="29" t="n">
        <v>0.0175</v>
      </c>
      <c r="E1320" s="2" t="n">
        <v>1</v>
      </c>
      <c r="F1320" s="2" t="n">
        <v>0</v>
      </c>
      <c r="G1320" s="2" t="n">
        <v>0</v>
      </c>
      <c r="H1320" s="30">
        <f>IF(AND(B1320&gt;=5,C1320&lt;&gt;"",C1320&lt;0.8),1,0)</f>
        <v/>
      </c>
      <c r="I1320" s="30">
        <f>IF(AND(B1320&gt;=8,D1320&lt;&gt;"",D1320&gt;=0.25,D1320&lt;=0.75),1,0)</f>
        <v/>
      </c>
      <c r="J1320" s="2" t="n"/>
    </row>
    <row r="1321">
      <c r="A1321" s="2" t="inlineStr">
        <is>
          <t>IMP01314</t>
        </is>
      </c>
      <c r="B1321" s="2" t="n">
        <v>6</v>
      </c>
      <c r="C1321" s="19" t="n">
        <v>1.1275</v>
      </c>
      <c r="D1321" s="29" t="n">
        <v>0</v>
      </c>
      <c r="E1321" s="2" t="n">
        <v>1</v>
      </c>
      <c r="F1321" s="2" t="n">
        <v>0</v>
      </c>
      <c r="G1321" s="2" t="n">
        <v>0</v>
      </c>
      <c r="H1321" s="30">
        <f>IF(AND(B1321&gt;=5,C1321&lt;&gt;"",C1321&lt;0.8),1,0)</f>
        <v/>
      </c>
      <c r="I1321" s="30">
        <f>IF(AND(B1321&gt;=8,D1321&lt;&gt;"",D1321&gt;=0.25,D1321&lt;=0.75),1,0)</f>
        <v/>
      </c>
      <c r="J1321" s="2" t="n"/>
    </row>
    <row r="1322">
      <c r="A1322" s="2" t="inlineStr">
        <is>
          <t>IMP01315</t>
        </is>
      </c>
      <c r="B1322" s="2" t="n">
        <v>1363</v>
      </c>
      <c r="C1322" s="19" t="n">
        <v>1</v>
      </c>
      <c r="D1322" s="29" t="n">
        <v>0.008800000000000001</v>
      </c>
      <c r="E1322" s="2" t="n">
        <v>1</v>
      </c>
      <c r="F1322" s="2" t="n">
        <v>0</v>
      </c>
      <c r="G1322" s="2" t="n">
        <v>0</v>
      </c>
      <c r="H1322" s="30">
        <f>IF(AND(B1322&gt;=5,C1322&lt;&gt;"",C1322&lt;0.8),1,0)</f>
        <v/>
      </c>
      <c r="I1322" s="30">
        <f>IF(AND(B1322&gt;=8,D1322&lt;&gt;"",D1322&gt;=0.25,D1322&lt;=0.75),1,0)</f>
        <v/>
      </c>
      <c r="J1322" s="2" t="n"/>
    </row>
    <row r="1323">
      <c r="A1323" s="2" t="inlineStr">
        <is>
          <t>IMP01316</t>
        </is>
      </c>
      <c r="B1323" s="2" t="n">
        <v>1</v>
      </c>
      <c r="C1323" s="19" t="n">
        <v>0.466</v>
      </c>
      <c r="D1323" s="29" t="n">
        <v>1</v>
      </c>
      <c r="E1323" s="2" t="n">
        <v>1</v>
      </c>
      <c r="F1323" s="2" t="n">
        <v>0</v>
      </c>
      <c r="G1323" s="2" t="n">
        <v>0</v>
      </c>
      <c r="H1323" s="30">
        <f>IF(AND(B1323&gt;=5,C1323&lt;&gt;"",C1323&lt;0.8),1,0)</f>
        <v/>
      </c>
      <c r="I1323" s="30">
        <f>IF(AND(B1323&gt;=8,D1323&lt;&gt;"",D1323&gt;=0.25,D1323&lt;=0.75),1,0)</f>
        <v/>
      </c>
      <c r="J1323" s="2" t="n"/>
    </row>
    <row r="1324">
      <c r="A1324" s="2" t="inlineStr">
        <is>
          <t>IMP01317</t>
        </is>
      </c>
      <c r="B1324" s="2" t="n">
        <v>2</v>
      </c>
      <c r="C1324" s="19" t="n">
        <v>1.052</v>
      </c>
      <c r="D1324" s="29" t="n">
        <v>0</v>
      </c>
      <c r="E1324" s="2" t="n">
        <v>1</v>
      </c>
      <c r="F1324" s="2" t="n">
        <v>0</v>
      </c>
      <c r="G1324" s="2" t="n">
        <v>0</v>
      </c>
      <c r="H1324" s="30">
        <f>IF(AND(B1324&gt;=5,C1324&lt;&gt;"",C1324&lt;0.8),1,0)</f>
        <v/>
      </c>
      <c r="I1324" s="30">
        <f>IF(AND(B1324&gt;=8,D1324&lt;&gt;"",D1324&gt;=0.25,D1324&lt;=0.75),1,0)</f>
        <v/>
      </c>
      <c r="J1324" s="2" t="n"/>
    </row>
    <row r="1325">
      <c r="A1325" s="2" t="inlineStr">
        <is>
          <t>IMP01318</t>
        </is>
      </c>
      <c r="B1325" s="2" t="n">
        <v>13</v>
      </c>
      <c r="C1325" s="19" t="n">
        <v>0.846</v>
      </c>
      <c r="D1325" s="29" t="n">
        <v>0</v>
      </c>
      <c r="E1325" s="2" t="n">
        <v>2</v>
      </c>
      <c r="F1325" s="2" t="n">
        <v>0</v>
      </c>
      <c r="G1325" s="2" t="n">
        <v>0</v>
      </c>
      <c r="H1325" s="30">
        <f>IF(AND(B1325&gt;=5,C1325&lt;&gt;"",C1325&lt;0.8),1,0)</f>
        <v/>
      </c>
      <c r="I1325" s="30">
        <f>IF(AND(B1325&gt;=8,D1325&lt;&gt;"",D1325&gt;=0.25,D1325&lt;=0.75),1,0)</f>
        <v/>
      </c>
      <c r="J1325" s="2" t="n"/>
    </row>
    <row r="1326">
      <c r="A1326" s="2" t="inlineStr">
        <is>
          <t>IMP01319</t>
        </is>
      </c>
      <c r="B1326" s="2" t="n">
        <v>23</v>
      </c>
      <c r="C1326" s="19" t="n">
        <v>1.44</v>
      </c>
      <c r="D1326" s="29" t="n">
        <v>0</v>
      </c>
      <c r="E1326" s="2" t="n">
        <v>1</v>
      </c>
      <c r="F1326" s="2" t="n">
        <v>0</v>
      </c>
      <c r="G1326" s="2" t="n">
        <v>0</v>
      </c>
      <c r="H1326" s="30">
        <f>IF(AND(B1326&gt;=5,C1326&lt;&gt;"",C1326&lt;0.8),1,0)</f>
        <v/>
      </c>
      <c r="I1326" s="30">
        <f>IF(AND(B1326&gt;=8,D1326&lt;&gt;"",D1326&gt;=0.25,D1326&lt;=0.75),1,0)</f>
        <v/>
      </c>
      <c r="J1326" s="2" t="n"/>
    </row>
    <row r="1327">
      <c r="A1327" s="2" t="inlineStr">
        <is>
          <t>IMP01320</t>
        </is>
      </c>
      <c r="B1327" s="2" t="n">
        <v>68</v>
      </c>
      <c r="C1327" s="19" t="n">
        <v>0.916</v>
      </c>
      <c r="D1327" s="29" t="n">
        <v>0.0735</v>
      </c>
      <c r="E1327" s="2" t="n">
        <v>1</v>
      </c>
      <c r="F1327" s="2" t="n">
        <v>0</v>
      </c>
      <c r="G1327" s="2" t="n">
        <v>0</v>
      </c>
      <c r="H1327" s="30">
        <f>IF(AND(B1327&gt;=5,C1327&lt;&gt;"",C1327&lt;0.8),1,0)</f>
        <v/>
      </c>
      <c r="I1327" s="30">
        <f>IF(AND(B1327&gt;=8,D1327&lt;&gt;"",D1327&gt;=0.25,D1327&lt;=0.75),1,0)</f>
        <v/>
      </c>
      <c r="J1327" s="2" t="n"/>
    </row>
    <row r="1328">
      <c r="A1328" s="2" t="inlineStr">
        <is>
          <t>IMP01321</t>
        </is>
      </c>
      <c r="B1328" s="2" t="n">
        <v>32</v>
      </c>
      <c r="C1328" s="19" t="n">
        <v>1.0405</v>
      </c>
      <c r="D1328" s="29" t="n">
        <v>0.0312</v>
      </c>
      <c r="E1328" s="2" t="n">
        <v>2</v>
      </c>
      <c r="F1328" s="2" t="n">
        <v>0</v>
      </c>
      <c r="G1328" s="2" t="n">
        <v>0</v>
      </c>
      <c r="H1328" s="30">
        <f>IF(AND(B1328&gt;=5,C1328&lt;&gt;"",C1328&lt;0.8),1,0)</f>
        <v/>
      </c>
      <c r="I1328" s="30">
        <f>IF(AND(B1328&gt;=8,D1328&lt;&gt;"",D1328&gt;=0.25,D1328&lt;=0.75),1,0)</f>
        <v/>
      </c>
      <c r="J1328" s="2" t="n"/>
    </row>
    <row r="1329">
      <c r="A1329" s="2" t="inlineStr">
        <is>
          <t>IMP01322</t>
        </is>
      </c>
      <c r="B1329" s="2" t="n">
        <v>0</v>
      </c>
      <c r="C1329" s="19" t="n"/>
      <c r="D1329" s="29" t="n"/>
      <c r="E1329" s="2" t="n">
        <v>0</v>
      </c>
      <c r="F1329" s="2" t="n">
        <v>0</v>
      </c>
      <c r="G1329" s="2" t="n">
        <v>0</v>
      </c>
      <c r="H1329" s="30">
        <f>IF(AND(B1329&gt;=5,C1329&lt;&gt;"",C1329&lt;0.8),1,0)</f>
        <v/>
      </c>
      <c r="I1329" s="30">
        <f>IF(AND(B1329&gt;=8,D1329&lt;&gt;"",D1329&gt;=0.25,D1329&lt;=0.75),1,0)</f>
        <v/>
      </c>
      <c r="J1329" s="2" t="n"/>
    </row>
    <row r="1330">
      <c r="A1330" s="2" t="inlineStr">
        <is>
          <t>IMP01323</t>
        </is>
      </c>
      <c r="B1330" s="2" t="n">
        <v>200</v>
      </c>
      <c r="C1330" s="19" t="n">
        <v>0.992</v>
      </c>
      <c r="D1330" s="29" t="n">
        <v>0.1</v>
      </c>
      <c r="E1330" s="2" t="n">
        <v>1</v>
      </c>
      <c r="F1330" s="2" t="n">
        <v>0</v>
      </c>
      <c r="G1330" s="2" t="n">
        <v>0</v>
      </c>
      <c r="H1330" s="30">
        <f>IF(AND(B1330&gt;=5,C1330&lt;&gt;"",C1330&lt;0.8),1,0)</f>
        <v/>
      </c>
      <c r="I1330" s="30">
        <f>IF(AND(B1330&gt;=8,D1330&lt;&gt;"",D1330&gt;=0.25,D1330&lt;=0.75),1,0)</f>
        <v/>
      </c>
      <c r="J1330" s="2" t="n"/>
    </row>
    <row r="1331">
      <c r="A1331" s="2" t="inlineStr">
        <is>
          <t>IMP01324</t>
        </is>
      </c>
      <c r="B1331" s="2" t="n">
        <v>0</v>
      </c>
      <c r="C1331" s="19" t="n"/>
      <c r="D1331" s="29" t="n"/>
      <c r="E1331" s="2" t="n">
        <v>0</v>
      </c>
      <c r="F1331" s="2" t="n">
        <v>0</v>
      </c>
      <c r="G1331" s="2" t="n">
        <v>0</v>
      </c>
      <c r="H1331" s="30">
        <f>IF(AND(B1331&gt;=5,C1331&lt;&gt;"",C1331&lt;0.8),1,0)</f>
        <v/>
      </c>
      <c r="I1331" s="30">
        <f>IF(AND(B1331&gt;=8,D1331&lt;&gt;"",D1331&gt;=0.25,D1331&lt;=0.75),1,0)</f>
        <v/>
      </c>
      <c r="J1331" s="2" t="n"/>
    </row>
    <row r="1332">
      <c r="A1332" s="2" t="inlineStr">
        <is>
          <t>IMP01325</t>
        </is>
      </c>
      <c r="B1332" s="2" t="n">
        <v>7</v>
      </c>
      <c r="C1332" s="19" t="n">
        <v>0.898</v>
      </c>
      <c r="D1332" s="29" t="n">
        <v>0.1429</v>
      </c>
      <c r="E1332" s="2" t="n">
        <v>1</v>
      </c>
      <c r="F1332" s="2" t="n">
        <v>0</v>
      </c>
      <c r="G1332" s="2" t="n">
        <v>0</v>
      </c>
      <c r="H1332" s="30">
        <f>IF(AND(B1332&gt;=5,C1332&lt;&gt;"",C1332&lt;0.8),1,0)</f>
        <v/>
      </c>
      <c r="I1332" s="30">
        <f>IF(AND(B1332&gt;=8,D1332&lt;&gt;"",D1332&gt;=0.25,D1332&lt;=0.75),1,0)</f>
        <v/>
      </c>
      <c r="J1332" s="2" t="n"/>
    </row>
    <row r="1333">
      <c r="A1333" s="2" t="inlineStr">
        <is>
          <t>IMP01326</t>
        </is>
      </c>
      <c r="B1333" s="2" t="n">
        <v>116</v>
      </c>
      <c r="C1333" s="19" t="n">
        <v>1.0115</v>
      </c>
      <c r="D1333" s="29" t="n">
        <v>0.0517</v>
      </c>
      <c r="E1333" s="2" t="n">
        <v>1</v>
      </c>
      <c r="F1333" s="2" t="n">
        <v>0</v>
      </c>
      <c r="G1333" s="2" t="n">
        <v>0</v>
      </c>
      <c r="H1333" s="30">
        <f>IF(AND(B1333&gt;=5,C1333&lt;&gt;"",C1333&lt;0.8),1,0)</f>
        <v/>
      </c>
      <c r="I1333" s="30">
        <f>IF(AND(B1333&gt;=8,D1333&lt;&gt;"",D1333&gt;=0.25,D1333&lt;=0.75),1,0)</f>
        <v/>
      </c>
      <c r="J1333" s="2" t="n"/>
    </row>
    <row r="1334">
      <c r="A1334" s="2" t="inlineStr">
        <is>
          <t>IMP01327</t>
        </is>
      </c>
      <c r="B1334" s="2" t="n">
        <v>123</v>
      </c>
      <c r="C1334" s="19" t="n">
        <v>0.893</v>
      </c>
      <c r="D1334" s="29" t="n">
        <v>0.1382</v>
      </c>
      <c r="E1334" s="2" t="n">
        <v>1</v>
      </c>
      <c r="F1334" s="2" t="n">
        <v>0</v>
      </c>
      <c r="G1334" s="2" t="n">
        <v>0</v>
      </c>
      <c r="H1334" s="30">
        <f>IF(AND(B1334&gt;=5,C1334&lt;&gt;"",C1334&lt;0.8),1,0)</f>
        <v/>
      </c>
      <c r="I1334" s="30">
        <f>IF(AND(B1334&gt;=8,D1334&lt;&gt;"",D1334&gt;=0.25,D1334&lt;=0.75),1,0)</f>
        <v/>
      </c>
      <c r="J1334" s="2" t="n"/>
    </row>
    <row r="1335">
      <c r="A1335" s="2" t="inlineStr">
        <is>
          <t>IMP01328</t>
        </is>
      </c>
      <c r="B1335" s="2" t="n">
        <v>4</v>
      </c>
      <c r="C1335" s="19" t="n">
        <v>0.9625</v>
      </c>
      <c r="D1335" s="29" t="n">
        <v>0</v>
      </c>
      <c r="E1335" s="2" t="n">
        <v>1</v>
      </c>
      <c r="F1335" s="2" t="n">
        <v>0</v>
      </c>
      <c r="G1335" s="2" t="n">
        <v>0</v>
      </c>
      <c r="H1335" s="30">
        <f>IF(AND(B1335&gt;=5,C1335&lt;&gt;"",C1335&lt;0.8),1,0)</f>
        <v/>
      </c>
      <c r="I1335" s="30">
        <f>IF(AND(B1335&gt;=8,D1335&lt;&gt;"",D1335&gt;=0.25,D1335&lt;=0.75),1,0)</f>
        <v/>
      </c>
      <c r="J1335" s="2" t="n"/>
    </row>
    <row r="1336">
      <c r="A1336" s="2" t="inlineStr">
        <is>
          <t>IMP01329</t>
        </is>
      </c>
      <c r="B1336" s="2" t="n">
        <v>87</v>
      </c>
      <c r="C1336" s="19" t="n">
        <v>1.201</v>
      </c>
      <c r="D1336" s="29" t="n">
        <v>0.0115</v>
      </c>
      <c r="E1336" s="2" t="n">
        <v>2</v>
      </c>
      <c r="F1336" s="2" t="n">
        <v>0</v>
      </c>
      <c r="G1336" s="2" t="n">
        <v>0</v>
      </c>
      <c r="H1336" s="30">
        <f>IF(AND(B1336&gt;=5,C1336&lt;&gt;"",C1336&lt;0.8),1,0)</f>
        <v/>
      </c>
      <c r="I1336" s="30">
        <f>IF(AND(B1336&gt;=8,D1336&lt;&gt;"",D1336&gt;=0.25,D1336&lt;=0.75),1,0)</f>
        <v/>
      </c>
      <c r="J1336" s="2" t="n"/>
    </row>
    <row r="1337">
      <c r="A1337" s="2" t="inlineStr">
        <is>
          <t>IMP01330</t>
        </is>
      </c>
      <c r="B1337" s="2" t="n">
        <v>2</v>
      </c>
      <c r="C1337" s="19" t="n">
        <v>1.067</v>
      </c>
      <c r="D1337" s="29" t="n">
        <v>0</v>
      </c>
      <c r="E1337" s="2" t="n">
        <v>1</v>
      </c>
      <c r="F1337" s="2" t="n">
        <v>0</v>
      </c>
      <c r="G1337" s="2" t="n">
        <v>0</v>
      </c>
      <c r="H1337" s="30">
        <f>IF(AND(B1337&gt;=5,C1337&lt;&gt;"",C1337&lt;0.8),1,0)</f>
        <v/>
      </c>
      <c r="I1337" s="30">
        <f>IF(AND(B1337&gt;=8,D1337&lt;&gt;"",D1337&gt;=0.25,D1337&lt;=0.75),1,0)</f>
        <v/>
      </c>
      <c r="J1337" s="2" t="n"/>
    </row>
    <row r="1338">
      <c r="A1338" s="2" t="inlineStr">
        <is>
          <t>IMP01331</t>
        </is>
      </c>
      <c r="B1338" s="2" t="n">
        <v>722</v>
      </c>
      <c r="C1338" s="19" t="n">
        <v>0.928</v>
      </c>
      <c r="D1338" s="29" t="n">
        <v>0.133</v>
      </c>
      <c r="E1338" s="2" t="n">
        <v>1</v>
      </c>
      <c r="F1338" s="2" t="n">
        <v>0</v>
      </c>
      <c r="G1338" s="2" t="n">
        <v>0</v>
      </c>
      <c r="H1338" s="30">
        <f>IF(AND(B1338&gt;=5,C1338&lt;&gt;"",C1338&lt;0.8),1,0)</f>
        <v/>
      </c>
      <c r="I1338" s="30">
        <f>IF(AND(B1338&gt;=8,D1338&lt;&gt;"",D1338&gt;=0.25,D1338&lt;=0.75),1,0)</f>
        <v/>
      </c>
      <c r="J1338" s="2" t="n"/>
    </row>
    <row r="1339">
      <c r="A1339" s="2" t="inlineStr">
        <is>
          <t>IMP01332</t>
        </is>
      </c>
      <c r="B1339" s="2" t="n">
        <v>46</v>
      </c>
      <c r="C1339" s="19" t="n">
        <v>1.325</v>
      </c>
      <c r="D1339" s="29" t="n">
        <v>0.0217</v>
      </c>
      <c r="E1339" s="2" t="n">
        <v>1</v>
      </c>
      <c r="F1339" s="2" t="n">
        <v>0</v>
      </c>
      <c r="G1339" s="2" t="n">
        <v>0</v>
      </c>
      <c r="H1339" s="30">
        <f>IF(AND(B1339&gt;=5,C1339&lt;&gt;"",C1339&lt;0.8),1,0)</f>
        <v/>
      </c>
      <c r="I1339" s="30">
        <f>IF(AND(B1339&gt;=8,D1339&lt;&gt;"",D1339&gt;=0.25,D1339&lt;=0.75),1,0)</f>
        <v/>
      </c>
      <c r="J1339" s="2" t="n"/>
    </row>
    <row r="1340">
      <c r="A1340" s="2" t="inlineStr">
        <is>
          <t>IMP01333</t>
        </is>
      </c>
      <c r="B1340" s="2" t="n">
        <v>15</v>
      </c>
      <c r="C1340" s="19" t="n">
        <v>0.876</v>
      </c>
      <c r="D1340" s="29" t="n">
        <v>0.1333</v>
      </c>
      <c r="E1340" s="2" t="n">
        <v>1</v>
      </c>
      <c r="F1340" s="2" t="n">
        <v>0</v>
      </c>
      <c r="G1340" s="2" t="n">
        <v>0</v>
      </c>
      <c r="H1340" s="30">
        <f>IF(AND(B1340&gt;=5,C1340&lt;&gt;"",C1340&lt;0.8),1,0)</f>
        <v/>
      </c>
      <c r="I1340" s="30">
        <f>IF(AND(B1340&gt;=8,D1340&lt;&gt;"",D1340&gt;=0.25,D1340&lt;=0.75),1,0)</f>
        <v/>
      </c>
      <c r="J1340" s="2" t="n"/>
    </row>
    <row r="1341">
      <c r="A1341" s="2" t="inlineStr">
        <is>
          <t>IMP01334</t>
        </is>
      </c>
      <c r="B1341" s="2" t="n">
        <v>121</v>
      </c>
      <c r="C1341" s="19" t="n">
        <v>0.986</v>
      </c>
      <c r="D1341" s="29" t="n">
        <v>0.09089999999999999</v>
      </c>
      <c r="E1341" s="2" t="n">
        <v>1</v>
      </c>
      <c r="F1341" s="2" t="n">
        <v>0</v>
      </c>
      <c r="G1341" s="2" t="n">
        <v>0</v>
      </c>
      <c r="H1341" s="30">
        <f>IF(AND(B1341&gt;=5,C1341&lt;&gt;"",C1341&lt;0.8),1,0)</f>
        <v/>
      </c>
      <c r="I1341" s="30">
        <f>IF(AND(B1341&gt;=8,D1341&lt;&gt;"",D1341&gt;=0.25,D1341&lt;=0.75),1,0)</f>
        <v/>
      </c>
      <c r="J1341" s="2" t="n"/>
    </row>
    <row r="1342">
      <c r="A1342" s="2" t="inlineStr">
        <is>
          <t>IMP01335</t>
        </is>
      </c>
      <c r="B1342" s="2" t="n">
        <v>24</v>
      </c>
      <c r="C1342" s="19" t="n">
        <v>0.9675</v>
      </c>
      <c r="D1342" s="29" t="n">
        <v>0.0417</v>
      </c>
      <c r="E1342" s="2" t="n">
        <v>1</v>
      </c>
      <c r="F1342" s="2" t="n">
        <v>0</v>
      </c>
      <c r="G1342" s="2" t="n">
        <v>0</v>
      </c>
      <c r="H1342" s="30">
        <f>IF(AND(B1342&gt;=5,C1342&lt;&gt;"",C1342&lt;0.8),1,0)</f>
        <v/>
      </c>
      <c r="I1342" s="30">
        <f>IF(AND(B1342&gt;=8,D1342&lt;&gt;"",D1342&gt;=0.25,D1342&lt;=0.75),1,0)</f>
        <v/>
      </c>
      <c r="J1342" s="2" t="n"/>
    </row>
    <row r="1343">
      <c r="A1343" s="2" t="inlineStr">
        <is>
          <t>IMP01336</t>
        </is>
      </c>
      <c r="B1343" s="2" t="n">
        <v>27</v>
      </c>
      <c r="C1343" s="19" t="n">
        <v>0.874</v>
      </c>
      <c r="D1343" s="29" t="n">
        <v>0.037</v>
      </c>
      <c r="E1343" s="2" t="n">
        <v>1</v>
      </c>
      <c r="F1343" s="2" t="n">
        <v>0</v>
      </c>
      <c r="G1343" s="2" t="n">
        <v>0</v>
      </c>
      <c r="H1343" s="30">
        <f>IF(AND(B1343&gt;=5,C1343&lt;&gt;"",C1343&lt;0.8),1,0)</f>
        <v/>
      </c>
      <c r="I1343" s="30">
        <f>IF(AND(B1343&gt;=8,D1343&lt;&gt;"",D1343&gt;=0.25,D1343&lt;=0.75),1,0)</f>
        <v/>
      </c>
      <c r="J1343" s="2" t="n"/>
    </row>
    <row r="1344">
      <c r="A1344" s="2" t="inlineStr">
        <is>
          <t>IMP01337</t>
        </is>
      </c>
      <c r="B1344" s="2" t="n">
        <v>0</v>
      </c>
      <c r="C1344" s="19" t="n"/>
      <c r="D1344" s="29" t="n"/>
      <c r="E1344" s="2" t="n">
        <v>0</v>
      </c>
      <c r="F1344" s="2" t="n">
        <v>0</v>
      </c>
      <c r="G1344" s="2" t="n">
        <v>0</v>
      </c>
      <c r="H1344" s="30">
        <f>IF(AND(B1344&gt;=5,C1344&lt;&gt;"",C1344&lt;0.8),1,0)</f>
        <v/>
      </c>
      <c r="I1344" s="30">
        <f>IF(AND(B1344&gt;=8,D1344&lt;&gt;"",D1344&gt;=0.25,D1344&lt;=0.75),1,0)</f>
        <v/>
      </c>
      <c r="J1344" s="2" t="n"/>
    </row>
    <row r="1345">
      <c r="A1345" s="2" t="inlineStr">
        <is>
          <t>IMP01338</t>
        </is>
      </c>
      <c r="B1345" s="2" t="n">
        <v>4</v>
      </c>
      <c r="C1345" s="19" t="n">
        <v>1.0625</v>
      </c>
      <c r="D1345" s="29" t="n">
        <v>0</v>
      </c>
      <c r="E1345" s="2" t="n">
        <v>2</v>
      </c>
      <c r="F1345" s="2" t="n">
        <v>0</v>
      </c>
      <c r="G1345" s="2" t="n">
        <v>0</v>
      </c>
      <c r="H1345" s="30">
        <f>IF(AND(B1345&gt;=5,C1345&lt;&gt;"",C1345&lt;0.8),1,0)</f>
        <v/>
      </c>
      <c r="I1345" s="30">
        <f>IF(AND(B1345&gt;=8,D1345&lt;&gt;"",D1345&gt;=0.25,D1345&lt;=0.75),1,0)</f>
        <v/>
      </c>
      <c r="J1345" s="2" t="n"/>
    </row>
    <row r="1346">
      <c r="A1346" s="2" t="inlineStr">
        <is>
          <t>IMP01339</t>
        </is>
      </c>
      <c r="B1346" s="2" t="n">
        <v>5</v>
      </c>
      <c r="C1346" s="19" t="n">
        <v>0.959</v>
      </c>
      <c r="D1346" s="29" t="n">
        <v>0</v>
      </c>
      <c r="E1346" s="2" t="n">
        <v>1</v>
      </c>
      <c r="F1346" s="2" t="n">
        <v>0</v>
      </c>
      <c r="G1346" s="2" t="n">
        <v>0</v>
      </c>
      <c r="H1346" s="30">
        <f>IF(AND(B1346&gt;=5,C1346&lt;&gt;"",C1346&lt;0.8),1,0)</f>
        <v/>
      </c>
      <c r="I1346" s="30">
        <f>IF(AND(B1346&gt;=8,D1346&lt;&gt;"",D1346&gt;=0.25,D1346&lt;=0.75),1,0)</f>
        <v/>
      </c>
      <c r="J1346" s="2" t="n"/>
    </row>
    <row r="1347">
      <c r="A1347" s="2" t="inlineStr">
        <is>
          <t>IMP01340</t>
        </is>
      </c>
      <c r="B1347" s="2" t="n">
        <v>0</v>
      </c>
      <c r="C1347" s="19" t="n"/>
      <c r="D1347" s="29" t="n"/>
      <c r="E1347" s="2" t="n">
        <v>0</v>
      </c>
      <c r="F1347" s="2" t="n">
        <v>0</v>
      </c>
      <c r="G1347" s="2" t="n">
        <v>0</v>
      </c>
      <c r="H1347" s="30">
        <f>IF(AND(B1347&gt;=5,C1347&lt;&gt;"",C1347&lt;0.8),1,0)</f>
        <v/>
      </c>
      <c r="I1347" s="30">
        <f>IF(AND(B1347&gt;=8,D1347&lt;&gt;"",D1347&gt;=0.25,D1347&lt;=0.75),1,0)</f>
        <v/>
      </c>
      <c r="J1347" s="2" t="n"/>
    </row>
    <row r="1348">
      <c r="A1348" s="2" t="inlineStr">
        <is>
          <t>IMP01341</t>
        </is>
      </c>
      <c r="B1348" s="2" t="n">
        <v>2</v>
      </c>
      <c r="C1348" s="19" t="n">
        <v>1.2345</v>
      </c>
      <c r="D1348" s="29" t="n">
        <v>0</v>
      </c>
      <c r="E1348" s="2" t="n">
        <v>1</v>
      </c>
      <c r="F1348" s="2" t="n">
        <v>0</v>
      </c>
      <c r="G1348" s="2" t="n">
        <v>0</v>
      </c>
      <c r="H1348" s="30">
        <f>IF(AND(B1348&gt;=5,C1348&lt;&gt;"",C1348&lt;0.8),1,0)</f>
        <v/>
      </c>
      <c r="I1348" s="30">
        <f>IF(AND(B1348&gt;=8,D1348&lt;&gt;"",D1348&gt;=0.25,D1348&lt;=0.75),1,0)</f>
        <v/>
      </c>
      <c r="J1348" s="2" t="n"/>
    </row>
    <row r="1349">
      <c r="A1349" s="2" t="inlineStr">
        <is>
          <t>IMP01342</t>
        </is>
      </c>
      <c r="B1349" s="2" t="n">
        <v>29</v>
      </c>
      <c r="C1349" s="19" t="n">
        <v>1.034</v>
      </c>
      <c r="D1349" s="29" t="n">
        <v>0.1724</v>
      </c>
      <c r="E1349" s="2" t="n">
        <v>1</v>
      </c>
      <c r="F1349" s="2" t="n">
        <v>0</v>
      </c>
      <c r="G1349" s="2" t="n">
        <v>0</v>
      </c>
      <c r="H1349" s="30">
        <f>IF(AND(B1349&gt;=5,C1349&lt;&gt;"",C1349&lt;0.8),1,0)</f>
        <v/>
      </c>
      <c r="I1349" s="30">
        <f>IF(AND(B1349&gt;=8,D1349&lt;&gt;"",D1349&gt;=0.25,D1349&lt;=0.75),1,0)</f>
        <v/>
      </c>
      <c r="J1349" s="2" t="n"/>
    </row>
    <row r="1350">
      <c r="A1350" s="2" t="inlineStr">
        <is>
          <t>IMP01343</t>
        </is>
      </c>
      <c r="B1350" s="2" t="n">
        <v>0</v>
      </c>
      <c r="C1350" s="19" t="n"/>
      <c r="D1350" s="29" t="n"/>
      <c r="E1350" s="2" t="n">
        <v>0</v>
      </c>
      <c r="F1350" s="2" t="n">
        <v>0</v>
      </c>
      <c r="G1350" s="2" t="n">
        <v>0</v>
      </c>
      <c r="H1350" s="30">
        <f>IF(AND(B1350&gt;=5,C1350&lt;&gt;"",C1350&lt;0.8),1,0)</f>
        <v/>
      </c>
      <c r="I1350" s="30">
        <f>IF(AND(B1350&gt;=8,D1350&lt;&gt;"",D1350&gt;=0.25,D1350&lt;=0.75),1,0)</f>
        <v/>
      </c>
      <c r="J1350" s="2" t="n"/>
    </row>
    <row r="1351">
      <c r="A1351" s="2" t="inlineStr">
        <is>
          <t>IMP01344</t>
        </is>
      </c>
      <c r="B1351" s="2" t="n">
        <v>73</v>
      </c>
      <c r="C1351" s="19" t="n">
        <v>1</v>
      </c>
      <c r="D1351" s="29" t="n">
        <v>0</v>
      </c>
      <c r="E1351" s="2" t="n">
        <v>1</v>
      </c>
      <c r="F1351" s="2" t="n">
        <v>0</v>
      </c>
      <c r="G1351" s="2" t="n">
        <v>0</v>
      </c>
      <c r="H1351" s="30">
        <f>IF(AND(B1351&gt;=5,C1351&lt;&gt;"",C1351&lt;0.8),1,0)</f>
        <v/>
      </c>
      <c r="I1351" s="30">
        <f>IF(AND(B1351&gt;=8,D1351&lt;&gt;"",D1351&gt;=0.25,D1351&lt;=0.75),1,0)</f>
        <v/>
      </c>
      <c r="J1351" s="2" t="n"/>
    </row>
    <row r="1352">
      <c r="A1352" s="2" t="inlineStr">
        <is>
          <t>IMP01345</t>
        </is>
      </c>
      <c r="B1352" s="2" t="n">
        <v>2</v>
      </c>
      <c r="C1352" s="19" t="n">
        <v>0.9785</v>
      </c>
      <c r="D1352" s="29" t="n">
        <v>0</v>
      </c>
      <c r="E1352" s="2" t="n">
        <v>1</v>
      </c>
      <c r="F1352" s="2" t="n">
        <v>0</v>
      </c>
      <c r="G1352" s="2" t="n">
        <v>0</v>
      </c>
      <c r="H1352" s="30">
        <f>IF(AND(B1352&gt;=5,C1352&lt;&gt;"",C1352&lt;0.8),1,0)</f>
        <v/>
      </c>
      <c r="I1352" s="30">
        <f>IF(AND(B1352&gt;=8,D1352&lt;&gt;"",D1352&gt;=0.25,D1352&lt;=0.75),1,0)</f>
        <v/>
      </c>
      <c r="J1352" s="2" t="n"/>
    </row>
    <row r="1353">
      <c r="A1353" s="2" t="inlineStr">
        <is>
          <t>IMP01346</t>
        </is>
      </c>
      <c r="B1353" s="2" t="n">
        <v>68</v>
      </c>
      <c r="C1353" s="19" t="n">
        <v>1.117</v>
      </c>
      <c r="D1353" s="29" t="n">
        <v>0.0588</v>
      </c>
      <c r="E1353" s="2" t="n">
        <v>2</v>
      </c>
      <c r="F1353" s="2" t="n">
        <v>0</v>
      </c>
      <c r="G1353" s="2" t="n">
        <v>0</v>
      </c>
      <c r="H1353" s="30">
        <f>IF(AND(B1353&gt;=5,C1353&lt;&gt;"",C1353&lt;0.8),1,0)</f>
        <v/>
      </c>
      <c r="I1353" s="30">
        <f>IF(AND(B1353&gt;=8,D1353&lt;&gt;"",D1353&gt;=0.25,D1353&lt;=0.75),1,0)</f>
        <v/>
      </c>
      <c r="J1353" s="2" t="n"/>
    </row>
    <row r="1354">
      <c r="A1354" s="2" t="inlineStr">
        <is>
          <t>IMP01347</t>
        </is>
      </c>
      <c r="B1354" s="2" t="n">
        <v>40</v>
      </c>
      <c r="C1354" s="19" t="n">
        <v>1.3235</v>
      </c>
      <c r="D1354" s="29" t="n">
        <v>0</v>
      </c>
      <c r="E1354" s="2" t="n">
        <v>1</v>
      </c>
      <c r="F1354" s="2" t="n">
        <v>0</v>
      </c>
      <c r="G1354" s="2" t="n">
        <v>0</v>
      </c>
      <c r="H1354" s="30">
        <f>IF(AND(B1354&gt;=5,C1354&lt;&gt;"",C1354&lt;0.8),1,0)</f>
        <v/>
      </c>
      <c r="I1354" s="30">
        <f>IF(AND(B1354&gt;=8,D1354&lt;&gt;"",D1354&gt;=0.25,D1354&lt;=0.75),1,0)</f>
        <v/>
      </c>
      <c r="J1354" s="2" t="n"/>
    </row>
    <row r="1355">
      <c r="A1355" s="2" t="inlineStr">
        <is>
          <t>IMP01348</t>
        </is>
      </c>
      <c r="B1355" s="2" t="n">
        <v>0</v>
      </c>
      <c r="C1355" s="19" t="n"/>
      <c r="D1355" s="29" t="n"/>
      <c r="E1355" s="2" t="n">
        <v>0</v>
      </c>
      <c r="F1355" s="2" t="n">
        <v>0</v>
      </c>
      <c r="G1355" s="2" t="n">
        <v>0</v>
      </c>
      <c r="H1355" s="30">
        <f>IF(AND(B1355&gt;=5,C1355&lt;&gt;"",C1355&lt;0.8),1,0)</f>
        <v/>
      </c>
      <c r="I1355" s="30">
        <f>IF(AND(B1355&gt;=8,D1355&lt;&gt;"",D1355&gt;=0.25,D1355&lt;=0.75),1,0)</f>
        <v/>
      </c>
      <c r="J1355" s="2" t="n"/>
    </row>
    <row r="1356">
      <c r="A1356" s="2" t="inlineStr">
        <is>
          <t>IMP01349</t>
        </is>
      </c>
      <c r="B1356" s="2" t="n">
        <v>41</v>
      </c>
      <c r="C1356" s="19" t="n">
        <v>1.055</v>
      </c>
      <c r="D1356" s="29" t="n">
        <v>0</v>
      </c>
      <c r="E1356" s="2" t="n">
        <v>1</v>
      </c>
      <c r="F1356" s="2" t="n">
        <v>0</v>
      </c>
      <c r="G1356" s="2" t="n">
        <v>0</v>
      </c>
      <c r="H1356" s="30">
        <f>IF(AND(B1356&gt;=5,C1356&lt;&gt;"",C1356&lt;0.8),1,0)</f>
        <v/>
      </c>
      <c r="I1356" s="30">
        <f>IF(AND(B1356&gt;=8,D1356&lt;&gt;"",D1356&gt;=0.25,D1356&lt;=0.75),1,0)</f>
        <v/>
      </c>
      <c r="J1356" s="2" t="n"/>
    </row>
    <row r="1357">
      <c r="A1357" s="2" t="inlineStr">
        <is>
          <t>IMP01350</t>
        </is>
      </c>
      <c r="B1357" s="2" t="n">
        <v>71</v>
      </c>
      <c r="C1357" s="19" t="n">
        <v>1.056</v>
      </c>
      <c r="D1357" s="29" t="n">
        <v>0</v>
      </c>
      <c r="E1357" s="2" t="n">
        <v>1</v>
      </c>
      <c r="F1357" s="2" t="n">
        <v>0</v>
      </c>
      <c r="G1357" s="2" t="n">
        <v>0</v>
      </c>
      <c r="H1357" s="30">
        <f>IF(AND(B1357&gt;=5,C1357&lt;&gt;"",C1357&lt;0.8),1,0)</f>
        <v/>
      </c>
      <c r="I1357" s="30">
        <f>IF(AND(B1357&gt;=8,D1357&lt;&gt;"",D1357&gt;=0.25,D1357&lt;=0.75),1,0)</f>
        <v/>
      </c>
      <c r="J1357" s="2" t="n"/>
    </row>
    <row r="1358">
      <c r="A1358" s="2" t="inlineStr">
        <is>
          <t>IMP01351</t>
        </is>
      </c>
      <c r="B1358" s="2" t="n">
        <v>0</v>
      </c>
      <c r="C1358" s="19" t="n"/>
      <c r="D1358" s="29" t="n"/>
      <c r="E1358" s="2" t="n">
        <v>0</v>
      </c>
      <c r="F1358" s="2" t="n">
        <v>0</v>
      </c>
      <c r="G1358" s="2" t="n">
        <v>0</v>
      </c>
      <c r="H1358" s="30">
        <f>IF(AND(B1358&gt;=5,C1358&lt;&gt;"",C1358&lt;0.8),1,0)</f>
        <v/>
      </c>
      <c r="I1358" s="30">
        <f>IF(AND(B1358&gt;=8,D1358&lt;&gt;"",D1358&gt;=0.25,D1358&lt;=0.75),1,0)</f>
        <v/>
      </c>
      <c r="J1358" s="2" t="n"/>
    </row>
    <row r="1359">
      <c r="A1359" s="2" t="inlineStr">
        <is>
          <t>IMP01352</t>
        </is>
      </c>
      <c r="B1359" s="2" t="n">
        <v>0</v>
      </c>
      <c r="C1359" s="19" t="n"/>
      <c r="D1359" s="29" t="n"/>
      <c r="E1359" s="2" t="n">
        <v>0</v>
      </c>
      <c r="F1359" s="2" t="n">
        <v>0</v>
      </c>
      <c r="G1359" s="2" t="n">
        <v>0</v>
      </c>
      <c r="H1359" s="30">
        <f>IF(AND(B1359&gt;=5,C1359&lt;&gt;"",C1359&lt;0.8),1,0)</f>
        <v/>
      </c>
      <c r="I1359" s="30">
        <f>IF(AND(B1359&gt;=8,D1359&lt;&gt;"",D1359&gt;=0.25,D1359&lt;=0.75),1,0)</f>
        <v/>
      </c>
      <c r="J1359" s="2" t="n"/>
    </row>
    <row r="1360">
      <c r="A1360" s="2" t="inlineStr">
        <is>
          <t>IMP01353</t>
        </is>
      </c>
      <c r="B1360" s="2" t="n">
        <v>0</v>
      </c>
      <c r="C1360" s="19" t="n"/>
      <c r="D1360" s="29" t="n"/>
      <c r="E1360" s="2" t="n">
        <v>0</v>
      </c>
      <c r="F1360" s="2" t="n">
        <v>0</v>
      </c>
      <c r="G1360" s="2" t="n">
        <v>0</v>
      </c>
      <c r="H1360" s="30">
        <f>IF(AND(B1360&gt;=5,C1360&lt;&gt;"",C1360&lt;0.8),1,0)</f>
        <v/>
      </c>
      <c r="I1360" s="30">
        <f>IF(AND(B1360&gt;=8,D1360&lt;&gt;"",D1360&gt;=0.25,D1360&lt;=0.75),1,0)</f>
        <v/>
      </c>
      <c r="J1360" s="2" t="n"/>
    </row>
    <row r="1361">
      <c r="A1361" s="2" t="inlineStr">
        <is>
          <t>IMP01354</t>
        </is>
      </c>
      <c r="B1361" s="2" t="n">
        <v>5</v>
      </c>
      <c r="C1361" s="19" t="n">
        <v>0.931</v>
      </c>
      <c r="D1361" s="29" t="n">
        <v>0.2</v>
      </c>
      <c r="E1361" s="2" t="n">
        <v>1</v>
      </c>
      <c r="F1361" s="2" t="n">
        <v>0</v>
      </c>
      <c r="G1361" s="2" t="n">
        <v>0</v>
      </c>
      <c r="H1361" s="30">
        <f>IF(AND(B1361&gt;=5,C1361&lt;&gt;"",C1361&lt;0.8),1,0)</f>
        <v/>
      </c>
      <c r="I1361" s="30">
        <f>IF(AND(B1361&gt;=8,D1361&lt;&gt;"",D1361&gt;=0.25,D1361&lt;=0.75),1,0)</f>
        <v/>
      </c>
      <c r="J1361" s="2" t="n"/>
    </row>
    <row r="1362">
      <c r="A1362" s="2" t="inlineStr">
        <is>
          <t>IMP01355</t>
        </is>
      </c>
      <c r="B1362" s="2" t="n">
        <v>0</v>
      </c>
      <c r="C1362" s="19" t="n"/>
      <c r="D1362" s="29" t="n"/>
      <c r="E1362" s="2" t="n">
        <v>0</v>
      </c>
      <c r="F1362" s="2" t="n">
        <v>0</v>
      </c>
      <c r="G1362" s="2" t="n">
        <v>0</v>
      </c>
      <c r="H1362" s="30">
        <f>IF(AND(B1362&gt;=5,C1362&lt;&gt;"",C1362&lt;0.8),1,0)</f>
        <v/>
      </c>
      <c r="I1362" s="30">
        <f>IF(AND(B1362&gt;=8,D1362&lt;&gt;"",D1362&gt;=0.25,D1362&lt;=0.75),1,0)</f>
        <v/>
      </c>
      <c r="J1362" s="2" t="n"/>
    </row>
    <row r="1363">
      <c r="A1363" s="2" t="inlineStr">
        <is>
          <t>IMP01356</t>
        </is>
      </c>
      <c r="B1363" s="2" t="n">
        <v>123</v>
      </c>
      <c r="C1363" s="19" t="n">
        <v>0.9</v>
      </c>
      <c r="D1363" s="29" t="n">
        <v>0.1789</v>
      </c>
      <c r="E1363" s="2" t="n">
        <v>2</v>
      </c>
      <c r="F1363" s="2" t="n">
        <v>0</v>
      </c>
      <c r="G1363" s="2" t="n">
        <v>0</v>
      </c>
      <c r="H1363" s="30">
        <f>IF(AND(B1363&gt;=5,C1363&lt;&gt;"",C1363&lt;0.8),1,0)</f>
        <v/>
      </c>
      <c r="I1363" s="30">
        <f>IF(AND(B1363&gt;=8,D1363&lt;&gt;"",D1363&gt;=0.25,D1363&lt;=0.75),1,0)</f>
        <v/>
      </c>
      <c r="J1363" s="2" t="n"/>
    </row>
    <row r="1364">
      <c r="A1364" s="2" t="inlineStr">
        <is>
          <t>IMP01357</t>
        </is>
      </c>
      <c r="B1364" s="2" t="n">
        <v>25</v>
      </c>
      <c r="C1364" s="19" t="n">
        <v>0.97</v>
      </c>
      <c r="D1364" s="29" t="n">
        <v>0.12</v>
      </c>
      <c r="E1364" s="2" t="n">
        <v>1</v>
      </c>
      <c r="F1364" s="2" t="n">
        <v>0</v>
      </c>
      <c r="G1364" s="2" t="n">
        <v>0</v>
      </c>
      <c r="H1364" s="30">
        <f>IF(AND(B1364&gt;=5,C1364&lt;&gt;"",C1364&lt;0.8),1,0)</f>
        <v/>
      </c>
      <c r="I1364" s="30">
        <f>IF(AND(B1364&gt;=8,D1364&lt;&gt;"",D1364&gt;=0.25,D1364&lt;=0.75),1,0)</f>
        <v/>
      </c>
      <c r="J1364" s="2" t="n"/>
    </row>
    <row r="1365">
      <c r="A1365" s="2" t="inlineStr">
        <is>
          <t>IMP01358</t>
        </is>
      </c>
      <c r="B1365" s="2" t="n">
        <v>0</v>
      </c>
      <c r="C1365" s="19" t="n"/>
      <c r="D1365" s="29" t="n"/>
      <c r="E1365" s="2" t="n">
        <v>0</v>
      </c>
      <c r="F1365" s="2" t="n">
        <v>0</v>
      </c>
      <c r="G1365" s="2" t="n">
        <v>0</v>
      </c>
      <c r="H1365" s="30">
        <f>IF(AND(B1365&gt;=5,C1365&lt;&gt;"",C1365&lt;0.8),1,0)</f>
        <v/>
      </c>
      <c r="I1365" s="30">
        <f>IF(AND(B1365&gt;=8,D1365&lt;&gt;"",D1365&gt;=0.25,D1365&lt;=0.75),1,0)</f>
        <v/>
      </c>
      <c r="J1365" s="2" t="n"/>
    </row>
    <row r="1366">
      <c r="A1366" s="2" t="inlineStr">
        <is>
          <t>IMP01359</t>
        </is>
      </c>
      <c r="B1366" s="2" t="n">
        <v>2</v>
      </c>
      <c r="C1366" s="19" t="n">
        <v>0.762</v>
      </c>
      <c r="D1366" s="29" t="n">
        <v>0.5</v>
      </c>
      <c r="E1366" s="2" t="n">
        <v>2</v>
      </c>
      <c r="F1366" s="2" t="n">
        <v>0</v>
      </c>
      <c r="G1366" s="2" t="n">
        <v>0</v>
      </c>
      <c r="H1366" s="30">
        <f>IF(AND(B1366&gt;=5,C1366&lt;&gt;"",C1366&lt;0.8),1,0)</f>
        <v/>
      </c>
      <c r="I1366" s="30">
        <f>IF(AND(B1366&gt;=8,D1366&lt;&gt;"",D1366&gt;=0.25,D1366&lt;=0.75),1,0)</f>
        <v/>
      </c>
      <c r="J1366" s="2" t="n"/>
    </row>
    <row r="1367">
      <c r="A1367" s="2" t="inlineStr">
        <is>
          <t>IMP01360</t>
        </is>
      </c>
      <c r="B1367" s="2" t="n">
        <v>2</v>
      </c>
      <c r="C1367" s="19" t="n">
        <v>2.046</v>
      </c>
      <c r="D1367" s="29" t="n">
        <v>0</v>
      </c>
      <c r="E1367" s="2" t="n">
        <v>2</v>
      </c>
      <c r="F1367" s="2" t="n">
        <v>0</v>
      </c>
      <c r="G1367" s="2" t="n">
        <v>0</v>
      </c>
      <c r="H1367" s="30">
        <f>IF(AND(B1367&gt;=5,C1367&lt;&gt;"",C1367&lt;0.8),1,0)</f>
        <v/>
      </c>
      <c r="I1367" s="30">
        <f>IF(AND(B1367&gt;=8,D1367&lt;&gt;"",D1367&gt;=0.25,D1367&lt;=0.75),1,0)</f>
        <v/>
      </c>
      <c r="J1367" s="2" t="n"/>
    </row>
    <row r="1368">
      <c r="A1368" s="2" t="inlineStr">
        <is>
          <t>IMP01361</t>
        </is>
      </c>
      <c r="B1368" s="2" t="n">
        <v>141</v>
      </c>
      <c r="C1368" s="19" t="n">
        <v>0.944</v>
      </c>
      <c r="D1368" s="29" t="n">
        <v>0.1702</v>
      </c>
      <c r="E1368" s="2" t="n">
        <v>1</v>
      </c>
      <c r="F1368" s="2" t="n">
        <v>0</v>
      </c>
      <c r="G1368" s="2" t="n">
        <v>0</v>
      </c>
      <c r="H1368" s="30">
        <f>IF(AND(B1368&gt;=5,C1368&lt;&gt;"",C1368&lt;0.8),1,0)</f>
        <v/>
      </c>
      <c r="I1368" s="30">
        <f>IF(AND(B1368&gt;=8,D1368&lt;&gt;"",D1368&gt;=0.25,D1368&lt;=0.75),1,0)</f>
        <v/>
      </c>
      <c r="J1368" s="2" t="n"/>
    </row>
    <row r="1369">
      <c r="A1369" s="2" t="inlineStr">
        <is>
          <t>IMP01362</t>
        </is>
      </c>
      <c r="B1369" s="2" t="n">
        <v>2</v>
      </c>
      <c r="C1369" s="19" t="n">
        <v>0.5145</v>
      </c>
      <c r="D1369" s="29" t="n">
        <v>1</v>
      </c>
      <c r="E1369" s="2" t="n">
        <v>1</v>
      </c>
      <c r="F1369" s="2" t="n">
        <v>0</v>
      </c>
      <c r="G1369" s="2" t="n">
        <v>0</v>
      </c>
      <c r="H1369" s="30">
        <f>IF(AND(B1369&gt;=5,C1369&lt;&gt;"",C1369&lt;0.8),1,0)</f>
        <v/>
      </c>
      <c r="I1369" s="30">
        <f>IF(AND(B1369&gt;=8,D1369&lt;&gt;"",D1369&gt;=0.25,D1369&lt;=0.75),1,0)</f>
        <v/>
      </c>
      <c r="J1369" s="2" t="n"/>
    </row>
    <row r="1370">
      <c r="A1370" s="2" t="inlineStr">
        <is>
          <t>IMP01363</t>
        </is>
      </c>
      <c r="B1370" s="2" t="n">
        <v>126</v>
      </c>
      <c r="C1370" s="19" t="n">
        <v>0.997</v>
      </c>
      <c r="D1370" s="29" t="n">
        <v>0.0397</v>
      </c>
      <c r="E1370" s="2" t="n">
        <v>1</v>
      </c>
      <c r="F1370" s="2" t="n">
        <v>0</v>
      </c>
      <c r="G1370" s="2" t="n">
        <v>0</v>
      </c>
      <c r="H1370" s="30">
        <f>IF(AND(B1370&gt;=5,C1370&lt;&gt;"",C1370&lt;0.8),1,0)</f>
        <v/>
      </c>
      <c r="I1370" s="30">
        <f>IF(AND(B1370&gt;=8,D1370&lt;&gt;"",D1370&gt;=0.25,D1370&lt;=0.75),1,0)</f>
        <v/>
      </c>
      <c r="J1370" s="2" t="n"/>
    </row>
    <row r="1371">
      <c r="A1371" s="2" t="inlineStr">
        <is>
          <t>IMP01364</t>
        </is>
      </c>
      <c r="B1371" s="2" t="n">
        <v>72</v>
      </c>
      <c r="C1371" s="19" t="n">
        <v>1.1305</v>
      </c>
      <c r="D1371" s="29" t="n">
        <v>0.0833</v>
      </c>
      <c r="E1371" s="2" t="n">
        <v>2</v>
      </c>
      <c r="F1371" s="2" t="n">
        <v>0</v>
      </c>
      <c r="G1371" s="2" t="n">
        <v>0</v>
      </c>
      <c r="H1371" s="30">
        <f>IF(AND(B1371&gt;=5,C1371&lt;&gt;"",C1371&lt;0.8),1,0)</f>
        <v/>
      </c>
      <c r="I1371" s="30">
        <f>IF(AND(B1371&gt;=8,D1371&lt;&gt;"",D1371&gt;=0.25,D1371&lt;=0.75),1,0)</f>
        <v/>
      </c>
      <c r="J1371" s="2" t="n"/>
    </row>
    <row r="1372">
      <c r="A1372" s="2" t="inlineStr">
        <is>
          <t>IMP01365</t>
        </is>
      </c>
      <c r="B1372" s="2" t="n">
        <v>168</v>
      </c>
      <c r="C1372" s="19" t="n">
        <v>0.892</v>
      </c>
      <c r="D1372" s="29" t="n">
        <v>0.1369</v>
      </c>
      <c r="E1372" s="2" t="n">
        <v>1</v>
      </c>
      <c r="F1372" s="2" t="n">
        <v>0</v>
      </c>
      <c r="G1372" s="2" t="n">
        <v>0</v>
      </c>
      <c r="H1372" s="30">
        <f>IF(AND(B1372&gt;=5,C1372&lt;&gt;"",C1372&lt;0.8),1,0)</f>
        <v/>
      </c>
      <c r="I1372" s="30">
        <f>IF(AND(B1372&gt;=8,D1372&lt;&gt;"",D1372&gt;=0.25,D1372&lt;=0.75),1,0)</f>
        <v/>
      </c>
      <c r="J1372" s="2" t="n"/>
    </row>
    <row r="1373">
      <c r="A1373" s="2" t="inlineStr">
        <is>
          <t>IMP01366</t>
        </is>
      </c>
      <c r="B1373" s="2" t="n">
        <v>19</v>
      </c>
      <c r="C1373" s="19" t="n">
        <v>0.9360000000000001</v>
      </c>
      <c r="D1373" s="29" t="n">
        <v>0.1053</v>
      </c>
      <c r="E1373" s="2" t="n">
        <v>1</v>
      </c>
      <c r="F1373" s="2" t="n">
        <v>0</v>
      </c>
      <c r="G1373" s="2" t="n">
        <v>0</v>
      </c>
      <c r="H1373" s="30">
        <f>IF(AND(B1373&gt;=5,C1373&lt;&gt;"",C1373&lt;0.8),1,0)</f>
        <v/>
      </c>
      <c r="I1373" s="30">
        <f>IF(AND(B1373&gt;=8,D1373&lt;&gt;"",D1373&gt;=0.25,D1373&lt;=0.75),1,0)</f>
        <v/>
      </c>
      <c r="J1373" s="2" t="n"/>
    </row>
    <row r="1374">
      <c r="A1374" s="2" t="inlineStr">
        <is>
          <t>IMP01367</t>
        </is>
      </c>
      <c r="B1374" s="2" t="n">
        <v>3</v>
      </c>
      <c r="C1374" s="19" t="n">
        <v>0.994</v>
      </c>
      <c r="D1374" s="29" t="n">
        <v>0</v>
      </c>
      <c r="E1374" s="2" t="n">
        <v>2</v>
      </c>
      <c r="F1374" s="2" t="n">
        <v>0</v>
      </c>
      <c r="G1374" s="2" t="n">
        <v>0</v>
      </c>
      <c r="H1374" s="30">
        <f>IF(AND(B1374&gt;=5,C1374&lt;&gt;"",C1374&lt;0.8),1,0)</f>
        <v/>
      </c>
      <c r="I1374" s="30">
        <f>IF(AND(B1374&gt;=8,D1374&lt;&gt;"",D1374&gt;=0.25,D1374&lt;=0.75),1,0)</f>
        <v/>
      </c>
      <c r="J1374" s="2" t="n"/>
    </row>
    <row r="1375">
      <c r="A1375" s="2" t="inlineStr">
        <is>
          <t>IMP01368</t>
        </is>
      </c>
      <c r="B1375" s="2" t="n">
        <v>12</v>
      </c>
      <c r="C1375" s="19" t="n">
        <v>1.0235</v>
      </c>
      <c r="D1375" s="29" t="n">
        <v>0.0833</v>
      </c>
      <c r="E1375" s="2" t="n">
        <v>1</v>
      </c>
      <c r="F1375" s="2" t="n">
        <v>0</v>
      </c>
      <c r="G1375" s="2" t="n">
        <v>0</v>
      </c>
      <c r="H1375" s="30">
        <f>IF(AND(B1375&gt;=5,C1375&lt;&gt;"",C1375&lt;0.8),1,0)</f>
        <v/>
      </c>
      <c r="I1375" s="30">
        <f>IF(AND(B1375&gt;=8,D1375&lt;&gt;"",D1375&gt;=0.25,D1375&lt;=0.75),1,0)</f>
        <v/>
      </c>
      <c r="J1375" s="2" t="n"/>
    </row>
    <row r="1376">
      <c r="A1376" s="2" t="inlineStr">
        <is>
          <t>IMP01369</t>
        </is>
      </c>
      <c r="B1376" s="2" t="n">
        <v>6</v>
      </c>
      <c r="C1376" s="19" t="n">
        <v>0.8129999999999999</v>
      </c>
      <c r="D1376" s="29" t="n">
        <v>0.3333</v>
      </c>
      <c r="E1376" s="2" t="n">
        <v>2</v>
      </c>
      <c r="F1376" s="2" t="n">
        <v>0</v>
      </c>
      <c r="G1376" s="2" t="n">
        <v>0</v>
      </c>
      <c r="H1376" s="30">
        <f>IF(AND(B1376&gt;=5,C1376&lt;&gt;"",C1376&lt;0.8),1,0)</f>
        <v/>
      </c>
      <c r="I1376" s="30">
        <f>IF(AND(B1376&gt;=8,D1376&lt;&gt;"",D1376&gt;=0.25,D1376&lt;=0.75),1,0)</f>
        <v/>
      </c>
      <c r="J1376" s="2" t="n"/>
    </row>
    <row r="1377">
      <c r="A1377" s="2" t="inlineStr">
        <is>
          <t>IMP01370</t>
        </is>
      </c>
      <c r="B1377" s="2" t="n">
        <v>141</v>
      </c>
      <c r="C1377" s="19" t="n">
        <v>0.969</v>
      </c>
      <c r="D1377" s="29" t="n">
        <v>0.0638</v>
      </c>
      <c r="E1377" s="2" t="n">
        <v>1</v>
      </c>
      <c r="F1377" s="2" t="n">
        <v>0</v>
      </c>
      <c r="G1377" s="2" t="n">
        <v>0</v>
      </c>
      <c r="H1377" s="30">
        <f>IF(AND(B1377&gt;=5,C1377&lt;&gt;"",C1377&lt;0.8),1,0)</f>
        <v/>
      </c>
      <c r="I1377" s="30">
        <f>IF(AND(B1377&gt;=8,D1377&lt;&gt;"",D1377&gt;=0.25,D1377&lt;=0.75),1,0)</f>
        <v/>
      </c>
      <c r="J1377" s="2" t="n"/>
    </row>
    <row r="1378">
      <c r="A1378" s="2" t="inlineStr">
        <is>
          <t>IMP01371</t>
        </is>
      </c>
      <c r="B1378" s="2" t="n">
        <v>7</v>
      </c>
      <c r="C1378" s="19" t="n">
        <v>1.027</v>
      </c>
      <c r="D1378" s="29" t="n">
        <v>0</v>
      </c>
      <c r="E1378" s="2" t="n">
        <v>1</v>
      </c>
      <c r="F1378" s="2" t="n">
        <v>0</v>
      </c>
      <c r="G1378" s="2" t="n">
        <v>0</v>
      </c>
      <c r="H1378" s="30">
        <f>IF(AND(B1378&gt;=5,C1378&lt;&gt;"",C1378&lt;0.8),1,0)</f>
        <v/>
      </c>
      <c r="I1378" s="30">
        <f>IF(AND(B1378&gt;=8,D1378&lt;&gt;"",D1378&gt;=0.25,D1378&lt;=0.75),1,0)</f>
        <v/>
      </c>
      <c r="J1378" s="2" t="n"/>
    </row>
    <row r="1379">
      <c r="A1379" s="2" t="inlineStr">
        <is>
          <t>IMP01372</t>
        </is>
      </c>
      <c r="B1379" s="2" t="n">
        <v>3</v>
      </c>
      <c r="C1379" s="19" t="n">
        <v>0.858</v>
      </c>
      <c r="D1379" s="29" t="n">
        <v>0</v>
      </c>
      <c r="E1379" s="2" t="n">
        <v>1</v>
      </c>
      <c r="F1379" s="2" t="n">
        <v>0</v>
      </c>
      <c r="G1379" s="2" t="n">
        <v>0</v>
      </c>
      <c r="H1379" s="30">
        <f>IF(AND(B1379&gt;=5,C1379&lt;&gt;"",C1379&lt;0.8),1,0)</f>
        <v/>
      </c>
      <c r="I1379" s="30">
        <f>IF(AND(B1379&gt;=8,D1379&lt;&gt;"",D1379&gt;=0.25,D1379&lt;=0.75),1,0)</f>
        <v/>
      </c>
      <c r="J1379" s="2" t="n"/>
    </row>
    <row r="1380">
      <c r="A1380" s="2" t="inlineStr">
        <is>
          <t>IMP01373</t>
        </is>
      </c>
      <c r="B1380" s="2" t="n">
        <v>35</v>
      </c>
      <c r="C1380" s="19" t="n">
        <v>0.909</v>
      </c>
      <c r="D1380" s="29" t="n">
        <v>0.0286</v>
      </c>
      <c r="E1380" s="2" t="n">
        <v>2</v>
      </c>
      <c r="F1380" s="2" t="n">
        <v>0</v>
      </c>
      <c r="G1380" s="2" t="n">
        <v>0</v>
      </c>
      <c r="H1380" s="30">
        <f>IF(AND(B1380&gt;=5,C1380&lt;&gt;"",C1380&lt;0.8),1,0)</f>
        <v/>
      </c>
      <c r="I1380" s="30">
        <f>IF(AND(B1380&gt;=8,D1380&lt;&gt;"",D1380&gt;=0.25,D1380&lt;=0.75),1,0)</f>
        <v/>
      </c>
      <c r="J1380" s="2" t="n"/>
    </row>
    <row r="1381">
      <c r="A1381" s="2" t="inlineStr">
        <is>
          <t>IMP01374</t>
        </is>
      </c>
      <c r="B1381" s="2" t="n">
        <v>1</v>
      </c>
      <c r="C1381" s="19" t="n">
        <v>1.306</v>
      </c>
      <c r="D1381" s="29" t="n">
        <v>0</v>
      </c>
      <c r="E1381" s="2" t="n">
        <v>1</v>
      </c>
      <c r="F1381" s="2" t="n">
        <v>0</v>
      </c>
      <c r="G1381" s="2" t="n">
        <v>0</v>
      </c>
      <c r="H1381" s="30">
        <f>IF(AND(B1381&gt;=5,C1381&lt;&gt;"",C1381&lt;0.8),1,0)</f>
        <v/>
      </c>
      <c r="I1381" s="30">
        <f>IF(AND(B1381&gt;=8,D1381&lt;&gt;"",D1381&gt;=0.25,D1381&lt;=0.75),1,0)</f>
        <v/>
      </c>
      <c r="J1381" s="2" t="n"/>
    </row>
    <row r="1382">
      <c r="A1382" s="2" t="inlineStr">
        <is>
          <t>IMP01375</t>
        </is>
      </c>
      <c r="B1382" s="2" t="n">
        <v>25</v>
      </c>
      <c r="C1382" s="19" t="n">
        <v>0.975</v>
      </c>
      <c r="D1382" s="29" t="n">
        <v>0.04</v>
      </c>
      <c r="E1382" s="2" t="n">
        <v>1</v>
      </c>
      <c r="F1382" s="2" t="n">
        <v>0</v>
      </c>
      <c r="G1382" s="2" t="n">
        <v>0</v>
      </c>
      <c r="H1382" s="30">
        <f>IF(AND(B1382&gt;=5,C1382&lt;&gt;"",C1382&lt;0.8),1,0)</f>
        <v/>
      </c>
      <c r="I1382" s="30">
        <f>IF(AND(B1382&gt;=8,D1382&lt;&gt;"",D1382&gt;=0.25,D1382&lt;=0.75),1,0)</f>
        <v/>
      </c>
      <c r="J1382" s="2" t="n"/>
    </row>
    <row r="1383">
      <c r="A1383" s="2" t="inlineStr">
        <is>
          <t>IMP01376</t>
        </is>
      </c>
      <c r="B1383" s="2" t="n">
        <v>19</v>
      </c>
      <c r="C1383" s="19" t="n">
        <v>1.223</v>
      </c>
      <c r="D1383" s="29" t="n">
        <v>0</v>
      </c>
      <c r="E1383" s="2" t="n">
        <v>1</v>
      </c>
      <c r="F1383" s="2" t="n">
        <v>0</v>
      </c>
      <c r="G1383" s="2" t="n">
        <v>0</v>
      </c>
      <c r="H1383" s="30">
        <f>IF(AND(B1383&gt;=5,C1383&lt;&gt;"",C1383&lt;0.8),1,0)</f>
        <v/>
      </c>
      <c r="I1383" s="30">
        <f>IF(AND(B1383&gt;=8,D1383&lt;&gt;"",D1383&gt;=0.25,D1383&lt;=0.75),1,0)</f>
        <v/>
      </c>
      <c r="J1383" s="2" t="n"/>
    </row>
    <row r="1384">
      <c r="A1384" s="2" t="inlineStr">
        <is>
          <t>IMP01377</t>
        </is>
      </c>
      <c r="B1384" s="2" t="n">
        <v>15</v>
      </c>
      <c r="C1384" s="19" t="n">
        <v>1.3995</v>
      </c>
      <c r="D1384" s="29" t="n">
        <v>0</v>
      </c>
      <c r="E1384" s="2" t="n">
        <v>1</v>
      </c>
      <c r="F1384" s="2" t="n">
        <v>0</v>
      </c>
      <c r="G1384" s="2" t="n">
        <v>0</v>
      </c>
      <c r="H1384" s="30">
        <f>IF(AND(B1384&gt;=5,C1384&lt;&gt;"",C1384&lt;0.8),1,0)</f>
        <v/>
      </c>
      <c r="I1384" s="30">
        <f>IF(AND(B1384&gt;=8,D1384&lt;&gt;"",D1384&gt;=0.25,D1384&lt;=0.75),1,0)</f>
        <v/>
      </c>
      <c r="J1384" s="2" t="n"/>
    </row>
    <row r="1385">
      <c r="A1385" s="2" t="inlineStr">
        <is>
          <t>IMP01378</t>
        </is>
      </c>
      <c r="B1385" s="2" t="n">
        <v>1</v>
      </c>
      <c r="C1385" s="19" t="n">
        <v>1.08</v>
      </c>
      <c r="D1385" s="29" t="n">
        <v>0</v>
      </c>
      <c r="E1385" s="2" t="n">
        <v>1</v>
      </c>
      <c r="F1385" s="2" t="n">
        <v>0</v>
      </c>
      <c r="G1385" s="2" t="n">
        <v>0</v>
      </c>
      <c r="H1385" s="30">
        <f>IF(AND(B1385&gt;=5,C1385&lt;&gt;"",C1385&lt;0.8),1,0)</f>
        <v/>
      </c>
      <c r="I1385" s="30">
        <f>IF(AND(B1385&gt;=8,D1385&lt;&gt;"",D1385&gt;=0.25,D1385&lt;=0.75),1,0)</f>
        <v/>
      </c>
      <c r="J1385" s="2" t="n"/>
    </row>
    <row r="1386">
      <c r="A1386" s="2" t="inlineStr">
        <is>
          <t>IMP01379</t>
        </is>
      </c>
      <c r="B1386" s="2" t="n">
        <v>476</v>
      </c>
      <c r="C1386" s="19" t="n">
        <v>1.0235</v>
      </c>
      <c r="D1386" s="29" t="n">
        <v>0.0126</v>
      </c>
      <c r="E1386" s="2" t="n">
        <v>1</v>
      </c>
      <c r="F1386" s="2" t="n">
        <v>0</v>
      </c>
      <c r="G1386" s="2" t="n">
        <v>0</v>
      </c>
      <c r="H1386" s="30">
        <f>IF(AND(B1386&gt;=5,C1386&lt;&gt;"",C1386&lt;0.8),1,0)</f>
        <v/>
      </c>
      <c r="I1386" s="30">
        <f>IF(AND(B1386&gt;=8,D1386&lt;&gt;"",D1386&gt;=0.25,D1386&lt;=0.75),1,0)</f>
        <v/>
      </c>
      <c r="J1386" s="2" t="n"/>
    </row>
    <row r="1387">
      <c r="A1387" s="2" t="inlineStr">
        <is>
          <t>IMP01380</t>
        </is>
      </c>
      <c r="B1387" s="2" t="n">
        <v>81</v>
      </c>
      <c r="C1387" s="19" t="n">
        <v>0.861</v>
      </c>
      <c r="D1387" s="29" t="n">
        <v>0.2469</v>
      </c>
      <c r="E1387" s="2" t="n">
        <v>1</v>
      </c>
      <c r="F1387" s="2" t="n">
        <v>0</v>
      </c>
      <c r="G1387" s="2" t="n">
        <v>0</v>
      </c>
      <c r="H1387" s="30">
        <f>IF(AND(B1387&gt;=5,C1387&lt;&gt;"",C1387&lt;0.8),1,0)</f>
        <v/>
      </c>
      <c r="I1387" s="30">
        <f>IF(AND(B1387&gt;=8,D1387&lt;&gt;"",D1387&gt;=0.25,D1387&lt;=0.75),1,0)</f>
        <v/>
      </c>
      <c r="J1387" s="2" t="n"/>
    </row>
    <row r="1388">
      <c r="A1388" s="2" t="inlineStr">
        <is>
          <t>IMP01381</t>
        </is>
      </c>
      <c r="B1388" s="2" t="n">
        <v>52</v>
      </c>
      <c r="C1388" s="19" t="n">
        <v>1.369</v>
      </c>
      <c r="D1388" s="29" t="n">
        <v>0.0385</v>
      </c>
      <c r="E1388" s="2" t="n">
        <v>2</v>
      </c>
      <c r="F1388" s="2" t="n">
        <v>0</v>
      </c>
      <c r="G1388" s="2" t="n">
        <v>0</v>
      </c>
      <c r="H1388" s="30">
        <f>IF(AND(B1388&gt;=5,C1388&lt;&gt;"",C1388&lt;0.8),1,0)</f>
        <v/>
      </c>
      <c r="I1388" s="30">
        <f>IF(AND(B1388&gt;=8,D1388&lt;&gt;"",D1388&gt;=0.25,D1388&lt;=0.75),1,0)</f>
        <v/>
      </c>
      <c r="J1388" s="2" t="n"/>
    </row>
    <row r="1389">
      <c r="A1389" s="2" t="inlineStr">
        <is>
          <t>IMP01382</t>
        </is>
      </c>
      <c r="B1389" s="2" t="n">
        <v>1</v>
      </c>
      <c r="C1389" s="19" t="n">
        <v>1.042</v>
      </c>
      <c r="D1389" s="29" t="n">
        <v>0</v>
      </c>
      <c r="E1389" s="2" t="n">
        <v>2</v>
      </c>
      <c r="F1389" s="2" t="n">
        <v>0</v>
      </c>
      <c r="G1389" s="2" t="n">
        <v>0</v>
      </c>
      <c r="H1389" s="30">
        <f>IF(AND(B1389&gt;=5,C1389&lt;&gt;"",C1389&lt;0.8),1,0)</f>
        <v/>
      </c>
      <c r="I1389" s="30">
        <f>IF(AND(B1389&gt;=8,D1389&lt;&gt;"",D1389&gt;=0.25,D1389&lt;=0.75),1,0)</f>
        <v/>
      </c>
      <c r="J1389" s="2" t="n"/>
    </row>
    <row r="1390">
      <c r="A1390" s="2" t="inlineStr">
        <is>
          <t>IMP01383</t>
        </is>
      </c>
      <c r="B1390" s="2" t="n">
        <v>0</v>
      </c>
      <c r="C1390" s="19" t="n"/>
      <c r="D1390" s="29" t="n"/>
      <c r="E1390" s="2" t="n">
        <v>0</v>
      </c>
      <c r="F1390" s="2" t="n">
        <v>0</v>
      </c>
      <c r="G1390" s="2" t="n">
        <v>0</v>
      </c>
      <c r="H1390" s="30">
        <f>IF(AND(B1390&gt;=5,C1390&lt;&gt;"",C1390&lt;0.8),1,0)</f>
        <v/>
      </c>
      <c r="I1390" s="30">
        <f>IF(AND(B1390&gt;=8,D1390&lt;&gt;"",D1390&gt;=0.25,D1390&lt;=0.75),1,0)</f>
        <v/>
      </c>
      <c r="J1390" s="2" t="n"/>
    </row>
    <row r="1391">
      <c r="A1391" s="2" t="inlineStr">
        <is>
          <t>IMP01384</t>
        </is>
      </c>
      <c r="B1391" s="2" t="n">
        <v>17</v>
      </c>
      <c r="C1391" s="19" t="n">
        <v>0.722</v>
      </c>
      <c r="D1391" s="29" t="n">
        <v>0.5294</v>
      </c>
      <c r="E1391" s="2" t="n">
        <v>3</v>
      </c>
      <c r="F1391" s="2" t="n">
        <v>1</v>
      </c>
      <c r="G1391" s="2" t="n">
        <v>1</v>
      </c>
      <c r="H1391" s="30">
        <f>IF(AND(B1391&gt;=5,C1391&lt;&gt;"",C1391&lt;0.8),1,0)</f>
        <v/>
      </c>
      <c r="I1391" s="30">
        <f>IF(AND(B1391&gt;=8,D1391&lt;&gt;"",D1391&gt;=0.25,D1391&lt;=0.75),1,0)</f>
        <v/>
      </c>
      <c r="J1391" s="2" t="n"/>
    </row>
    <row r="1392">
      <c r="A1392" s="2" t="inlineStr">
        <is>
          <t>IMP01385</t>
        </is>
      </c>
      <c r="B1392" s="2" t="n">
        <v>2</v>
      </c>
      <c r="C1392" s="19" t="n">
        <v>0.981</v>
      </c>
      <c r="D1392" s="29" t="n">
        <v>0</v>
      </c>
      <c r="E1392" s="2" t="n">
        <v>3</v>
      </c>
      <c r="F1392" s="2" t="n">
        <v>0</v>
      </c>
      <c r="G1392" s="2" t="n">
        <v>0</v>
      </c>
      <c r="H1392" s="30">
        <f>IF(AND(B1392&gt;=5,C1392&lt;&gt;"",C1392&lt;0.8),1,0)</f>
        <v/>
      </c>
      <c r="I1392" s="30">
        <f>IF(AND(B1392&gt;=8,D1392&lt;&gt;"",D1392&gt;=0.25,D1392&lt;=0.75),1,0)</f>
        <v/>
      </c>
      <c r="J1392" s="2" t="n"/>
    </row>
    <row r="1393">
      <c r="A1393" s="2" t="inlineStr">
        <is>
          <t>IMP01386</t>
        </is>
      </c>
      <c r="B1393" s="2" t="n">
        <v>3</v>
      </c>
      <c r="C1393" s="19" t="n">
        <v>1.682</v>
      </c>
      <c r="D1393" s="29" t="n">
        <v>0</v>
      </c>
      <c r="E1393" s="2" t="n">
        <v>1</v>
      </c>
      <c r="F1393" s="2" t="n">
        <v>0</v>
      </c>
      <c r="G1393" s="2" t="n">
        <v>0</v>
      </c>
      <c r="H1393" s="30">
        <f>IF(AND(B1393&gt;=5,C1393&lt;&gt;"",C1393&lt;0.8),1,0)</f>
        <v/>
      </c>
      <c r="I1393" s="30">
        <f>IF(AND(B1393&gt;=8,D1393&lt;&gt;"",D1393&gt;=0.25,D1393&lt;=0.75),1,0)</f>
        <v/>
      </c>
      <c r="J1393" s="2" t="n"/>
    </row>
    <row r="1394">
      <c r="A1394" s="2" t="inlineStr">
        <is>
          <t>IMP01387</t>
        </is>
      </c>
      <c r="B1394" s="2" t="n">
        <v>202</v>
      </c>
      <c r="C1394" s="19" t="n">
        <v>0.9115</v>
      </c>
      <c r="D1394" s="29" t="n">
        <v>0.1931</v>
      </c>
      <c r="E1394" s="2" t="n">
        <v>1</v>
      </c>
      <c r="F1394" s="2" t="n">
        <v>0</v>
      </c>
      <c r="G1394" s="2" t="n">
        <v>0</v>
      </c>
      <c r="H1394" s="30">
        <f>IF(AND(B1394&gt;=5,C1394&lt;&gt;"",C1394&lt;0.8),1,0)</f>
        <v/>
      </c>
      <c r="I1394" s="30">
        <f>IF(AND(B1394&gt;=8,D1394&lt;&gt;"",D1394&gt;=0.25,D1394&lt;=0.75),1,0)</f>
        <v/>
      </c>
      <c r="J1394" s="2" t="n"/>
    </row>
    <row r="1395">
      <c r="A1395" s="2" t="inlineStr">
        <is>
          <t>IMP01388</t>
        </is>
      </c>
      <c r="B1395" s="2" t="n">
        <v>23</v>
      </c>
      <c r="C1395" s="19" t="n">
        <v>1.007</v>
      </c>
      <c r="D1395" s="29" t="n">
        <v>0.1739</v>
      </c>
      <c r="E1395" s="2" t="n">
        <v>1</v>
      </c>
      <c r="F1395" s="2" t="n">
        <v>0</v>
      </c>
      <c r="G1395" s="2" t="n">
        <v>0</v>
      </c>
      <c r="H1395" s="30">
        <f>IF(AND(B1395&gt;=5,C1395&lt;&gt;"",C1395&lt;0.8),1,0)</f>
        <v/>
      </c>
      <c r="I1395" s="30">
        <f>IF(AND(B1395&gt;=8,D1395&lt;&gt;"",D1395&gt;=0.25,D1395&lt;=0.75),1,0)</f>
        <v/>
      </c>
      <c r="J1395" s="2" t="n"/>
    </row>
    <row r="1396">
      <c r="A1396" s="2" t="inlineStr">
        <is>
          <t>IMP01389</t>
        </is>
      </c>
      <c r="B1396" s="2" t="n">
        <v>29</v>
      </c>
      <c r="C1396" s="19" t="n">
        <v>0.838</v>
      </c>
      <c r="D1396" s="29" t="n">
        <v>0.2069</v>
      </c>
      <c r="E1396" s="2" t="n">
        <v>2</v>
      </c>
      <c r="F1396" s="2" t="n">
        <v>0</v>
      </c>
      <c r="G1396" s="2" t="n">
        <v>0</v>
      </c>
      <c r="H1396" s="30">
        <f>IF(AND(B1396&gt;=5,C1396&lt;&gt;"",C1396&lt;0.8),1,0)</f>
        <v/>
      </c>
      <c r="I1396" s="30">
        <f>IF(AND(B1396&gt;=8,D1396&lt;&gt;"",D1396&gt;=0.25,D1396&lt;=0.75),1,0)</f>
        <v/>
      </c>
      <c r="J1396" s="2" t="n"/>
    </row>
    <row r="1397">
      <c r="A1397" s="2" t="inlineStr">
        <is>
          <t>IMP01390</t>
        </is>
      </c>
      <c r="B1397" s="2" t="n">
        <v>1</v>
      </c>
      <c r="C1397" s="19" t="n">
        <v>1.167</v>
      </c>
      <c r="D1397" s="29" t="n">
        <v>0</v>
      </c>
      <c r="E1397" s="2" t="n">
        <v>1</v>
      </c>
      <c r="F1397" s="2" t="n">
        <v>0</v>
      </c>
      <c r="G1397" s="2" t="n">
        <v>0</v>
      </c>
      <c r="H1397" s="30">
        <f>IF(AND(B1397&gt;=5,C1397&lt;&gt;"",C1397&lt;0.8),1,0)</f>
        <v/>
      </c>
      <c r="I1397" s="30">
        <f>IF(AND(B1397&gt;=8,D1397&lt;&gt;"",D1397&gt;=0.25,D1397&lt;=0.75),1,0)</f>
        <v/>
      </c>
      <c r="J1397" s="2" t="n"/>
    </row>
    <row r="1398">
      <c r="A1398" s="2" t="inlineStr">
        <is>
          <t>IMP01391</t>
        </is>
      </c>
      <c r="B1398" s="2" t="n">
        <v>9</v>
      </c>
      <c r="C1398" s="19" t="n">
        <v>1.112</v>
      </c>
      <c r="D1398" s="29" t="n">
        <v>0</v>
      </c>
      <c r="E1398" s="2" t="n">
        <v>2</v>
      </c>
      <c r="F1398" s="2" t="n">
        <v>0</v>
      </c>
      <c r="G1398" s="2" t="n">
        <v>0</v>
      </c>
      <c r="H1398" s="30">
        <f>IF(AND(B1398&gt;=5,C1398&lt;&gt;"",C1398&lt;0.8),1,0)</f>
        <v/>
      </c>
      <c r="I1398" s="30">
        <f>IF(AND(B1398&gt;=8,D1398&lt;&gt;"",D1398&gt;=0.25,D1398&lt;=0.75),1,0)</f>
        <v/>
      </c>
      <c r="J1398" s="2" t="n"/>
    </row>
    <row r="1399">
      <c r="A1399" s="2" t="inlineStr">
        <is>
          <t>IMP01392</t>
        </is>
      </c>
      <c r="B1399" s="2" t="n">
        <v>31</v>
      </c>
      <c r="C1399" s="19" t="n">
        <v>0.914</v>
      </c>
      <c r="D1399" s="29" t="n">
        <v>0.3226</v>
      </c>
      <c r="E1399" s="2" t="n">
        <v>2</v>
      </c>
      <c r="F1399" s="2" t="n">
        <v>0</v>
      </c>
      <c r="G1399" s="2" t="n">
        <v>1</v>
      </c>
      <c r="H1399" s="30">
        <f>IF(AND(B1399&gt;=5,C1399&lt;&gt;"",C1399&lt;0.8),1,0)</f>
        <v/>
      </c>
      <c r="I1399" s="30">
        <f>IF(AND(B1399&gt;=8,D1399&lt;&gt;"",D1399&gt;=0.25,D1399&lt;=0.75),1,0)</f>
        <v/>
      </c>
      <c r="J1399" s="2" t="n"/>
    </row>
    <row r="1400">
      <c r="A1400" s="2" t="inlineStr">
        <is>
          <t>IMP01393</t>
        </is>
      </c>
      <c r="B1400" s="2" t="n">
        <v>51</v>
      </c>
      <c r="C1400" s="19" t="n">
        <v>0.976</v>
      </c>
      <c r="D1400" s="29" t="n">
        <v>0.0588</v>
      </c>
      <c r="E1400" s="2" t="n">
        <v>1</v>
      </c>
      <c r="F1400" s="2" t="n">
        <v>0</v>
      </c>
      <c r="G1400" s="2" t="n">
        <v>0</v>
      </c>
      <c r="H1400" s="30">
        <f>IF(AND(B1400&gt;=5,C1400&lt;&gt;"",C1400&lt;0.8),1,0)</f>
        <v/>
      </c>
      <c r="I1400" s="30">
        <f>IF(AND(B1400&gt;=8,D1400&lt;&gt;"",D1400&gt;=0.25,D1400&lt;=0.75),1,0)</f>
        <v/>
      </c>
      <c r="J1400" s="2" t="n"/>
    </row>
    <row r="1401">
      <c r="A1401" s="2" t="inlineStr">
        <is>
          <t>IMP01394</t>
        </is>
      </c>
      <c r="B1401" s="2" t="n">
        <v>45</v>
      </c>
      <c r="C1401" s="19" t="n">
        <v>0.991</v>
      </c>
      <c r="D1401" s="29" t="n">
        <v>0.08890000000000001</v>
      </c>
      <c r="E1401" s="2" t="n">
        <v>1</v>
      </c>
      <c r="F1401" s="2" t="n">
        <v>0</v>
      </c>
      <c r="G1401" s="2" t="n">
        <v>0</v>
      </c>
      <c r="H1401" s="30">
        <f>IF(AND(B1401&gt;=5,C1401&lt;&gt;"",C1401&lt;0.8),1,0)</f>
        <v/>
      </c>
      <c r="I1401" s="30">
        <f>IF(AND(B1401&gt;=8,D1401&lt;&gt;"",D1401&gt;=0.25,D1401&lt;=0.75),1,0)</f>
        <v/>
      </c>
      <c r="J1401" s="2" t="n"/>
    </row>
    <row r="1402">
      <c r="A1402" s="2" t="inlineStr">
        <is>
          <t>IMP01395</t>
        </is>
      </c>
      <c r="B1402" s="2" t="n">
        <v>149</v>
      </c>
      <c r="C1402" s="19" t="n">
        <v>1.005</v>
      </c>
      <c r="D1402" s="29" t="n">
        <v>0.0336</v>
      </c>
      <c r="E1402" s="2" t="n">
        <v>1</v>
      </c>
      <c r="F1402" s="2" t="n">
        <v>0</v>
      </c>
      <c r="G1402" s="2" t="n">
        <v>0</v>
      </c>
      <c r="H1402" s="30">
        <f>IF(AND(B1402&gt;=5,C1402&lt;&gt;"",C1402&lt;0.8),1,0)</f>
        <v/>
      </c>
      <c r="I1402" s="30">
        <f>IF(AND(B1402&gt;=8,D1402&lt;&gt;"",D1402&gt;=0.25,D1402&lt;=0.75),1,0)</f>
        <v/>
      </c>
      <c r="J1402" s="2" t="n"/>
    </row>
    <row r="1403">
      <c r="A1403" s="2" t="inlineStr">
        <is>
          <t>IMP01396</t>
        </is>
      </c>
      <c r="B1403" s="2" t="n">
        <v>114</v>
      </c>
      <c r="C1403" s="19" t="n">
        <v>0.9379999999999999</v>
      </c>
      <c r="D1403" s="29" t="n">
        <v>0.0965</v>
      </c>
      <c r="E1403" s="2" t="n">
        <v>1</v>
      </c>
      <c r="F1403" s="2" t="n">
        <v>0</v>
      </c>
      <c r="G1403" s="2" t="n">
        <v>0</v>
      </c>
      <c r="H1403" s="30">
        <f>IF(AND(B1403&gt;=5,C1403&lt;&gt;"",C1403&lt;0.8),1,0)</f>
        <v/>
      </c>
      <c r="I1403" s="30">
        <f>IF(AND(B1403&gt;=8,D1403&lt;&gt;"",D1403&gt;=0.25,D1403&lt;=0.75),1,0)</f>
        <v/>
      </c>
      <c r="J1403" s="2" t="n"/>
    </row>
    <row r="1404">
      <c r="A1404" s="2" t="inlineStr">
        <is>
          <t>IMP01397</t>
        </is>
      </c>
      <c r="B1404" s="2" t="n">
        <v>0</v>
      </c>
      <c r="C1404" s="19" t="n"/>
      <c r="D1404" s="29" t="n"/>
      <c r="E1404" s="2" t="n">
        <v>0</v>
      </c>
      <c r="F1404" s="2" t="n">
        <v>0</v>
      </c>
      <c r="G1404" s="2" t="n">
        <v>0</v>
      </c>
      <c r="H1404" s="30">
        <f>IF(AND(B1404&gt;=5,C1404&lt;&gt;"",C1404&lt;0.8),1,0)</f>
        <v/>
      </c>
      <c r="I1404" s="30">
        <f>IF(AND(B1404&gt;=8,D1404&lt;&gt;"",D1404&gt;=0.25,D1404&lt;=0.75),1,0)</f>
        <v/>
      </c>
      <c r="J1404" s="2" t="n"/>
    </row>
    <row r="1405">
      <c r="A1405" s="2" t="inlineStr">
        <is>
          <t>IMP01398</t>
        </is>
      </c>
      <c r="B1405" s="2" t="n">
        <v>85</v>
      </c>
      <c r="C1405" s="19" t="n">
        <v>1.074</v>
      </c>
      <c r="D1405" s="29" t="n">
        <v>0.1647</v>
      </c>
      <c r="E1405" s="2" t="n">
        <v>1</v>
      </c>
      <c r="F1405" s="2" t="n">
        <v>0</v>
      </c>
      <c r="G1405" s="2" t="n">
        <v>0</v>
      </c>
      <c r="H1405" s="30">
        <f>IF(AND(B1405&gt;=5,C1405&lt;&gt;"",C1405&lt;0.8),1,0)</f>
        <v/>
      </c>
      <c r="I1405" s="30">
        <f>IF(AND(B1405&gt;=8,D1405&lt;&gt;"",D1405&gt;=0.25,D1405&lt;=0.75),1,0)</f>
        <v/>
      </c>
      <c r="J1405" s="2" t="n"/>
    </row>
    <row r="1406">
      <c r="A1406" s="2" t="inlineStr">
        <is>
          <t>IMP01399</t>
        </is>
      </c>
      <c r="B1406" s="2" t="n">
        <v>35</v>
      </c>
      <c r="C1406" s="19" t="n">
        <v>1.447</v>
      </c>
      <c r="D1406" s="29" t="n">
        <v>0</v>
      </c>
      <c r="E1406" s="2" t="n">
        <v>13</v>
      </c>
      <c r="F1406" s="2" t="n">
        <v>0</v>
      </c>
      <c r="G1406" s="2" t="n">
        <v>0</v>
      </c>
      <c r="H1406" s="30">
        <f>IF(AND(B1406&gt;=5,C1406&lt;&gt;"",C1406&lt;0.8),1,0)</f>
        <v/>
      </c>
      <c r="I1406" s="30">
        <f>IF(AND(B1406&gt;=8,D1406&lt;&gt;"",D1406&gt;=0.25,D1406&lt;=0.75),1,0)</f>
        <v/>
      </c>
      <c r="J1406" s="2" t="n"/>
    </row>
    <row r="1407">
      <c r="A1407" s="2" t="inlineStr">
        <is>
          <t>IMP01400</t>
        </is>
      </c>
      <c r="B1407" s="2" t="n">
        <v>4</v>
      </c>
      <c r="C1407" s="19" t="n">
        <v>0.9185</v>
      </c>
      <c r="D1407" s="29" t="n">
        <v>0</v>
      </c>
      <c r="E1407" s="2" t="n">
        <v>2</v>
      </c>
      <c r="F1407" s="2" t="n">
        <v>0</v>
      </c>
      <c r="G1407" s="2" t="n">
        <v>0</v>
      </c>
      <c r="H1407" s="30">
        <f>IF(AND(B1407&gt;=5,C1407&lt;&gt;"",C1407&lt;0.8),1,0)</f>
        <v/>
      </c>
      <c r="I1407" s="30">
        <f>IF(AND(B1407&gt;=8,D1407&lt;&gt;"",D1407&gt;=0.25,D1407&lt;=0.75),1,0)</f>
        <v/>
      </c>
      <c r="J1407" s="2" t="n"/>
    </row>
    <row r="1408">
      <c r="A1408" s="2" t="inlineStr">
        <is>
          <t>IMP01401</t>
        </is>
      </c>
      <c r="B1408" s="2" t="n">
        <v>26</v>
      </c>
      <c r="C1408" s="19" t="n">
        <v>0.7945</v>
      </c>
      <c r="D1408" s="29" t="n">
        <v>0.2692</v>
      </c>
      <c r="E1408" s="2" t="n">
        <v>1</v>
      </c>
      <c r="F1408" s="2" t="n">
        <v>1</v>
      </c>
      <c r="G1408" s="2" t="n">
        <v>1</v>
      </c>
      <c r="H1408" s="30">
        <f>IF(AND(B1408&gt;=5,C1408&lt;&gt;"",C1408&lt;0.8),1,0)</f>
        <v/>
      </c>
      <c r="I1408" s="30">
        <f>IF(AND(B1408&gt;=8,D1408&lt;&gt;"",D1408&gt;=0.25,D1408&lt;=0.75),1,0)</f>
        <v/>
      </c>
      <c r="J1408" s="2" t="n"/>
    </row>
    <row r="1409">
      <c r="A1409" s="2" t="inlineStr">
        <is>
          <t>IMP01402</t>
        </is>
      </c>
      <c r="B1409" s="2" t="n">
        <v>0</v>
      </c>
      <c r="C1409" s="19" t="n"/>
      <c r="D1409" s="29" t="n"/>
      <c r="E1409" s="2" t="n">
        <v>0</v>
      </c>
      <c r="F1409" s="2" t="n">
        <v>0</v>
      </c>
      <c r="G1409" s="2" t="n">
        <v>0</v>
      </c>
      <c r="H1409" s="30">
        <f>IF(AND(B1409&gt;=5,C1409&lt;&gt;"",C1409&lt;0.8),1,0)</f>
        <v/>
      </c>
      <c r="I1409" s="30">
        <f>IF(AND(B1409&gt;=8,D1409&lt;&gt;"",D1409&gt;=0.25,D1409&lt;=0.75),1,0)</f>
        <v/>
      </c>
      <c r="J1409" s="2" t="n"/>
    </row>
    <row r="1410">
      <c r="A1410" s="2" t="inlineStr">
        <is>
          <t>IMP01403</t>
        </is>
      </c>
      <c r="B1410" s="2" t="n">
        <v>1</v>
      </c>
      <c r="C1410" s="19" t="n">
        <v>1.235</v>
      </c>
      <c r="D1410" s="29" t="n">
        <v>0</v>
      </c>
      <c r="E1410" s="2" t="n">
        <v>1</v>
      </c>
      <c r="F1410" s="2" t="n">
        <v>0</v>
      </c>
      <c r="G1410" s="2" t="n">
        <v>0</v>
      </c>
      <c r="H1410" s="30">
        <f>IF(AND(B1410&gt;=5,C1410&lt;&gt;"",C1410&lt;0.8),1,0)</f>
        <v/>
      </c>
      <c r="I1410" s="30">
        <f>IF(AND(B1410&gt;=8,D1410&lt;&gt;"",D1410&gt;=0.25,D1410&lt;=0.75),1,0)</f>
        <v/>
      </c>
      <c r="J1410" s="2" t="n"/>
    </row>
    <row r="1411">
      <c r="A1411" s="2" t="inlineStr">
        <is>
          <t>IMP01404</t>
        </is>
      </c>
      <c r="B1411" s="2" t="n">
        <v>68</v>
      </c>
      <c r="C1411" s="19" t="n">
        <v>0.955</v>
      </c>
      <c r="D1411" s="29" t="n">
        <v>0.1029</v>
      </c>
      <c r="E1411" s="2" t="n">
        <v>2</v>
      </c>
      <c r="F1411" s="2" t="n">
        <v>0</v>
      </c>
      <c r="G1411" s="2" t="n">
        <v>0</v>
      </c>
      <c r="H1411" s="30">
        <f>IF(AND(B1411&gt;=5,C1411&lt;&gt;"",C1411&lt;0.8),1,0)</f>
        <v/>
      </c>
      <c r="I1411" s="30">
        <f>IF(AND(B1411&gt;=8,D1411&lt;&gt;"",D1411&gt;=0.25,D1411&lt;=0.75),1,0)</f>
        <v/>
      </c>
      <c r="J1411" s="2" t="n"/>
    </row>
    <row r="1412">
      <c r="A1412" s="2" t="inlineStr">
        <is>
          <t>IMP01405</t>
        </is>
      </c>
      <c r="B1412" s="2" t="n">
        <v>67</v>
      </c>
      <c r="C1412" s="19" t="n">
        <v>1.0215</v>
      </c>
      <c r="D1412" s="29" t="n">
        <v>0.1642</v>
      </c>
      <c r="E1412" s="2" t="n">
        <v>2</v>
      </c>
      <c r="F1412" s="2" t="n">
        <v>0</v>
      </c>
      <c r="G1412" s="2" t="n">
        <v>0</v>
      </c>
      <c r="H1412" s="30">
        <f>IF(AND(B1412&gt;=5,C1412&lt;&gt;"",C1412&lt;0.8),1,0)</f>
        <v/>
      </c>
      <c r="I1412" s="30">
        <f>IF(AND(B1412&gt;=8,D1412&lt;&gt;"",D1412&gt;=0.25,D1412&lt;=0.75),1,0)</f>
        <v/>
      </c>
      <c r="J1412" s="2" t="n"/>
    </row>
    <row r="1413">
      <c r="A1413" s="2" t="inlineStr">
        <is>
          <t>IMP01406</t>
        </is>
      </c>
      <c r="B1413" s="2" t="n">
        <v>3</v>
      </c>
      <c r="C1413" s="19" t="n">
        <v>1.095</v>
      </c>
      <c r="D1413" s="29" t="n">
        <v>0.3333</v>
      </c>
      <c r="E1413" s="2" t="n">
        <v>1</v>
      </c>
      <c r="F1413" s="2" t="n">
        <v>0</v>
      </c>
      <c r="G1413" s="2" t="n">
        <v>0</v>
      </c>
      <c r="H1413" s="30">
        <f>IF(AND(B1413&gt;=5,C1413&lt;&gt;"",C1413&lt;0.8),1,0)</f>
        <v/>
      </c>
      <c r="I1413" s="30">
        <f>IF(AND(B1413&gt;=8,D1413&lt;&gt;"",D1413&gt;=0.25,D1413&lt;=0.75),1,0)</f>
        <v/>
      </c>
      <c r="J1413" s="2" t="n"/>
    </row>
    <row r="1414">
      <c r="A1414" s="2" t="inlineStr">
        <is>
          <t>IMP01407</t>
        </is>
      </c>
      <c r="B1414" s="2" t="n">
        <v>2</v>
      </c>
      <c r="C1414" s="19" t="n">
        <v>0.6485</v>
      </c>
      <c r="D1414" s="29" t="n">
        <v>0.5</v>
      </c>
      <c r="E1414" s="2" t="n">
        <v>1</v>
      </c>
      <c r="F1414" s="2" t="n">
        <v>0</v>
      </c>
      <c r="G1414" s="2" t="n">
        <v>0</v>
      </c>
      <c r="H1414" s="30">
        <f>IF(AND(B1414&gt;=5,C1414&lt;&gt;"",C1414&lt;0.8),1,0)</f>
        <v/>
      </c>
      <c r="I1414" s="30">
        <f>IF(AND(B1414&gt;=8,D1414&lt;&gt;"",D1414&gt;=0.25,D1414&lt;=0.75),1,0)</f>
        <v/>
      </c>
      <c r="J1414" s="2" t="n"/>
    </row>
    <row r="1415">
      <c r="A1415" s="2" t="inlineStr">
        <is>
          <t>IMP01408</t>
        </is>
      </c>
      <c r="B1415" s="2" t="n">
        <v>12</v>
      </c>
      <c r="C1415" s="19" t="n">
        <v>0.97</v>
      </c>
      <c r="D1415" s="29" t="n">
        <v>0.0833</v>
      </c>
      <c r="E1415" s="2" t="n">
        <v>1</v>
      </c>
      <c r="F1415" s="2" t="n">
        <v>0</v>
      </c>
      <c r="G1415" s="2" t="n">
        <v>0</v>
      </c>
      <c r="H1415" s="30">
        <f>IF(AND(B1415&gt;=5,C1415&lt;&gt;"",C1415&lt;0.8),1,0)</f>
        <v/>
      </c>
      <c r="I1415" s="30">
        <f>IF(AND(B1415&gt;=8,D1415&lt;&gt;"",D1415&gt;=0.25,D1415&lt;=0.75),1,0)</f>
        <v/>
      </c>
      <c r="J1415" s="2" t="n"/>
    </row>
    <row r="1416">
      <c r="A1416" s="2" t="inlineStr">
        <is>
          <t>IMP01409</t>
        </is>
      </c>
      <c r="B1416" s="2" t="n">
        <v>1</v>
      </c>
      <c r="C1416" s="19" t="n">
        <v>0.886</v>
      </c>
      <c r="D1416" s="29" t="n">
        <v>0</v>
      </c>
      <c r="E1416" s="2" t="n">
        <v>1</v>
      </c>
      <c r="F1416" s="2" t="n">
        <v>0</v>
      </c>
      <c r="G1416" s="2" t="n">
        <v>0</v>
      </c>
      <c r="H1416" s="30">
        <f>IF(AND(B1416&gt;=5,C1416&lt;&gt;"",C1416&lt;0.8),1,0)</f>
        <v/>
      </c>
      <c r="I1416" s="30">
        <f>IF(AND(B1416&gt;=8,D1416&lt;&gt;"",D1416&gt;=0.25,D1416&lt;=0.75),1,0)</f>
        <v/>
      </c>
      <c r="J1416" s="2" t="n"/>
    </row>
    <row r="1417">
      <c r="A1417" s="2" t="inlineStr">
        <is>
          <t>IMP01410</t>
        </is>
      </c>
      <c r="B1417" s="2" t="n">
        <v>7</v>
      </c>
      <c r="C1417" s="19" t="n">
        <v>1.136</v>
      </c>
      <c r="D1417" s="29" t="n">
        <v>0</v>
      </c>
      <c r="E1417" s="2" t="n">
        <v>1</v>
      </c>
      <c r="F1417" s="2" t="n">
        <v>0</v>
      </c>
      <c r="G1417" s="2" t="n">
        <v>0</v>
      </c>
      <c r="H1417" s="30">
        <f>IF(AND(B1417&gt;=5,C1417&lt;&gt;"",C1417&lt;0.8),1,0)</f>
        <v/>
      </c>
      <c r="I1417" s="30">
        <f>IF(AND(B1417&gt;=8,D1417&lt;&gt;"",D1417&gt;=0.25,D1417&lt;=0.75),1,0)</f>
        <v/>
      </c>
      <c r="J1417" s="2" t="n"/>
    </row>
    <row r="1418">
      <c r="A1418" s="2" t="inlineStr">
        <is>
          <t>IMP01411</t>
        </is>
      </c>
      <c r="B1418" s="2" t="n">
        <v>178</v>
      </c>
      <c r="C1418" s="19" t="n">
        <v>0.979</v>
      </c>
      <c r="D1418" s="29" t="n">
        <v>0.0169</v>
      </c>
      <c r="E1418" s="2" t="n">
        <v>1</v>
      </c>
      <c r="F1418" s="2" t="n">
        <v>0</v>
      </c>
      <c r="G1418" s="2" t="n">
        <v>0</v>
      </c>
      <c r="H1418" s="30">
        <f>IF(AND(B1418&gt;=5,C1418&lt;&gt;"",C1418&lt;0.8),1,0)</f>
        <v/>
      </c>
      <c r="I1418" s="30">
        <f>IF(AND(B1418&gt;=8,D1418&lt;&gt;"",D1418&gt;=0.25,D1418&lt;=0.75),1,0)</f>
        <v/>
      </c>
      <c r="J1418" s="2" t="n"/>
    </row>
    <row r="1419">
      <c r="A1419" s="2" t="inlineStr">
        <is>
          <t>IMP01412</t>
        </is>
      </c>
      <c r="B1419" s="2" t="n">
        <v>3</v>
      </c>
      <c r="C1419" s="19" t="n">
        <v>1.299</v>
      </c>
      <c r="D1419" s="29" t="n">
        <v>0</v>
      </c>
      <c r="E1419" s="2" t="n">
        <v>4</v>
      </c>
      <c r="F1419" s="2" t="n">
        <v>0</v>
      </c>
      <c r="G1419" s="2" t="n">
        <v>0</v>
      </c>
      <c r="H1419" s="30">
        <f>IF(AND(B1419&gt;=5,C1419&lt;&gt;"",C1419&lt;0.8),1,0)</f>
        <v/>
      </c>
      <c r="I1419" s="30">
        <f>IF(AND(B1419&gt;=8,D1419&lt;&gt;"",D1419&gt;=0.25,D1419&lt;=0.75),1,0)</f>
        <v/>
      </c>
      <c r="J1419" s="2" t="n"/>
    </row>
    <row r="1420">
      <c r="A1420" s="2" t="inlineStr">
        <is>
          <t>IMP01413</t>
        </is>
      </c>
      <c r="B1420" s="2" t="n">
        <v>1</v>
      </c>
      <c r="C1420" s="19" t="n">
        <v>0.462</v>
      </c>
      <c r="D1420" s="29" t="n">
        <v>1</v>
      </c>
      <c r="E1420" s="2" t="n">
        <v>1</v>
      </c>
      <c r="F1420" s="2" t="n">
        <v>0</v>
      </c>
      <c r="G1420" s="2" t="n">
        <v>0</v>
      </c>
      <c r="H1420" s="30">
        <f>IF(AND(B1420&gt;=5,C1420&lt;&gt;"",C1420&lt;0.8),1,0)</f>
        <v/>
      </c>
      <c r="I1420" s="30">
        <f>IF(AND(B1420&gt;=8,D1420&lt;&gt;"",D1420&gt;=0.25,D1420&lt;=0.75),1,0)</f>
        <v/>
      </c>
      <c r="J1420" s="2" t="n"/>
    </row>
    <row r="1421">
      <c r="A1421" s="2" t="inlineStr">
        <is>
          <t>IMP01414</t>
        </is>
      </c>
      <c r="B1421" s="2" t="n">
        <v>361</v>
      </c>
      <c r="C1421" s="19" t="n">
        <v>1.016</v>
      </c>
      <c r="D1421" s="29" t="n">
        <v>0.0776</v>
      </c>
      <c r="E1421" s="2" t="n">
        <v>2</v>
      </c>
      <c r="F1421" s="2" t="n">
        <v>0</v>
      </c>
      <c r="G1421" s="2" t="n">
        <v>0</v>
      </c>
      <c r="H1421" s="30">
        <f>IF(AND(B1421&gt;=5,C1421&lt;&gt;"",C1421&lt;0.8),1,0)</f>
        <v/>
      </c>
      <c r="I1421" s="30">
        <f>IF(AND(B1421&gt;=8,D1421&lt;&gt;"",D1421&gt;=0.25,D1421&lt;=0.75),1,0)</f>
        <v/>
      </c>
      <c r="J1421" s="2" t="n"/>
    </row>
    <row r="1422">
      <c r="A1422" s="2" t="inlineStr">
        <is>
          <t>IMP01415</t>
        </is>
      </c>
      <c r="B1422" s="2" t="n">
        <v>27</v>
      </c>
      <c r="C1422" s="19" t="n">
        <v>1.142</v>
      </c>
      <c r="D1422" s="29" t="n">
        <v>0.1481</v>
      </c>
      <c r="E1422" s="2" t="n">
        <v>2</v>
      </c>
      <c r="F1422" s="2" t="n">
        <v>0</v>
      </c>
      <c r="G1422" s="2" t="n">
        <v>0</v>
      </c>
      <c r="H1422" s="30">
        <f>IF(AND(B1422&gt;=5,C1422&lt;&gt;"",C1422&lt;0.8),1,0)</f>
        <v/>
      </c>
      <c r="I1422" s="30">
        <f>IF(AND(B1422&gt;=8,D1422&lt;&gt;"",D1422&gt;=0.25,D1422&lt;=0.75),1,0)</f>
        <v/>
      </c>
      <c r="J1422" s="2" t="n"/>
    </row>
    <row r="1423">
      <c r="A1423" s="2" t="inlineStr">
        <is>
          <t>IMP01416</t>
        </is>
      </c>
      <c r="B1423" s="2" t="n">
        <v>141</v>
      </c>
      <c r="C1423" s="19" t="n">
        <v>1.116</v>
      </c>
      <c r="D1423" s="29" t="n">
        <v>0.0922</v>
      </c>
      <c r="E1423" s="2" t="n">
        <v>1</v>
      </c>
      <c r="F1423" s="2" t="n">
        <v>0</v>
      </c>
      <c r="G1423" s="2" t="n">
        <v>0</v>
      </c>
      <c r="H1423" s="30">
        <f>IF(AND(B1423&gt;=5,C1423&lt;&gt;"",C1423&lt;0.8),1,0)</f>
        <v/>
      </c>
      <c r="I1423" s="30">
        <f>IF(AND(B1423&gt;=8,D1423&lt;&gt;"",D1423&gt;=0.25,D1423&lt;=0.75),1,0)</f>
        <v/>
      </c>
      <c r="J1423" s="2" t="n"/>
    </row>
    <row r="1424">
      <c r="A1424" s="2" t="inlineStr">
        <is>
          <t>IMP01417</t>
        </is>
      </c>
      <c r="B1424" s="2" t="n">
        <v>120</v>
      </c>
      <c r="C1424" s="19" t="n">
        <v>0.9409999999999999</v>
      </c>
      <c r="D1424" s="29" t="n">
        <v>0.025</v>
      </c>
      <c r="E1424" s="2" t="n">
        <v>1</v>
      </c>
      <c r="F1424" s="2" t="n">
        <v>0</v>
      </c>
      <c r="G1424" s="2" t="n">
        <v>0</v>
      </c>
      <c r="H1424" s="30">
        <f>IF(AND(B1424&gt;=5,C1424&lt;&gt;"",C1424&lt;0.8),1,0)</f>
        <v/>
      </c>
      <c r="I1424" s="30">
        <f>IF(AND(B1424&gt;=8,D1424&lt;&gt;"",D1424&gt;=0.25,D1424&lt;=0.75),1,0)</f>
        <v/>
      </c>
      <c r="J1424" s="2" t="n"/>
    </row>
    <row r="1425">
      <c r="A1425" s="2" t="inlineStr">
        <is>
          <t>IMP01418</t>
        </is>
      </c>
      <c r="B1425" s="2" t="n">
        <v>9</v>
      </c>
      <c r="C1425" s="19" t="n">
        <v>0.978</v>
      </c>
      <c r="D1425" s="29" t="n">
        <v>0.1111</v>
      </c>
      <c r="E1425" s="2" t="n">
        <v>1</v>
      </c>
      <c r="F1425" s="2" t="n">
        <v>0</v>
      </c>
      <c r="G1425" s="2" t="n">
        <v>0</v>
      </c>
      <c r="H1425" s="30">
        <f>IF(AND(B1425&gt;=5,C1425&lt;&gt;"",C1425&lt;0.8),1,0)</f>
        <v/>
      </c>
      <c r="I1425" s="30">
        <f>IF(AND(B1425&gt;=8,D1425&lt;&gt;"",D1425&gt;=0.25,D1425&lt;=0.75),1,0)</f>
        <v/>
      </c>
      <c r="J1425" s="2" t="n"/>
    </row>
    <row r="1426">
      <c r="A1426" s="2" t="inlineStr">
        <is>
          <t>IMP01419</t>
        </is>
      </c>
      <c r="B1426" s="2" t="n">
        <v>240</v>
      </c>
      <c r="C1426" s="19" t="n">
        <v>0.997</v>
      </c>
      <c r="D1426" s="29" t="n">
        <v>0.0167</v>
      </c>
      <c r="E1426" s="2" t="n">
        <v>1</v>
      </c>
      <c r="F1426" s="2" t="n">
        <v>0</v>
      </c>
      <c r="G1426" s="2" t="n">
        <v>0</v>
      </c>
      <c r="H1426" s="30">
        <f>IF(AND(B1426&gt;=5,C1426&lt;&gt;"",C1426&lt;0.8),1,0)</f>
        <v/>
      </c>
      <c r="I1426" s="30">
        <f>IF(AND(B1426&gt;=8,D1426&lt;&gt;"",D1426&gt;=0.25,D1426&lt;=0.75),1,0)</f>
        <v/>
      </c>
      <c r="J1426" s="2" t="n"/>
    </row>
    <row r="1427">
      <c r="A1427" s="2" t="inlineStr">
        <is>
          <t>IMP01420</t>
        </is>
      </c>
      <c r="B1427" s="2" t="n">
        <v>119</v>
      </c>
      <c r="C1427" s="19" t="n">
        <v>1.093</v>
      </c>
      <c r="D1427" s="29" t="n">
        <v>0.0336</v>
      </c>
      <c r="E1427" s="2" t="n">
        <v>1</v>
      </c>
      <c r="F1427" s="2" t="n">
        <v>0</v>
      </c>
      <c r="G1427" s="2" t="n">
        <v>0</v>
      </c>
      <c r="H1427" s="30">
        <f>IF(AND(B1427&gt;=5,C1427&lt;&gt;"",C1427&lt;0.8),1,0)</f>
        <v/>
      </c>
      <c r="I1427" s="30">
        <f>IF(AND(B1427&gt;=8,D1427&lt;&gt;"",D1427&gt;=0.25,D1427&lt;=0.75),1,0)</f>
        <v/>
      </c>
      <c r="J1427" s="2" t="n"/>
    </row>
    <row r="1428">
      <c r="A1428" s="2" t="inlineStr">
        <is>
          <t>IMP01421</t>
        </is>
      </c>
      <c r="B1428" s="2" t="n">
        <v>0</v>
      </c>
      <c r="C1428" s="19" t="n"/>
      <c r="D1428" s="29" t="n"/>
      <c r="E1428" s="2" t="n">
        <v>0</v>
      </c>
      <c r="F1428" s="2" t="n">
        <v>0</v>
      </c>
      <c r="G1428" s="2" t="n">
        <v>0</v>
      </c>
      <c r="H1428" s="30">
        <f>IF(AND(B1428&gt;=5,C1428&lt;&gt;"",C1428&lt;0.8),1,0)</f>
        <v/>
      </c>
      <c r="I1428" s="30">
        <f>IF(AND(B1428&gt;=8,D1428&lt;&gt;"",D1428&gt;=0.25,D1428&lt;=0.75),1,0)</f>
        <v/>
      </c>
      <c r="J1428" s="2" t="n"/>
    </row>
    <row r="1429">
      <c r="A1429" s="2" t="inlineStr">
        <is>
          <t>IMP01422</t>
        </is>
      </c>
      <c r="B1429" s="2" t="n">
        <v>113</v>
      </c>
      <c r="C1429" s="19" t="n">
        <v>1.051</v>
      </c>
      <c r="D1429" s="29" t="n">
        <v>0.0796</v>
      </c>
      <c r="E1429" s="2" t="n">
        <v>2</v>
      </c>
      <c r="F1429" s="2" t="n">
        <v>0</v>
      </c>
      <c r="G1429" s="2" t="n">
        <v>0</v>
      </c>
      <c r="H1429" s="30">
        <f>IF(AND(B1429&gt;=5,C1429&lt;&gt;"",C1429&lt;0.8),1,0)</f>
        <v/>
      </c>
      <c r="I1429" s="30">
        <f>IF(AND(B1429&gt;=8,D1429&lt;&gt;"",D1429&gt;=0.25,D1429&lt;=0.75),1,0)</f>
        <v/>
      </c>
      <c r="J1429" s="2" t="n"/>
    </row>
    <row r="1430">
      <c r="A1430" s="2" t="inlineStr">
        <is>
          <t>IMP01423</t>
        </is>
      </c>
      <c r="B1430" s="2" t="n">
        <v>1</v>
      </c>
      <c r="C1430" s="19" t="n">
        <v>0.961</v>
      </c>
      <c r="D1430" s="29" t="n">
        <v>0</v>
      </c>
      <c r="E1430" s="2" t="n">
        <v>1</v>
      </c>
      <c r="F1430" s="2" t="n">
        <v>0</v>
      </c>
      <c r="G1430" s="2" t="n">
        <v>0</v>
      </c>
      <c r="H1430" s="30">
        <f>IF(AND(B1430&gt;=5,C1430&lt;&gt;"",C1430&lt;0.8),1,0)</f>
        <v/>
      </c>
      <c r="I1430" s="30">
        <f>IF(AND(B1430&gt;=8,D1430&lt;&gt;"",D1430&gt;=0.25,D1430&lt;=0.75),1,0)</f>
        <v/>
      </c>
      <c r="J1430" s="2" t="n"/>
    </row>
    <row r="1431">
      <c r="A1431" s="2" t="inlineStr">
        <is>
          <t>IMP01424</t>
        </is>
      </c>
      <c r="B1431" s="2" t="n">
        <v>1</v>
      </c>
      <c r="C1431" s="19" t="n">
        <v>1.111</v>
      </c>
      <c r="D1431" s="29" t="n">
        <v>0</v>
      </c>
      <c r="E1431" s="2" t="n">
        <v>1</v>
      </c>
      <c r="F1431" s="2" t="n">
        <v>0</v>
      </c>
      <c r="G1431" s="2" t="n">
        <v>0</v>
      </c>
      <c r="H1431" s="30">
        <f>IF(AND(B1431&gt;=5,C1431&lt;&gt;"",C1431&lt;0.8),1,0)</f>
        <v/>
      </c>
      <c r="I1431" s="30">
        <f>IF(AND(B1431&gt;=8,D1431&lt;&gt;"",D1431&gt;=0.25,D1431&lt;=0.75),1,0)</f>
        <v/>
      </c>
      <c r="J1431" s="2" t="n"/>
    </row>
    <row r="1432">
      <c r="A1432" s="2" t="inlineStr">
        <is>
          <t>IMP01425</t>
        </is>
      </c>
      <c r="B1432" s="2" t="n">
        <v>39</v>
      </c>
      <c r="C1432" s="19" t="n">
        <v>1.183</v>
      </c>
      <c r="D1432" s="29" t="n">
        <v>0</v>
      </c>
      <c r="E1432" s="2" t="n">
        <v>1</v>
      </c>
      <c r="F1432" s="2" t="n">
        <v>0</v>
      </c>
      <c r="G1432" s="2" t="n">
        <v>0</v>
      </c>
      <c r="H1432" s="30">
        <f>IF(AND(B1432&gt;=5,C1432&lt;&gt;"",C1432&lt;0.8),1,0)</f>
        <v/>
      </c>
      <c r="I1432" s="30">
        <f>IF(AND(B1432&gt;=8,D1432&lt;&gt;"",D1432&gt;=0.25,D1432&lt;=0.75),1,0)</f>
        <v/>
      </c>
      <c r="J1432" s="2" t="n"/>
    </row>
    <row r="1433">
      <c r="A1433" s="2" t="inlineStr">
        <is>
          <t>IMP01426</t>
        </is>
      </c>
      <c r="B1433" s="2" t="n">
        <v>1491</v>
      </c>
      <c r="C1433" s="19" t="n">
        <v>1</v>
      </c>
      <c r="D1433" s="29" t="n">
        <v>0.008699999999999999</v>
      </c>
      <c r="E1433" s="2" t="n">
        <v>2</v>
      </c>
      <c r="F1433" s="2" t="n">
        <v>0</v>
      </c>
      <c r="G1433" s="2" t="n">
        <v>0</v>
      </c>
      <c r="H1433" s="30">
        <f>IF(AND(B1433&gt;=5,C1433&lt;&gt;"",C1433&lt;0.8),1,0)</f>
        <v/>
      </c>
      <c r="I1433" s="30">
        <f>IF(AND(B1433&gt;=8,D1433&lt;&gt;"",D1433&gt;=0.25,D1433&lt;=0.75),1,0)</f>
        <v/>
      </c>
      <c r="J1433" s="2" t="n"/>
    </row>
    <row r="1434">
      <c r="A1434" s="2" t="inlineStr">
        <is>
          <t>IMP01427</t>
        </is>
      </c>
      <c r="B1434" s="2" t="n">
        <v>60</v>
      </c>
      <c r="C1434" s="19" t="n">
        <v>1.044</v>
      </c>
      <c r="D1434" s="29" t="n">
        <v>0.05</v>
      </c>
      <c r="E1434" s="2" t="n">
        <v>1</v>
      </c>
      <c r="F1434" s="2" t="n">
        <v>0</v>
      </c>
      <c r="G1434" s="2" t="n">
        <v>0</v>
      </c>
      <c r="H1434" s="30">
        <f>IF(AND(B1434&gt;=5,C1434&lt;&gt;"",C1434&lt;0.8),1,0)</f>
        <v/>
      </c>
      <c r="I1434" s="30">
        <f>IF(AND(B1434&gt;=8,D1434&lt;&gt;"",D1434&gt;=0.25,D1434&lt;=0.75),1,0)</f>
        <v/>
      </c>
      <c r="J1434" s="2" t="n"/>
    </row>
    <row r="1435">
      <c r="A1435" s="2" t="inlineStr">
        <is>
          <t>IMP01428</t>
        </is>
      </c>
      <c r="B1435" s="2" t="n">
        <v>24</v>
      </c>
      <c r="C1435" s="19" t="n">
        <v>1</v>
      </c>
      <c r="D1435" s="29" t="n">
        <v>0.125</v>
      </c>
      <c r="E1435" s="2" t="n">
        <v>1</v>
      </c>
      <c r="F1435" s="2" t="n">
        <v>0</v>
      </c>
      <c r="G1435" s="2" t="n">
        <v>0</v>
      </c>
      <c r="H1435" s="30">
        <f>IF(AND(B1435&gt;=5,C1435&lt;&gt;"",C1435&lt;0.8),1,0)</f>
        <v/>
      </c>
      <c r="I1435" s="30">
        <f>IF(AND(B1435&gt;=8,D1435&lt;&gt;"",D1435&gt;=0.25,D1435&lt;=0.75),1,0)</f>
        <v/>
      </c>
      <c r="J1435" s="2" t="n"/>
    </row>
    <row r="1436">
      <c r="A1436" s="2" t="inlineStr">
        <is>
          <t>IMP01429</t>
        </is>
      </c>
      <c r="B1436" s="2" t="n">
        <v>554</v>
      </c>
      <c r="C1436" s="19" t="n">
        <v>0.957</v>
      </c>
      <c r="D1436" s="29" t="n">
        <v>0.0144</v>
      </c>
      <c r="E1436" s="2" t="n">
        <v>2</v>
      </c>
      <c r="F1436" s="2" t="n">
        <v>0</v>
      </c>
      <c r="G1436" s="2" t="n">
        <v>0</v>
      </c>
      <c r="H1436" s="30">
        <f>IF(AND(B1436&gt;=5,C1436&lt;&gt;"",C1436&lt;0.8),1,0)</f>
        <v/>
      </c>
      <c r="I1436" s="30">
        <f>IF(AND(B1436&gt;=8,D1436&lt;&gt;"",D1436&gt;=0.25,D1436&lt;=0.75),1,0)</f>
        <v/>
      </c>
      <c r="J1436" s="2" t="n"/>
    </row>
    <row r="1437">
      <c r="A1437" s="2" t="inlineStr">
        <is>
          <t>IMP01430</t>
        </is>
      </c>
      <c r="B1437" s="2" t="n">
        <v>0</v>
      </c>
      <c r="C1437" s="19" t="n"/>
      <c r="D1437" s="29" t="n"/>
      <c r="E1437" s="2" t="n">
        <v>0</v>
      </c>
      <c r="F1437" s="2" t="n">
        <v>0</v>
      </c>
      <c r="G1437" s="2" t="n">
        <v>0</v>
      </c>
      <c r="H1437" s="30">
        <f>IF(AND(B1437&gt;=5,C1437&lt;&gt;"",C1437&lt;0.8),1,0)</f>
        <v/>
      </c>
      <c r="I1437" s="30">
        <f>IF(AND(B1437&gt;=8,D1437&lt;&gt;"",D1437&gt;=0.25,D1437&lt;=0.75),1,0)</f>
        <v/>
      </c>
      <c r="J1437" s="2" t="n"/>
    </row>
    <row r="1438">
      <c r="A1438" s="2" t="inlineStr">
        <is>
          <t>IMP01431</t>
        </is>
      </c>
      <c r="B1438" s="2" t="n">
        <v>41</v>
      </c>
      <c r="C1438" s="19" t="n">
        <v>0.885</v>
      </c>
      <c r="D1438" s="29" t="n">
        <v>0.122</v>
      </c>
      <c r="E1438" s="2" t="n">
        <v>1</v>
      </c>
      <c r="F1438" s="2" t="n">
        <v>0</v>
      </c>
      <c r="G1438" s="2" t="n">
        <v>0</v>
      </c>
      <c r="H1438" s="30">
        <f>IF(AND(B1438&gt;=5,C1438&lt;&gt;"",C1438&lt;0.8),1,0)</f>
        <v/>
      </c>
      <c r="I1438" s="30">
        <f>IF(AND(B1438&gt;=8,D1438&lt;&gt;"",D1438&gt;=0.25,D1438&lt;=0.75),1,0)</f>
        <v/>
      </c>
      <c r="J1438" s="2" t="n"/>
    </row>
    <row r="1439">
      <c r="A1439" s="2" t="inlineStr">
        <is>
          <t>IMP01432</t>
        </is>
      </c>
      <c r="B1439" s="2" t="n">
        <v>103</v>
      </c>
      <c r="C1439" s="19" t="n">
        <v>0.84</v>
      </c>
      <c r="D1439" s="29" t="n">
        <v>0.4175</v>
      </c>
      <c r="E1439" s="2" t="n">
        <v>1</v>
      </c>
      <c r="F1439" s="2" t="n">
        <v>0</v>
      </c>
      <c r="G1439" s="2" t="n">
        <v>1</v>
      </c>
      <c r="H1439" s="30">
        <f>IF(AND(B1439&gt;=5,C1439&lt;&gt;"",C1439&lt;0.8),1,0)</f>
        <v/>
      </c>
      <c r="I1439" s="30">
        <f>IF(AND(B1439&gt;=8,D1439&lt;&gt;"",D1439&gt;=0.25,D1439&lt;=0.75),1,0)</f>
        <v/>
      </c>
      <c r="J1439" s="2" t="n"/>
    </row>
    <row r="1440">
      <c r="A1440" s="2" t="inlineStr">
        <is>
          <t>IMP01433</t>
        </is>
      </c>
      <c r="B1440" s="2" t="n">
        <v>136</v>
      </c>
      <c r="C1440" s="19" t="n">
        <v>1.109</v>
      </c>
      <c r="D1440" s="29" t="n">
        <v>0.0294</v>
      </c>
      <c r="E1440" s="2" t="n">
        <v>1</v>
      </c>
      <c r="F1440" s="2" t="n">
        <v>0</v>
      </c>
      <c r="G1440" s="2" t="n">
        <v>0</v>
      </c>
      <c r="H1440" s="30">
        <f>IF(AND(B1440&gt;=5,C1440&lt;&gt;"",C1440&lt;0.8),1,0)</f>
        <v/>
      </c>
      <c r="I1440" s="30">
        <f>IF(AND(B1440&gt;=8,D1440&lt;&gt;"",D1440&gt;=0.25,D1440&lt;=0.75),1,0)</f>
        <v/>
      </c>
      <c r="J1440" s="2" t="n"/>
    </row>
    <row r="1441">
      <c r="A1441" s="2" t="inlineStr">
        <is>
          <t>IMP01434</t>
        </is>
      </c>
      <c r="B1441" s="2" t="n">
        <v>2</v>
      </c>
      <c r="C1441" s="19" t="n">
        <v>1.0965</v>
      </c>
      <c r="D1441" s="29" t="n">
        <v>0</v>
      </c>
      <c r="E1441" s="2" t="n">
        <v>1</v>
      </c>
      <c r="F1441" s="2" t="n">
        <v>0</v>
      </c>
      <c r="G1441" s="2" t="n">
        <v>0</v>
      </c>
      <c r="H1441" s="30">
        <f>IF(AND(B1441&gt;=5,C1441&lt;&gt;"",C1441&lt;0.8),1,0)</f>
        <v/>
      </c>
      <c r="I1441" s="30">
        <f>IF(AND(B1441&gt;=8,D1441&lt;&gt;"",D1441&gt;=0.25,D1441&lt;=0.75),1,0)</f>
        <v/>
      </c>
      <c r="J1441" s="2" t="n"/>
    </row>
    <row r="1442">
      <c r="A1442" s="2" t="inlineStr">
        <is>
          <t>IMP01435</t>
        </is>
      </c>
      <c r="B1442" s="2" t="n">
        <v>10</v>
      </c>
      <c r="C1442" s="19" t="n">
        <v>1.0405</v>
      </c>
      <c r="D1442" s="29" t="n">
        <v>0</v>
      </c>
      <c r="E1442" s="2" t="n">
        <v>1</v>
      </c>
      <c r="F1442" s="2" t="n">
        <v>0</v>
      </c>
      <c r="G1442" s="2" t="n">
        <v>0</v>
      </c>
      <c r="H1442" s="30">
        <f>IF(AND(B1442&gt;=5,C1442&lt;&gt;"",C1442&lt;0.8),1,0)</f>
        <v/>
      </c>
      <c r="I1442" s="30">
        <f>IF(AND(B1442&gt;=8,D1442&lt;&gt;"",D1442&gt;=0.25,D1442&lt;=0.75),1,0)</f>
        <v/>
      </c>
      <c r="J1442" s="2" t="n"/>
    </row>
    <row r="1443">
      <c r="A1443" s="2" t="inlineStr">
        <is>
          <t>IMP01436</t>
        </is>
      </c>
      <c r="B1443" s="2" t="n">
        <v>147</v>
      </c>
      <c r="C1443" s="19" t="n">
        <v>0.946</v>
      </c>
      <c r="D1443" s="29" t="n">
        <v>0.1156</v>
      </c>
      <c r="E1443" s="2" t="n">
        <v>2</v>
      </c>
      <c r="F1443" s="2" t="n">
        <v>0</v>
      </c>
      <c r="G1443" s="2" t="n">
        <v>0</v>
      </c>
      <c r="H1443" s="30">
        <f>IF(AND(B1443&gt;=5,C1443&lt;&gt;"",C1443&lt;0.8),1,0)</f>
        <v/>
      </c>
      <c r="I1443" s="30">
        <f>IF(AND(B1443&gt;=8,D1443&lt;&gt;"",D1443&gt;=0.25,D1443&lt;=0.75),1,0)</f>
        <v/>
      </c>
      <c r="J1443" s="2" t="n"/>
    </row>
    <row r="1444">
      <c r="A1444" s="2" t="inlineStr">
        <is>
          <t>IMP01437</t>
        </is>
      </c>
      <c r="B1444" s="2" t="n">
        <v>0</v>
      </c>
      <c r="C1444" s="19" t="n"/>
      <c r="D1444" s="29" t="n"/>
      <c r="E1444" s="2" t="n">
        <v>0</v>
      </c>
      <c r="F1444" s="2" t="n">
        <v>0</v>
      </c>
      <c r="G1444" s="2" t="n">
        <v>0</v>
      </c>
      <c r="H1444" s="30">
        <f>IF(AND(B1444&gt;=5,C1444&lt;&gt;"",C1444&lt;0.8),1,0)</f>
        <v/>
      </c>
      <c r="I1444" s="30">
        <f>IF(AND(B1444&gt;=8,D1444&lt;&gt;"",D1444&gt;=0.25,D1444&lt;=0.75),1,0)</f>
        <v/>
      </c>
      <c r="J1444" s="2" t="n"/>
    </row>
    <row r="1445">
      <c r="A1445" s="2" t="inlineStr">
        <is>
          <t>IMP01438</t>
        </is>
      </c>
      <c r="B1445" s="2" t="n">
        <v>62</v>
      </c>
      <c r="C1445" s="19" t="n">
        <v>1.022</v>
      </c>
      <c r="D1445" s="29" t="n">
        <v>0.0323</v>
      </c>
      <c r="E1445" s="2" t="n">
        <v>2</v>
      </c>
      <c r="F1445" s="2" t="n">
        <v>0</v>
      </c>
      <c r="G1445" s="2" t="n">
        <v>0</v>
      </c>
      <c r="H1445" s="30">
        <f>IF(AND(B1445&gt;=5,C1445&lt;&gt;"",C1445&lt;0.8),1,0)</f>
        <v/>
      </c>
      <c r="I1445" s="30">
        <f>IF(AND(B1445&gt;=8,D1445&lt;&gt;"",D1445&gt;=0.25,D1445&lt;=0.75),1,0)</f>
        <v/>
      </c>
      <c r="J1445" s="2" t="n"/>
    </row>
    <row r="1446">
      <c r="A1446" s="2" t="inlineStr">
        <is>
          <t>IMP01439</t>
        </is>
      </c>
      <c r="B1446" s="2" t="n">
        <v>142</v>
      </c>
      <c r="C1446" s="19" t="n">
        <v>1.34</v>
      </c>
      <c r="D1446" s="29" t="n">
        <v>0</v>
      </c>
      <c r="E1446" s="2" t="n">
        <v>2</v>
      </c>
      <c r="F1446" s="2" t="n">
        <v>0</v>
      </c>
      <c r="G1446" s="2" t="n">
        <v>0</v>
      </c>
      <c r="H1446" s="30">
        <f>IF(AND(B1446&gt;=5,C1446&lt;&gt;"",C1446&lt;0.8),1,0)</f>
        <v/>
      </c>
      <c r="I1446" s="30">
        <f>IF(AND(B1446&gt;=8,D1446&lt;&gt;"",D1446&gt;=0.25,D1446&lt;=0.75),1,0)</f>
        <v/>
      </c>
      <c r="J1446" s="2" t="n"/>
    </row>
    <row r="1447">
      <c r="A1447" s="2" t="inlineStr">
        <is>
          <t>IMP01440</t>
        </is>
      </c>
      <c r="B1447" s="2" t="n">
        <v>7</v>
      </c>
      <c r="C1447" s="19" t="n">
        <v>1.005</v>
      </c>
      <c r="D1447" s="29" t="n">
        <v>0</v>
      </c>
      <c r="E1447" s="2" t="n">
        <v>1</v>
      </c>
      <c r="F1447" s="2" t="n">
        <v>0</v>
      </c>
      <c r="G1447" s="2" t="n">
        <v>0</v>
      </c>
      <c r="H1447" s="30">
        <f>IF(AND(B1447&gt;=5,C1447&lt;&gt;"",C1447&lt;0.8),1,0)</f>
        <v/>
      </c>
      <c r="I1447" s="30">
        <f>IF(AND(B1447&gt;=8,D1447&lt;&gt;"",D1447&gt;=0.25,D1447&lt;=0.75),1,0)</f>
        <v/>
      </c>
      <c r="J1447" s="2" t="n"/>
    </row>
    <row r="1448">
      <c r="A1448" s="2" t="inlineStr">
        <is>
          <t>IMP01441</t>
        </is>
      </c>
      <c r="B1448" s="2" t="n">
        <v>6</v>
      </c>
      <c r="C1448" s="19" t="n">
        <v>1.0985</v>
      </c>
      <c r="D1448" s="29" t="n">
        <v>0</v>
      </c>
      <c r="E1448" s="2" t="n">
        <v>1</v>
      </c>
      <c r="F1448" s="2" t="n">
        <v>0</v>
      </c>
      <c r="G1448" s="2" t="n">
        <v>0</v>
      </c>
      <c r="H1448" s="30">
        <f>IF(AND(B1448&gt;=5,C1448&lt;&gt;"",C1448&lt;0.8),1,0)</f>
        <v/>
      </c>
      <c r="I1448" s="30">
        <f>IF(AND(B1448&gt;=8,D1448&lt;&gt;"",D1448&gt;=0.25,D1448&lt;=0.75),1,0)</f>
        <v/>
      </c>
      <c r="J1448" s="2" t="n"/>
    </row>
    <row r="1449">
      <c r="A1449" s="2" t="inlineStr">
        <is>
          <t>IMP01442</t>
        </is>
      </c>
      <c r="B1449" s="2" t="n">
        <v>2</v>
      </c>
      <c r="C1449" s="19" t="n">
        <v>0.8794999999999999</v>
      </c>
      <c r="D1449" s="29" t="n">
        <v>0</v>
      </c>
      <c r="E1449" s="2" t="n">
        <v>1</v>
      </c>
      <c r="F1449" s="2" t="n">
        <v>0</v>
      </c>
      <c r="G1449" s="2" t="n">
        <v>0</v>
      </c>
      <c r="H1449" s="30">
        <f>IF(AND(B1449&gt;=5,C1449&lt;&gt;"",C1449&lt;0.8),1,0)</f>
        <v/>
      </c>
      <c r="I1449" s="30">
        <f>IF(AND(B1449&gt;=8,D1449&lt;&gt;"",D1449&gt;=0.25,D1449&lt;=0.75),1,0)</f>
        <v/>
      </c>
      <c r="J1449" s="2" t="n"/>
    </row>
    <row r="1450">
      <c r="A1450" s="2" t="inlineStr">
        <is>
          <t>IMP01443</t>
        </is>
      </c>
      <c r="B1450" s="2" t="n">
        <v>1</v>
      </c>
      <c r="C1450" s="19" t="n">
        <v>0.847</v>
      </c>
      <c r="D1450" s="29" t="n">
        <v>0</v>
      </c>
      <c r="E1450" s="2" t="n">
        <v>1</v>
      </c>
      <c r="F1450" s="2" t="n">
        <v>0</v>
      </c>
      <c r="G1450" s="2" t="n">
        <v>0</v>
      </c>
      <c r="H1450" s="30">
        <f>IF(AND(B1450&gt;=5,C1450&lt;&gt;"",C1450&lt;0.8),1,0)</f>
        <v/>
      </c>
      <c r="I1450" s="30">
        <f>IF(AND(B1450&gt;=8,D1450&lt;&gt;"",D1450&gt;=0.25,D1450&lt;=0.75),1,0)</f>
        <v/>
      </c>
      <c r="J1450" s="2" t="n"/>
    </row>
    <row r="1451">
      <c r="A1451" s="2" t="inlineStr">
        <is>
          <t>IMP01444</t>
        </is>
      </c>
      <c r="B1451" s="2" t="n">
        <v>31</v>
      </c>
      <c r="C1451" s="19" t="n">
        <v>0.898</v>
      </c>
      <c r="D1451" s="29" t="n">
        <v>0.2581</v>
      </c>
      <c r="E1451" s="2" t="n">
        <v>1</v>
      </c>
      <c r="F1451" s="2" t="n">
        <v>0</v>
      </c>
      <c r="G1451" s="2" t="n">
        <v>1</v>
      </c>
      <c r="H1451" s="30">
        <f>IF(AND(B1451&gt;=5,C1451&lt;&gt;"",C1451&lt;0.8),1,0)</f>
        <v/>
      </c>
      <c r="I1451" s="30">
        <f>IF(AND(B1451&gt;=8,D1451&lt;&gt;"",D1451&gt;=0.25,D1451&lt;=0.75),1,0)</f>
        <v/>
      </c>
      <c r="J1451" s="2" t="n"/>
    </row>
    <row r="1452">
      <c r="A1452" s="2" t="inlineStr">
        <is>
          <t>IMP01445</t>
        </is>
      </c>
      <c r="B1452" s="2" t="n">
        <v>377</v>
      </c>
      <c r="C1452" s="19" t="n">
        <v>1.003</v>
      </c>
      <c r="D1452" s="29" t="n">
        <v>0.0451</v>
      </c>
      <c r="E1452" s="2" t="n">
        <v>1</v>
      </c>
      <c r="F1452" s="2" t="n">
        <v>0</v>
      </c>
      <c r="G1452" s="2" t="n">
        <v>0</v>
      </c>
      <c r="H1452" s="30">
        <f>IF(AND(B1452&gt;=5,C1452&lt;&gt;"",C1452&lt;0.8),1,0)</f>
        <v/>
      </c>
      <c r="I1452" s="30">
        <f>IF(AND(B1452&gt;=8,D1452&lt;&gt;"",D1452&gt;=0.25,D1452&lt;=0.75),1,0)</f>
        <v/>
      </c>
      <c r="J1452" s="2" t="n"/>
    </row>
    <row r="1453">
      <c r="A1453" s="2" t="inlineStr">
        <is>
          <t>IMP01446</t>
        </is>
      </c>
      <c r="B1453" s="2" t="n">
        <v>59</v>
      </c>
      <c r="C1453" s="19" t="n">
        <v>1.027</v>
      </c>
      <c r="D1453" s="29" t="n">
        <v>0</v>
      </c>
      <c r="E1453" s="2" t="n">
        <v>1</v>
      </c>
      <c r="F1453" s="2" t="n">
        <v>0</v>
      </c>
      <c r="G1453" s="2" t="n">
        <v>0</v>
      </c>
      <c r="H1453" s="30">
        <f>IF(AND(B1453&gt;=5,C1453&lt;&gt;"",C1453&lt;0.8),1,0)</f>
        <v/>
      </c>
      <c r="I1453" s="30">
        <f>IF(AND(B1453&gt;=8,D1453&lt;&gt;"",D1453&gt;=0.25,D1453&lt;=0.75),1,0)</f>
        <v/>
      </c>
      <c r="J1453" s="2" t="n"/>
    </row>
    <row r="1454">
      <c r="A1454" s="2" t="inlineStr">
        <is>
          <t>IMP01447</t>
        </is>
      </c>
      <c r="B1454" s="2" t="n">
        <v>17</v>
      </c>
      <c r="C1454" s="19" t="n">
        <v>1.284</v>
      </c>
      <c r="D1454" s="29" t="n">
        <v>0</v>
      </c>
      <c r="E1454" s="2" t="n">
        <v>1</v>
      </c>
      <c r="F1454" s="2" t="n">
        <v>0</v>
      </c>
      <c r="G1454" s="2" t="n">
        <v>0</v>
      </c>
      <c r="H1454" s="30">
        <f>IF(AND(B1454&gt;=5,C1454&lt;&gt;"",C1454&lt;0.8),1,0)</f>
        <v/>
      </c>
      <c r="I1454" s="30">
        <f>IF(AND(B1454&gt;=8,D1454&lt;&gt;"",D1454&gt;=0.25,D1454&lt;=0.75),1,0)</f>
        <v/>
      </c>
      <c r="J1454" s="2" t="n"/>
    </row>
    <row r="1455">
      <c r="A1455" s="2" t="inlineStr">
        <is>
          <t>IMP01448</t>
        </is>
      </c>
      <c r="B1455" s="2" t="n">
        <v>80</v>
      </c>
      <c r="C1455" s="19" t="n">
        <v>1.1435</v>
      </c>
      <c r="D1455" s="29" t="n">
        <v>0.0375</v>
      </c>
      <c r="E1455" s="2" t="n">
        <v>1</v>
      </c>
      <c r="F1455" s="2" t="n">
        <v>0</v>
      </c>
      <c r="G1455" s="2" t="n">
        <v>0</v>
      </c>
      <c r="H1455" s="30">
        <f>IF(AND(B1455&gt;=5,C1455&lt;&gt;"",C1455&lt;0.8),1,0)</f>
        <v/>
      </c>
      <c r="I1455" s="30">
        <f>IF(AND(B1455&gt;=8,D1455&lt;&gt;"",D1455&gt;=0.25,D1455&lt;=0.75),1,0)</f>
        <v/>
      </c>
      <c r="J1455" s="2" t="n"/>
    </row>
    <row r="1456">
      <c r="A1456" s="2" t="inlineStr">
        <is>
          <t>IMP01449</t>
        </is>
      </c>
      <c r="B1456" s="2" t="n">
        <v>144</v>
      </c>
      <c r="C1456" s="19" t="n">
        <v>0.995</v>
      </c>
      <c r="D1456" s="29" t="n">
        <v>0.09030000000000001</v>
      </c>
      <c r="E1456" s="2" t="n">
        <v>1</v>
      </c>
      <c r="F1456" s="2" t="n">
        <v>0</v>
      </c>
      <c r="G1456" s="2" t="n">
        <v>0</v>
      </c>
      <c r="H1456" s="30">
        <f>IF(AND(B1456&gt;=5,C1456&lt;&gt;"",C1456&lt;0.8),1,0)</f>
        <v/>
      </c>
      <c r="I1456" s="30">
        <f>IF(AND(B1456&gt;=8,D1456&lt;&gt;"",D1456&gt;=0.25,D1456&lt;=0.75),1,0)</f>
        <v/>
      </c>
      <c r="J1456" s="2" t="n"/>
    </row>
    <row r="1457">
      <c r="A1457" s="2" t="inlineStr">
        <is>
          <t>IMP01450</t>
        </is>
      </c>
      <c r="B1457" s="2" t="n">
        <v>7</v>
      </c>
      <c r="C1457" s="19" t="n">
        <v>1.049</v>
      </c>
      <c r="D1457" s="29" t="n">
        <v>0</v>
      </c>
      <c r="E1457" s="2" t="n">
        <v>2</v>
      </c>
      <c r="F1457" s="2" t="n">
        <v>0</v>
      </c>
      <c r="G1457" s="2" t="n">
        <v>0</v>
      </c>
      <c r="H1457" s="30">
        <f>IF(AND(B1457&gt;=5,C1457&lt;&gt;"",C1457&lt;0.8),1,0)</f>
        <v/>
      </c>
      <c r="I1457" s="30">
        <f>IF(AND(B1457&gt;=8,D1457&lt;&gt;"",D1457&gt;=0.25,D1457&lt;=0.75),1,0)</f>
        <v/>
      </c>
      <c r="J1457" s="2" t="n"/>
    </row>
    <row r="1458">
      <c r="A1458" s="2" t="inlineStr">
        <is>
          <t>IMP01451</t>
        </is>
      </c>
      <c r="B1458" s="2" t="n">
        <v>0</v>
      </c>
      <c r="C1458" s="19" t="n"/>
      <c r="D1458" s="29" t="n"/>
      <c r="E1458" s="2" t="n">
        <v>0</v>
      </c>
      <c r="F1458" s="2" t="n">
        <v>0</v>
      </c>
      <c r="G1458" s="2" t="n">
        <v>0</v>
      </c>
      <c r="H1458" s="30">
        <f>IF(AND(B1458&gt;=5,C1458&lt;&gt;"",C1458&lt;0.8),1,0)</f>
        <v/>
      </c>
      <c r="I1458" s="30">
        <f>IF(AND(B1458&gt;=8,D1458&lt;&gt;"",D1458&gt;=0.25,D1458&lt;=0.75),1,0)</f>
        <v/>
      </c>
      <c r="J1458" s="2" t="n"/>
    </row>
    <row r="1459">
      <c r="A1459" s="2" t="inlineStr">
        <is>
          <t>IMP01452</t>
        </is>
      </c>
      <c r="B1459" s="2" t="n">
        <v>41</v>
      </c>
      <c r="C1459" s="19" t="n">
        <v>0.773</v>
      </c>
      <c r="D1459" s="29" t="n">
        <v>0.3171</v>
      </c>
      <c r="E1459" s="2" t="n">
        <v>1</v>
      </c>
      <c r="F1459" s="2" t="n">
        <v>1</v>
      </c>
      <c r="G1459" s="2" t="n">
        <v>1</v>
      </c>
      <c r="H1459" s="30">
        <f>IF(AND(B1459&gt;=5,C1459&lt;&gt;"",C1459&lt;0.8),1,0)</f>
        <v/>
      </c>
      <c r="I1459" s="30">
        <f>IF(AND(B1459&gt;=8,D1459&lt;&gt;"",D1459&gt;=0.25,D1459&lt;=0.75),1,0)</f>
        <v/>
      </c>
      <c r="J1459" s="2" t="n"/>
    </row>
    <row r="1460">
      <c r="A1460" s="2" t="inlineStr">
        <is>
          <t>IMP01453</t>
        </is>
      </c>
      <c r="B1460" s="2" t="n">
        <v>53</v>
      </c>
      <c r="C1460" s="19" t="n">
        <v>0.819</v>
      </c>
      <c r="D1460" s="29" t="n">
        <v>0.1887</v>
      </c>
      <c r="E1460" s="2" t="n">
        <v>2</v>
      </c>
      <c r="F1460" s="2" t="n">
        <v>0</v>
      </c>
      <c r="G1460" s="2" t="n">
        <v>0</v>
      </c>
      <c r="H1460" s="30">
        <f>IF(AND(B1460&gt;=5,C1460&lt;&gt;"",C1460&lt;0.8),1,0)</f>
        <v/>
      </c>
      <c r="I1460" s="30">
        <f>IF(AND(B1460&gt;=8,D1460&lt;&gt;"",D1460&gt;=0.25,D1460&lt;=0.75),1,0)</f>
        <v/>
      </c>
      <c r="J1460" s="2" t="n"/>
    </row>
    <row r="1461">
      <c r="A1461" s="2" t="inlineStr">
        <is>
          <t>IMP01454</t>
        </is>
      </c>
      <c r="B1461" s="2" t="n">
        <v>0</v>
      </c>
      <c r="C1461" s="19" t="n"/>
      <c r="D1461" s="29" t="n"/>
      <c r="E1461" s="2" t="n">
        <v>0</v>
      </c>
      <c r="F1461" s="2" t="n">
        <v>0</v>
      </c>
      <c r="G1461" s="2" t="n">
        <v>0</v>
      </c>
      <c r="H1461" s="30">
        <f>IF(AND(B1461&gt;=5,C1461&lt;&gt;"",C1461&lt;0.8),1,0)</f>
        <v/>
      </c>
      <c r="I1461" s="30">
        <f>IF(AND(B1461&gt;=8,D1461&lt;&gt;"",D1461&gt;=0.25,D1461&lt;=0.75),1,0)</f>
        <v/>
      </c>
      <c r="J1461" s="2" t="n"/>
    </row>
    <row r="1462">
      <c r="A1462" s="2" t="inlineStr">
        <is>
          <t>IMP01455</t>
        </is>
      </c>
      <c r="B1462" s="2" t="n">
        <v>73</v>
      </c>
      <c r="C1462" s="19" t="n">
        <v>0.848</v>
      </c>
      <c r="D1462" s="29" t="n">
        <v>0.0959</v>
      </c>
      <c r="E1462" s="2" t="n">
        <v>1</v>
      </c>
      <c r="F1462" s="2" t="n">
        <v>0</v>
      </c>
      <c r="G1462" s="2" t="n">
        <v>0</v>
      </c>
      <c r="H1462" s="30">
        <f>IF(AND(B1462&gt;=5,C1462&lt;&gt;"",C1462&lt;0.8),1,0)</f>
        <v/>
      </c>
      <c r="I1462" s="30">
        <f>IF(AND(B1462&gt;=8,D1462&lt;&gt;"",D1462&gt;=0.25,D1462&lt;=0.75),1,0)</f>
        <v/>
      </c>
      <c r="J1462" s="2" t="n"/>
    </row>
    <row r="1463">
      <c r="A1463" s="2" t="inlineStr">
        <is>
          <t>IMP01456</t>
        </is>
      </c>
      <c r="B1463" s="2" t="n">
        <v>15</v>
      </c>
      <c r="C1463" s="19" t="n">
        <v>0.919</v>
      </c>
      <c r="D1463" s="29" t="n">
        <v>0.4</v>
      </c>
      <c r="E1463" s="2" t="n">
        <v>1</v>
      </c>
      <c r="F1463" s="2" t="n">
        <v>0</v>
      </c>
      <c r="G1463" s="2" t="n">
        <v>1</v>
      </c>
      <c r="H1463" s="30">
        <f>IF(AND(B1463&gt;=5,C1463&lt;&gt;"",C1463&lt;0.8),1,0)</f>
        <v/>
      </c>
      <c r="I1463" s="30">
        <f>IF(AND(B1463&gt;=8,D1463&lt;&gt;"",D1463&gt;=0.25,D1463&lt;=0.75),1,0)</f>
        <v/>
      </c>
      <c r="J1463" s="2" t="n"/>
    </row>
    <row r="1464">
      <c r="A1464" s="2" t="inlineStr">
        <is>
          <t>IMP01457</t>
        </is>
      </c>
      <c r="B1464" s="2" t="n">
        <v>1</v>
      </c>
      <c r="C1464" s="19" t="n">
        <v>0.793</v>
      </c>
      <c r="D1464" s="29" t="n">
        <v>0</v>
      </c>
      <c r="E1464" s="2" t="n">
        <v>1</v>
      </c>
      <c r="F1464" s="2" t="n">
        <v>0</v>
      </c>
      <c r="G1464" s="2" t="n">
        <v>0</v>
      </c>
      <c r="H1464" s="30">
        <f>IF(AND(B1464&gt;=5,C1464&lt;&gt;"",C1464&lt;0.8),1,0)</f>
        <v/>
      </c>
      <c r="I1464" s="30">
        <f>IF(AND(B1464&gt;=8,D1464&lt;&gt;"",D1464&gt;=0.25,D1464&lt;=0.75),1,0)</f>
        <v/>
      </c>
      <c r="J1464" s="2" t="n"/>
    </row>
    <row r="1465">
      <c r="A1465" s="2" t="inlineStr">
        <is>
          <t>IMP01458</t>
        </is>
      </c>
      <c r="B1465" s="2" t="n">
        <v>23</v>
      </c>
      <c r="C1465" s="19" t="n">
        <v>1.037</v>
      </c>
      <c r="D1465" s="29" t="n">
        <v>0.2174</v>
      </c>
      <c r="E1465" s="2" t="n">
        <v>1</v>
      </c>
      <c r="F1465" s="2" t="n">
        <v>0</v>
      </c>
      <c r="G1465" s="2" t="n">
        <v>0</v>
      </c>
      <c r="H1465" s="30">
        <f>IF(AND(B1465&gt;=5,C1465&lt;&gt;"",C1465&lt;0.8),1,0)</f>
        <v/>
      </c>
      <c r="I1465" s="30">
        <f>IF(AND(B1465&gt;=8,D1465&lt;&gt;"",D1465&gt;=0.25,D1465&lt;=0.75),1,0)</f>
        <v/>
      </c>
      <c r="J1465" s="2" t="n"/>
    </row>
    <row r="1466">
      <c r="A1466" s="2" t="inlineStr">
        <is>
          <t>IMP01459</t>
        </is>
      </c>
      <c r="B1466" s="2" t="n">
        <v>169</v>
      </c>
      <c r="C1466" s="19" t="n">
        <v>0.913</v>
      </c>
      <c r="D1466" s="29" t="n">
        <v>0.1006</v>
      </c>
      <c r="E1466" s="2" t="n">
        <v>2</v>
      </c>
      <c r="F1466" s="2" t="n">
        <v>0</v>
      </c>
      <c r="G1466" s="2" t="n">
        <v>0</v>
      </c>
      <c r="H1466" s="30">
        <f>IF(AND(B1466&gt;=5,C1466&lt;&gt;"",C1466&lt;0.8),1,0)</f>
        <v/>
      </c>
      <c r="I1466" s="30">
        <f>IF(AND(B1466&gt;=8,D1466&lt;&gt;"",D1466&gt;=0.25,D1466&lt;=0.75),1,0)</f>
        <v/>
      </c>
      <c r="J1466" s="2" t="n"/>
    </row>
    <row r="1467">
      <c r="A1467" s="2" t="inlineStr">
        <is>
          <t>IMP01460</t>
        </is>
      </c>
      <c r="B1467" s="2" t="n">
        <v>81</v>
      </c>
      <c r="C1467" s="19" t="n">
        <v>1.062</v>
      </c>
      <c r="D1467" s="29" t="n">
        <v>0</v>
      </c>
      <c r="E1467" s="2" t="n">
        <v>2</v>
      </c>
      <c r="F1467" s="2" t="n">
        <v>0</v>
      </c>
      <c r="G1467" s="2" t="n">
        <v>0</v>
      </c>
      <c r="H1467" s="30">
        <f>IF(AND(B1467&gt;=5,C1467&lt;&gt;"",C1467&lt;0.8),1,0)</f>
        <v/>
      </c>
      <c r="I1467" s="30">
        <f>IF(AND(B1467&gt;=8,D1467&lt;&gt;"",D1467&gt;=0.25,D1467&lt;=0.75),1,0)</f>
        <v/>
      </c>
      <c r="J1467" s="2" t="n"/>
    </row>
    <row r="1468">
      <c r="A1468" s="2" t="inlineStr">
        <is>
          <t>IMP01461</t>
        </is>
      </c>
      <c r="B1468" s="2" t="n">
        <v>5</v>
      </c>
      <c r="C1468" s="19" t="n">
        <v>0.952</v>
      </c>
      <c r="D1468" s="29" t="n">
        <v>0.2</v>
      </c>
      <c r="E1468" s="2" t="n">
        <v>1</v>
      </c>
      <c r="F1468" s="2" t="n">
        <v>0</v>
      </c>
      <c r="G1468" s="2" t="n">
        <v>0</v>
      </c>
      <c r="H1468" s="30">
        <f>IF(AND(B1468&gt;=5,C1468&lt;&gt;"",C1468&lt;0.8),1,0)</f>
        <v/>
      </c>
      <c r="I1468" s="30">
        <f>IF(AND(B1468&gt;=8,D1468&lt;&gt;"",D1468&gt;=0.25,D1468&lt;=0.75),1,0)</f>
        <v/>
      </c>
      <c r="J1468" s="2" t="n"/>
    </row>
    <row r="1469">
      <c r="A1469" s="2" t="inlineStr">
        <is>
          <t>IMP01462</t>
        </is>
      </c>
      <c r="B1469" s="2" t="n">
        <v>0</v>
      </c>
      <c r="C1469" s="19" t="n"/>
      <c r="D1469" s="29" t="n"/>
      <c r="E1469" s="2" t="n">
        <v>0</v>
      </c>
      <c r="F1469" s="2" t="n">
        <v>0</v>
      </c>
      <c r="G1469" s="2" t="n">
        <v>0</v>
      </c>
      <c r="H1469" s="30">
        <f>IF(AND(B1469&gt;=5,C1469&lt;&gt;"",C1469&lt;0.8),1,0)</f>
        <v/>
      </c>
      <c r="I1469" s="30">
        <f>IF(AND(B1469&gt;=8,D1469&lt;&gt;"",D1469&gt;=0.25,D1469&lt;=0.75),1,0)</f>
        <v/>
      </c>
      <c r="J1469" s="2" t="n"/>
    </row>
    <row r="1470">
      <c r="A1470" s="2" t="inlineStr">
        <is>
          <t>IMP01463</t>
        </is>
      </c>
      <c r="B1470" s="2" t="n">
        <v>0</v>
      </c>
      <c r="C1470" s="19" t="n"/>
      <c r="D1470" s="29" t="n"/>
      <c r="E1470" s="2" t="n">
        <v>0</v>
      </c>
      <c r="F1470" s="2" t="n">
        <v>0</v>
      </c>
      <c r="G1470" s="2" t="n">
        <v>0</v>
      </c>
      <c r="H1470" s="30">
        <f>IF(AND(B1470&gt;=5,C1470&lt;&gt;"",C1470&lt;0.8),1,0)</f>
        <v/>
      </c>
      <c r="I1470" s="30">
        <f>IF(AND(B1470&gt;=8,D1470&lt;&gt;"",D1470&gt;=0.25,D1470&lt;=0.75),1,0)</f>
        <v/>
      </c>
      <c r="J1470" s="2" t="n"/>
    </row>
    <row r="1471">
      <c r="A1471" s="2" t="inlineStr">
        <is>
          <t>IMP01464</t>
        </is>
      </c>
      <c r="B1471" s="2" t="n">
        <v>28</v>
      </c>
      <c r="C1471" s="19" t="n">
        <v>1.015</v>
      </c>
      <c r="D1471" s="29" t="n">
        <v>0.1071</v>
      </c>
      <c r="E1471" s="2" t="n">
        <v>1</v>
      </c>
      <c r="F1471" s="2" t="n">
        <v>0</v>
      </c>
      <c r="G1471" s="2" t="n">
        <v>0</v>
      </c>
      <c r="H1471" s="30">
        <f>IF(AND(B1471&gt;=5,C1471&lt;&gt;"",C1471&lt;0.8),1,0)</f>
        <v/>
      </c>
      <c r="I1471" s="30">
        <f>IF(AND(B1471&gt;=8,D1471&lt;&gt;"",D1471&gt;=0.25,D1471&lt;=0.75),1,0)</f>
        <v/>
      </c>
      <c r="J1471" s="2" t="n"/>
    </row>
    <row r="1472">
      <c r="A1472" s="2" t="inlineStr">
        <is>
          <t>IMP01465</t>
        </is>
      </c>
      <c r="B1472" s="2" t="n">
        <v>18</v>
      </c>
      <c r="C1472" s="19" t="n">
        <v>0.978</v>
      </c>
      <c r="D1472" s="29" t="n">
        <v>0.0556</v>
      </c>
      <c r="E1472" s="2" t="n">
        <v>1</v>
      </c>
      <c r="F1472" s="2" t="n">
        <v>0</v>
      </c>
      <c r="G1472" s="2" t="n">
        <v>0</v>
      </c>
      <c r="H1472" s="30">
        <f>IF(AND(B1472&gt;=5,C1472&lt;&gt;"",C1472&lt;0.8),1,0)</f>
        <v/>
      </c>
      <c r="I1472" s="30">
        <f>IF(AND(B1472&gt;=8,D1472&lt;&gt;"",D1472&gt;=0.25,D1472&lt;=0.75),1,0)</f>
        <v/>
      </c>
      <c r="J1472" s="2" t="n"/>
    </row>
    <row r="1473">
      <c r="A1473" s="2" t="inlineStr">
        <is>
          <t>IMP01466</t>
        </is>
      </c>
      <c r="B1473" s="2" t="n">
        <v>0</v>
      </c>
      <c r="C1473" s="19" t="n"/>
      <c r="D1473" s="29" t="n"/>
      <c r="E1473" s="2" t="n">
        <v>0</v>
      </c>
      <c r="F1473" s="2" t="n">
        <v>0</v>
      </c>
      <c r="G1473" s="2" t="n">
        <v>0</v>
      </c>
      <c r="H1473" s="30">
        <f>IF(AND(B1473&gt;=5,C1473&lt;&gt;"",C1473&lt;0.8),1,0)</f>
        <v/>
      </c>
      <c r="I1473" s="30">
        <f>IF(AND(B1473&gt;=8,D1473&lt;&gt;"",D1473&gt;=0.25,D1473&lt;=0.75),1,0)</f>
        <v/>
      </c>
      <c r="J1473" s="2" t="n"/>
    </row>
    <row r="1474">
      <c r="A1474" s="2" t="inlineStr">
        <is>
          <t>IMP01467</t>
        </is>
      </c>
      <c r="B1474" s="2" t="n">
        <v>148</v>
      </c>
      <c r="C1474" s="19" t="n">
        <v>1.068</v>
      </c>
      <c r="D1474" s="29" t="n">
        <v>0.0338</v>
      </c>
      <c r="E1474" s="2" t="n">
        <v>2</v>
      </c>
      <c r="F1474" s="2" t="n">
        <v>0</v>
      </c>
      <c r="G1474" s="2" t="n">
        <v>0</v>
      </c>
      <c r="H1474" s="30">
        <f>IF(AND(B1474&gt;=5,C1474&lt;&gt;"",C1474&lt;0.8),1,0)</f>
        <v/>
      </c>
      <c r="I1474" s="30">
        <f>IF(AND(B1474&gt;=8,D1474&lt;&gt;"",D1474&gt;=0.25,D1474&lt;=0.75),1,0)</f>
        <v/>
      </c>
      <c r="J1474" s="2" t="n"/>
    </row>
    <row r="1475">
      <c r="A1475" s="2" t="inlineStr">
        <is>
          <t>IMP01468</t>
        </is>
      </c>
      <c r="B1475" s="2" t="n">
        <v>324</v>
      </c>
      <c r="C1475" s="19" t="n">
        <v>0.998</v>
      </c>
      <c r="D1475" s="29" t="n">
        <v>0.0617</v>
      </c>
      <c r="E1475" s="2" t="n">
        <v>1</v>
      </c>
      <c r="F1475" s="2" t="n">
        <v>0</v>
      </c>
      <c r="G1475" s="2" t="n">
        <v>0</v>
      </c>
      <c r="H1475" s="30">
        <f>IF(AND(B1475&gt;=5,C1475&lt;&gt;"",C1475&lt;0.8),1,0)</f>
        <v/>
      </c>
      <c r="I1475" s="30">
        <f>IF(AND(B1475&gt;=8,D1475&lt;&gt;"",D1475&gt;=0.25,D1475&lt;=0.75),1,0)</f>
        <v/>
      </c>
      <c r="J1475" s="2" t="n"/>
    </row>
    <row r="1476">
      <c r="A1476" s="2" t="inlineStr">
        <is>
          <t>IMP01469</t>
        </is>
      </c>
      <c r="B1476" s="2" t="n">
        <v>109</v>
      </c>
      <c r="C1476" s="19" t="n">
        <v>0.9905</v>
      </c>
      <c r="D1476" s="29" t="n">
        <v>0.0275</v>
      </c>
      <c r="E1476" s="2" t="n">
        <v>1</v>
      </c>
      <c r="F1476" s="2" t="n">
        <v>0</v>
      </c>
      <c r="G1476" s="2" t="n">
        <v>0</v>
      </c>
      <c r="H1476" s="30">
        <f>IF(AND(B1476&gt;=5,C1476&lt;&gt;"",C1476&lt;0.8),1,0)</f>
        <v/>
      </c>
      <c r="I1476" s="30">
        <f>IF(AND(B1476&gt;=8,D1476&lt;&gt;"",D1476&gt;=0.25,D1476&lt;=0.75),1,0)</f>
        <v/>
      </c>
      <c r="J1476" s="2" t="n"/>
    </row>
    <row r="1477">
      <c r="A1477" s="2" t="inlineStr">
        <is>
          <t>IMP01470</t>
        </is>
      </c>
      <c r="B1477" s="2" t="n">
        <v>24</v>
      </c>
      <c r="C1477" s="19" t="n">
        <v>0.909</v>
      </c>
      <c r="D1477" s="29" t="n">
        <v>0.1667</v>
      </c>
      <c r="E1477" s="2" t="n">
        <v>1</v>
      </c>
      <c r="F1477" s="2" t="n">
        <v>0</v>
      </c>
      <c r="G1477" s="2" t="n">
        <v>0</v>
      </c>
      <c r="H1477" s="30">
        <f>IF(AND(B1477&gt;=5,C1477&lt;&gt;"",C1477&lt;0.8),1,0)</f>
        <v/>
      </c>
      <c r="I1477" s="30">
        <f>IF(AND(B1477&gt;=8,D1477&lt;&gt;"",D1477&gt;=0.25,D1477&lt;=0.75),1,0)</f>
        <v/>
      </c>
      <c r="J1477" s="2" t="n"/>
    </row>
    <row r="1478">
      <c r="A1478" s="2" t="inlineStr">
        <is>
          <t>IMP01471</t>
        </is>
      </c>
      <c r="B1478" s="2" t="n">
        <v>183</v>
      </c>
      <c r="C1478" s="19" t="n">
        <v>0.988</v>
      </c>
      <c r="D1478" s="29" t="n">
        <v>0.0546</v>
      </c>
      <c r="E1478" s="2" t="n">
        <v>1</v>
      </c>
      <c r="F1478" s="2" t="n">
        <v>0</v>
      </c>
      <c r="G1478" s="2" t="n">
        <v>0</v>
      </c>
      <c r="H1478" s="30">
        <f>IF(AND(B1478&gt;=5,C1478&lt;&gt;"",C1478&lt;0.8),1,0)</f>
        <v/>
      </c>
      <c r="I1478" s="30">
        <f>IF(AND(B1478&gt;=8,D1478&lt;&gt;"",D1478&gt;=0.25,D1478&lt;=0.75),1,0)</f>
        <v/>
      </c>
      <c r="J1478" s="2" t="n"/>
    </row>
    <row r="1479">
      <c r="A1479" s="2" t="inlineStr">
        <is>
          <t>IMP01472</t>
        </is>
      </c>
      <c r="B1479" s="2" t="n">
        <v>17</v>
      </c>
      <c r="C1479" s="19" t="n">
        <v>1.113</v>
      </c>
      <c r="D1479" s="29" t="n">
        <v>0</v>
      </c>
      <c r="E1479" s="2" t="n">
        <v>3</v>
      </c>
      <c r="F1479" s="2" t="n">
        <v>0</v>
      </c>
      <c r="G1479" s="2" t="n">
        <v>0</v>
      </c>
      <c r="H1479" s="30">
        <f>IF(AND(B1479&gt;=5,C1479&lt;&gt;"",C1479&lt;0.8),1,0)</f>
        <v/>
      </c>
      <c r="I1479" s="30">
        <f>IF(AND(B1479&gt;=8,D1479&lt;&gt;"",D1479&gt;=0.25,D1479&lt;=0.75),1,0)</f>
        <v/>
      </c>
      <c r="J1479" s="2" t="n"/>
    </row>
    <row r="1480">
      <c r="A1480" s="2" t="inlineStr">
        <is>
          <t>IMP01473</t>
        </is>
      </c>
      <c r="B1480" s="2" t="n">
        <v>41</v>
      </c>
      <c r="C1480" s="19" t="n">
        <v>0.999</v>
      </c>
      <c r="D1480" s="29" t="n">
        <v>0.0244</v>
      </c>
      <c r="E1480" s="2" t="n">
        <v>1</v>
      </c>
      <c r="F1480" s="2" t="n">
        <v>0</v>
      </c>
      <c r="G1480" s="2" t="n">
        <v>0</v>
      </c>
      <c r="H1480" s="30">
        <f>IF(AND(B1480&gt;=5,C1480&lt;&gt;"",C1480&lt;0.8),1,0)</f>
        <v/>
      </c>
      <c r="I1480" s="30">
        <f>IF(AND(B1480&gt;=8,D1480&lt;&gt;"",D1480&gt;=0.25,D1480&lt;=0.75),1,0)</f>
        <v/>
      </c>
      <c r="J1480" s="2" t="n"/>
    </row>
    <row r="1481">
      <c r="A1481" s="2" t="inlineStr">
        <is>
          <t>IMP01474</t>
        </is>
      </c>
      <c r="B1481" s="2" t="n">
        <v>0</v>
      </c>
      <c r="C1481" s="19" t="n"/>
      <c r="D1481" s="29" t="n"/>
      <c r="E1481" s="2" t="n">
        <v>0</v>
      </c>
      <c r="F1481" s="2" t="n">
        <v>0</v>
      </c>
      <c r="G1481" s="2" t="n">
        <v>0</v>
      </c>
      <c r="H1481" s="30">
        <f>IF(AND(B1481&gt;=5,C1481&lt;&gt;"",C1481&lt;0.8),1,0)</f>
        <v/>
      </c>
      <c r="I1481" s="30">
        <f>IF(AND(B1481&gt;=8,D1481&lt;&gt;"",D1481&gt;=0.25,D1481&lt;=0.75),1,0)</f>
        <v/>
      </c>
      <c r="J1481" s="2" t="n"/>
    </row>
    <row r="1482">
      <c r="A1482" s="2" t="inlineStr">
        <is>
          <t>IMP01475</t>
        </is>
      </c>
      <c r="B1482" s="2" t="n">
        <v>1</v>
      </c>
      <c r="C1482" s="19" t="n">
        <v>0.869</v>
      </c>
      <c r="D1482" s="29" t="n">
        <v>0</v>
      </c>
      <c r="E1482" s="2" t="n">
        <v>1</v>
      </c>
      <c r="F1482" s="2" t="n">
        <v>0</v>
      </c>
      <c r="G1482" s="2" t="n">
        <v>0</v>
      </c>
      <c r="H1482" s="30">
        <f>IF(AND(B1482&gt;=5,C1482&lt;&gt;"",C1482&lt;0.8),1,0)</f>
        <v/>
      </c>
      <c r="I1482" s="30">
        <f>IF(AND(B1482&gt;=8,D1482&lt;&gt;"",D1482&gt;=0.25,D1482&lt;=0.75),1,0)</f>
        <v/>
      </c>
      <c r="J1482" s="2" t="n"/>
    </row>
    <row r="1483">
      <c r="A1483" s="2" t="inlineStr">
        <is>
          <t>IMP01476</t>
        </is>
      </c>
      <c r="B1483" s="2" t="n">
        <v>0</v>
      </c>
      <c r="C1483" s="19" t="n"/>
      <c r="D1483" s="29" t="n"/>
      <c r="E1483" s="2" t="n">
        <v>0</v>
      </c>
      <c r="F1483" s="2" t="n">
        <v>0</v>
      </c>
      <c r="G1483" s="2" t="n">
        <v>0</v>
      </c>
      <c r="H1483" s="30">
        <f>IF(AND(B1483&gt;=5,C1483&lt;&gt;"",C1483&lt;0.8),1,0)</f>
        <v/>
      </c>
      <c r="I1483" s="30">
        <f>IF(AND(B1483&gt;=8,D1483&lt;&gt;"",D1483&gt;=0.25,D1483&lt;=0.75),1,0)</f>
        <v/>
      </c>
      <c r="J1483" s="2" t="n"/>
    </row>
    <row r="1484">
      <c r="A1484" s="2" t="inlineStr">
        <is>
          <t>IMP01477</t>
        </is>
      </c>
      <c r="B1484" s="2" t="n">
        <v>2</v>
      </c>
      <c r="C1484" s="19" t="n">
        <v>3.4055</v>
      </c>
      <c r="D1484" s="29" t="n">
        <v>0.5</v>
      </c>
      <c r="E1484" s="2" t="n">
        <v>9</v>
      </c>
      <c r="F1484" s="2" t="n">
        <v>0</v>
      </c>
      <c r="G1484" s="2" t="n">
        <v>0</v>
      </c>
      <c r="H1484" s="30">
        <f>IF(AND(B1484&gt;=5,C1484&lt;&gt;"",C1484&lt;0.8),1,0)</f>
        <v/>
      </c>
      <c r="I1484" s="30">
        <f>IF(AND(B1484&gt;=8,D1484&lt;&gt;"",D1484&gt;=0.25,D1484&lt;=0.75),1,0)</f>
        <v/>
      </c>
      <c r="J1484" s="2" t="n"/>
    </row>
    <row r="1485">
      <c r="A1485" s="2" t="inlineStr">
        <is>
          <t>IMP01478</t>
        </is>
      </c>
      <c r="B1485" s="2" t="n">
        <v>120</v>
      </c>
      <c r="C1485" s="19" t="n">
        <v>1.017</v>
      </c>
      <c r="D1485" s="29" t="n">
        <v>0.375</v>
      </c>
      <c r="E1485" s="2" t="n">
        <v>2</v>
      </c>
      <c r="F1485" s="2" t="n">
        <v>0</v>
      </c>
      <c r="G1485" s="2" t="n">
        <v>1</v>
      </c>
      <c r="H1485" s="30">
        <f>IF(AND(B1485&gt;=5,C1485&lt;&gt;"",C1485&lt;0.8),1,0)</f>
        <v/>
      </c>
      <c r="I1485" s="30">
        <f>IF(AND(B1485&gt;=8,D1485&lt;&gt;"",D1485&gt;=0.25,D1485&lt;=0.75),1,0)</f>
        <v/>
      </c>
      <c r="J1485" s="2" t="n"/>
    </row>
    <row r="1486">
      <c r="A1486" s="2" t="inlineStr">
        <is>
          <t>IMP01479</t>
        </is>
      </c>
      <c r="B1486" s="2" t="n">
        <v>33</v>
      </c>
      <c r="C1486" s="19" t="n">
        <v>0.925</v>
      </c>
      <c r="D1486" s="29" t="n">
        <v>0.1212</v>
      </c>
      <c r="E1486" s="2" t="n">
        <v>1</v>
      </c>
      <c r="F1486" s="2" t="n">
        <v>0</v>
      </c>
      <c r="G1486" s="2" t="n">
        <v>0</v>
      </c>
      <c r="H1486" s="30">
        <f>IF(AND(B1486&gt;=5,C1486&lt;&gt;"",C1486&lt;0.8),1,0)</f>
        <v/>
      </c>
      <c r="I1486" s="30">
        <f>IF(AND(B1486&gt;=8,D1486&lt;&gt;"",D1486&gt;=0.25,D1486&lt;=0.75),1,0)</f>
        <v/>
      </c>
      <c r="J1486" s="2" t="n"/>
    </row>
    <row r="1487">
      <c r="A1487" s="2" t="inlineStr">
        <is>
          <t>IMP01480</t>
        </is>
      </c>
      <c r="B1487" s="2" t="n">
        <v>31</v>
      </c>
      <c r="C1487" s="19" t="n">
        <v>0.8265</v>
      </c>
      <c r="D1487" s="29" t="n">
        <v>0.2581</v>
      </c>
      <c r="E1487" s="2" t="n">
        <v>1</v>
      </c>
      <c r="F1487" s="2" t="n">
        <v>0</v>
      </c>
      <c r="G1487" s="2" t="n">
        <v>1</v>
      </c>
      <c r="H1487" s="30">
        <f>IF(AND(B1487&gt;=5,C1487&lt;&gt;"",C1487&lt;0.8),1,0)</f>
        <v/>
      </c>
      <c r="I1487" s="30">
        <f>IF(AND(B1487&gt;=8,D1487&lt;&gt;"",D1487&gt;=0.25,D1487&lt;=0.75),1,0)</f>
        <v/>
      </c>
      <c r="J1487" s="2" t="n"/>
    </row>
    <row r="1488">
      <c r="A1488" s="2" t="inlineStr">
        <is>
          <t>IMP01481</t>
        </is>
      </c>
      <c r="B1488" s="2" t="n">
        <v>52</v>
      </c>
      <c r="C1488" s="19" t="n">
        <v>1.007</v>
      </c>
      <c r="D1488" s="29" t="n">
        <v>0</v>
      </c>
      <c r="E1488" s="2" t="n">
        <v>1</v>
      </c>
      <c r="F1488" s="2" t="n">
        <v>0</v>
      </c>
      <c r="G1488" s="2" t="n">
        <v>0</v>
      </c>
      <c r="H1488" s="30">
        <f>IF(AND(B1488&gt;=5,C1488&lt;&gt;"",C1488&lt;0.8),1,0)</f>
        <v/>
      </c>
      <c r="I1488" s="30">
        <f>IF(AND(B1488&gt;=8,D1488&lt;&gt;"",D1488&gt;=0.25,D1488&lt;=0.75),1,0)</f>
        <v/>
      </c>
      <c r="J1488" s="2" t="n"/>
    </row>
    <row r="1489">
      <c r="A1489" s="2" t="inlineStr">
        <is>
          <t>IMP01482</t>
        </is>
      </c>
      <c r="B1489" s="2" t="n">
        <v>80</v>
      </c>
      <c r="C1489" s="19" t="n">
        <v>1.164</v>
      </c>
      <c r="D1489" s="29" t="n">
        <v>0.075</v>
      </c>
      <c r="E1489" s="2" t="n">
        <v>1</v>
      </c>
      <c r="F1489" s="2" t="n">
        <v>0</v>
      </c>
      <c r="G1489" s="2" t="n">
        <v>0</v>
      </c>
      <c r="H1489" s="30">
        <f>IF(AND(B1489&gt;=5,C1489&lt;&gt;"",C1489&lt;0.8),1,0)</f>
        <v/>
      </c>
      <c r="I1489" s="30">
        <f>IF(AND(B1489&gt;=8,D1489&lt;&gt;"",D1489&gt;=0.25,D1489&lt;=0.75),1,0)</f>
        <v/>
      </c>
      <c r="J1489" s="2" t="n"/>
    </row>
    <row r="1490">
      <c r="A1490" s="2" t="inlineStr">
        <is>
          <t>IMP01483</t>
        </is>
      </c>
      <c r="B1490" s="2" t="n">
        <v>75</v>
      </c>
      <c r="C1490" s="19" t="n">
        <v>1.245</v>
      </c>
      <c r="D1490" s="29" t="n">
        <v>0.2</v>
      </c>
      <c r="E1490" s="2" t="n">
        <v>1</v>
      </c>
      <c r="F1490" s="2" t="n">
        <v>0</v>
      </c>
      <c r="G1490" s="2" t="n">
        <v>0</v>
      </c>
      <c r="H1490" s="30">
        <f>IF(AND(B1490&gt;=5,C1490&lt;&gt;"",C1490&lt;0.8),1,0)</f>
        <v/>
      </c>
      <c r="I1490" s="30">
        <f>IF(AND(B1490&gt;=8,D1490&lt;&gt;"",D1490&gt;=0.25,D1490&lt;=0.75),1,0)</f>
        <v/>
      </c>
      <c r="J1490" s="2" t="n"/>
    </row>
    <row r="1491">
      <c r="A1491" s="2" t="inlineStr">
        <is>
          <t>IMP01484</t>
        </is>
      </c>
      <c r="B1491" s="2" t="n">
        <v>95</v>
      </c>
      <c r="C1491" s="19" t="n">
        <v>0.984</v>
      </c>
      <c r="D1491" s="29" t="n">
        <v>0.0842</v>
      </c>
      <c r="E1491" s="2" t="n">
        <v>1</v>
      </c>
      <c r="F1491" s="2" t="n">
        <v>0</v>
      </c>
      <c r="G1491" s="2" t="n">
        <v>0</v>
      </c>
      <c r="H1491" s="30">
        <f>IF(AND(B1491&gt;=5,C1491&lt;&gt;"",C1491&lt;0.8),1,0)</f>
        <v/>
      </c>
      <c r="I1491" s="30">
        <f>IF(AND(B1491&gt;=8,D1491&lt;&gt;"",D1491&gt;=0.25,D1491&lt;=0.75),1,0)</f>
        <v/>
      </c>
      <c r="J1491" s="2" t="n"/>
    </row>
    <row r="1492">
      <c r="A1492" s="2" t="inlineStr">
        <is>
          <t>IMP01485</t>
        </is>
      </c>
      <c r="B1492" s="2" t="n">
        <v>27</v>
      </c>
      <c r="C1492" s="19" t="n">
        <v>1.052</v>
      </c>
      <c r="D1492" s="29" t="n">
        <v>0</v>
      </c>
      <c r="E1492" s="2" t="n">
        <v>1</v>
      </c>
      <c r="F1492" s="2" t="n">
        <v>0</v>
      </c>
      <c r="G1492" s="2" t="n">
        <v>0</v>
      </c>
      <c r="H1492" s="30">
        <f>IF(AND(B1492&gt;=5,C1492&lt;&gt;"",C1492&lt;0.8),1,0)</f>
        <v/>
      </c>
      <c r="I1492" s="30">
        <f>IF(AND(B1492&gt;=8,D1492&lt;&gt;"",D1492&gt;=0.25,D1492&lt;=0.75),1,0)</f>
        <v/>
      </c>
      <c r="J1492" s="2" t="n"/>
    </row>
    <row r="1493">
      <c r="A1493" s="2" t="inlineStr">
        <is>
          <t>IMP01486</t>
        </is>
      </c>
      <c r="B1493" s="2" t="n">
        <v>140</v>
      </c>
      <c r="C1493" s="19" t="n">
        <v>0.9525</v>
      </c>
      <c r="D1493" s="29" t="n">
        <v>0.0571</v>
      </c>
      <c r="E1493" s="2" t="n">
        <v>1</v>
      </c>
      <c r="F1493" s="2" t="n">
        <v>0</v>
      </c>
      <c r="G1493" s="2" t="n">
        <v>0</v>
      </c>
      <c r="H1493" s="30">
        <f>IF(AND(B1493&gt;=5,C1493&lt;&gt;"",C1493&lt;0.8),1,0)</f>
        <v/>
      </c>
      <c r="I1493" s="30">
        <f>IF(AND(B1493&gt;=8,D1493&lt;&gt;"",D1493&gt;=0.25,D1493&lt;=0.75),1,0)</f>
        <v/>
      </c>
      <c r="J1493" s="2" t="n"/>
    </row>
    <row r="1494">
      <c r="A1494" s="2" t="inlineStr">
        <is>
          <t>IMP01487</t>
        </is>
      </c>
      <c r="B1494" s="2" t="n">
        <v>19</v>
      </c>
      <c r="C1494" s="19" t="n">
        <v>1.0205</v>
      </c>
      <c r="D1494" s="29" t="n">
        <v>0</v>
      </c>
      <c r="E1494" s="2" t="n">
        <v>1</v>
      </c>
      <c r="F1494" s="2" t="n">
        <v>0</v>
      </c>
      <c r="G1494" s="2" t="n">
        <v>0</v>
      </c>
      <c r="H1494" s="30">
        <f>IF(AND(B1494&gt;=5,C1494&lt;&gt;"",C1494&lt;0.8),1,0)</f>
        <v/>
      </c>
      <c r="I1494" s="30">
        <f>IF(AND(B1494&gt;=8,D1494&lt;&gt;"",D1494&gt;=0.25,D1494&lt;=0.75),1,0)</f>
        <v/>
      </c>
      <c r="J1494" s="2" t="n"/>
    </row>
    <row r="1495">
      <c r="A1495" s="2" t="inlineStr">
        <is>
          <t>IMP01488</t>
        </is>
      </c>
      <c r="B1495" s="2" t="n">
        <v>116</v>
      </c>
      <c r="C1495" s="19" t="n">
        <v>0.9125</v>
      </c>
      <c r="D1495" s="29" t="n">
        <v>0.1207</v>
      </c>
      <c r="E1495" s="2" t="n">
        <v>1</v>
      </c>
      <c r="F1495" s="2" t="n">
        <v>0</v>
      </c>
      <c r="G1495" s="2" t="n">
        <v>0</v>
      </c>
      <c r="H1495" s="30">
        <f>IF(AND(B1495&gt;=5,C1495&lt;&gt;"",C1495&lt;0.8),1,0)</f>
        <v/>
      </c>
      <c r="I1495" s="30">
        <f>IF(AND(B1495&gt;=8,D1495&lt;&gt;"",D1495&gt;=0.25,D1495&lt;=0.75),1,0)</f>
        <v/>
      </c>
      <c r="J1495" s="2" t="n"/>
    </row>
    <row r="1496">
      <c r="A1496" s="2" t="inlineStr">
        <is>
          <t>IMP01489</t>
        </is>
      </c>
      <c r="B1496" s="2" t="n">
        <v>3</v>
      </c>
      <c r="C1496" s="19" t="n">
        <v>0.994</v>
      </c>
      <c r="D1496" s="29" t="n">
        <v>0</v>
      </c>
      <c r="E1496" s="2" t="n">
        <v>1</v>
      </c>
      <c r="F1496" s="2" t="n">
        <v>0</v>
      </c>
      <c r="G1496" s="2" t="n">
        <v>0</v>
      </c>
      <c r="H1496" s="30">
        <f>IF(AND(B1496&gt;=5,C1496&lt;&gt;"",C1496&lt;0.8),1,0)</f>
        <v/>
      </c>
      <c r="I1496" s="30">
        <f>IF(AND(B1496&gt;=8,D1496&lt;&gt;"",D1496&gt;=0.25,D1496&lt;=0.75),1,0)</f>
        <v/>
      </c>
      <c r="J1496" s="2" t="n"/>
    </row>
    <row r="1497">
      <c r="A1497" s="2" t="inlineStr">
        <is>
          <t>IMP01490</t>
        </is>
      </c>
      <c r="B1497" s="2" t="n">
        <v>138</v>
      </c>
      <c r="C1497" s="19" t="n">
        <v>1.011</v>
      </c>
      <c r="D1497" s="29" t="n">
        <v>0.0072</v>
      </c>
      <c r="E1497" s="2" t="n">
        <v>2</v>
      </c>
      <c r="F1497" s="2" t="n">
        <v>0</v>
      </c>
      <c r="G1497" s="2" t="n">
        <v>0</v>
      </c>
      <c r="H1497" s="30">
        <f>IF(AND(B1497&gt;=5,C1497&lt;&gt;"",C1497&lt;0.8),1,0)</f>
        <v/>
      </c>
      <c r="I1497" s="30">
        <f>IF(AND(B1497&gt;=8,D1497&lt;&gt;"",D1497&gt;=0.25,D1497&lt;=0.75),1,0)</f>
        <v/>
      </c>
      <c r="J1497" s="2" t="n"/>
    </row>
    <row r="1498">
      <c r="A1498" s="2" t="inlineStr">
        <is>
          <t>IMP01491</t>
        </is>
      </c>
      <c r="B1498" s="2" t="n">
        <v>64</v>
      </c>
      <c r="C1498" s="19" t="n">
        <v>1.0005</v>
      </c>
      <c r="D1498" s="29" t="n">
        <v>0.25</v>
      </c>
      <c r="E1498" s="2" t="n">
        <v>1</v>
      </c>
      <c r="F1498" s="2" t="n">
        <v>0</v>
      </c>
      <c r="G1498" s="2" t="n">
        <v>1</v>
      </c>
      <c r="H1498" s="30">
        <f>IF(AND(B1498&gt;=5,C1498&lt;&gt;"",C1498&lt;0.8),1,0)</f>
        <v/>
      </c>
      <c r="I1498" s="30">
        <f>IF(AND(B1498&gt;=8,D1498&lt;&gt;"",D1498&gt;=0.25,D1498&lt;=0.75),1,0)</f>
        <v/>
      </c>
      <c r="J1498" s="2" t="n"/>
    </row>
    <row r="1499">
      <c r="A1499" s="2" t="inlineStr">
        <is>
          <t>IMP01492</t>
        </is>
      </c>
      <c r="B1499" s="2" t="n">
        <v>6</v>
      </c>
      <c r="C1499" s="19" t="n">
        <v>1.072</v>
      </c>
      <c r="D1499" s="29" t="n">
        <v>0.1667</v>
      </c>
      <c r="E1499" s="2" t="n">
        <v>2</v>
      </c>
      <c r="F1499" s="2" t="n">
        <v>0</v>
      </c>
      <c r="G1499" s="2" t="n">
        <v>0</v>
      </c>
      <c r="H1499" s="30">
        <f>IF(AND(B1499&gt;=5,C1499&lt;&gt;"",C1499&lt;0.8),1,0)</f>
        <v/>
      </c>
      <c r="I1499" s="30">
        <f>IF(AND(B1499&gt;=8,D1499&lt;&gt;"",D1499&gt;=0.25,D1499&lt;=0.75),1,0)</f>
        <v/>
      </c>
      <c r="J1499" s="2" t="n"/>
    </row>
    <row r="1500">
      <c r="A1500" s="2" t="inlineStr">
        <is>
          <t>IMP01493</t>
        </is>
      </c>
      <c r="B1500" s="2" t="n">
        <v>0</v>
      </c>
      <c r="C1500" s="19" t="n"/>
      <c r="D1500" s="29" t="n"/>
      <c r="E1500" s="2" t="n">
        <v>0</v>
      </c>
      <c r="F1500" s="2" t="n">
        <v>0</v>
      </c>
      <c r="G1500" s="2" t="n">
        <v>0</v>
      </c>
      <c r="H1500" s="30">
        <f>IF(AND(B1500&gt;=5,C1500&lt;&gt;"",C1500&lt;0.8),1,0)</f>
        <v/>
      </c>
      <c r="I1500" s="30">
        <f>IF(AND(B1500&gt;=8,D1500&lt;&gt;"",D1500&gt;=0.25,D1500&lt;=0.75),1,0)</f>
        <v/>
      </c>
      <c r="J1500" s="2" t="n"/>
    </row>
    <row r="1501">
      <c r="A1501" s="2" t="inlineStr">
        <is>
          <t>IMP01494</t>
        </is>
      </c>
      <c r="B1501" s="2" t="n">
        <v>101</v>
      </c>
      <c r="C1501" s="19" t="n">
        <v>0.833</v>
      </c>
      <c r="D1501" s="29" t="n">
        <v>0.4554</v>
      </c>
      <c r="E1501" s="2" t="n">
        <v>2</v>
      </c>
      <c r="F1501" s="2" t="n">
        <v>0</v>
      </c>
      <c r="G1501" s="2" t="n">
        <v>1</v>
      </c>
      <c r="H1501" s="30">
        <f>IF(AND(B1501&gt;=5,C1501&lt;&gt;"",C1501&lt;0.8),1,0)</f>
        <v/>
      </c>
      <c r="I1501" s="30">
        <f>IF(AND(B1501&gt;=8,D1501&lt;&gt;"",D1501&gt;=0.25,D1501&lt;=0.75),1,0)</f>
        <v/>
      </c>
      <c r="J1501" s="2" t="n"/>
    </row>
    <row r="1502">
      <c r="A1502" s="2" t="inlineStr">
        <is>
          <t>IMP01495</t>
        </is>
      </c>
      <c r="B1502" s="2" t="n">
        <v>0</v>
      </c>
      <c r="C1502" s="19" t="n"/>
      <c r="D1502" s="29" t="n"/>
      <c r="E1502" s="2" t="n">
        <v>0</v>
      </c>
      <c r="F1502" s="2" t="n">
        <v>0</v>
      </c>
      <c r="G1502" s="2" t="n">
        <v>0</v>
      </c>
      <c r="H1502" s="30">
        <f>IF(AND(B1502&gt;=5,C1502&lt;&gt;"",C1502&lt;0.8),1,0)</f>
        <v/>
      </c>
      <c r="I1502" s="30">
        <f>IF(AND(B1502&gt;=8,D1502&lt;&gt;"",D1502&gt;=0.25,D1502&lt;=0.75),1,0)</f>
        <v/>
      </c>
      <c r="J1502" s="2" t="n"/>
    </row>
    <row r="1503">
      <c r="A1503" s="2" t="inlineStr">
        <is>
          <t>IMP01496</t>
        </is>
      </c>
      <c r="B1503" s="2" t="n">
        <v>48</v>
      </c>
      <c r="C1503" s="19" t="n">
        <v>0.82</v>
      </c>
      <c r="D1503" s="29" t="n">
        <v>0.2083</v>
      </c>
      <c r="E1503" s="2" t="n">
        <v>1</v>
      </c>
      <c r="F1503" s="2" t="n">
        <v>0</v>
      </c>
      <c r="G1503" s="2" t="n">
        <v>0</v>
      </c>
      <c r="H1503" s="30">
        <f>IF(AND(B1503&gt;=5,C1503&lt;&gt;"",C1503&lt;0.8),1,0)</f>
        <v/>
      </c>
      <c r="I1503" s="30">
        <f>IF(AND(B1503&gt;=8,D1503&lt;&gt;"",D1503&gt;=0.25,D1503&lt;=0.75),1,0)</f>
        <v/>
      </c>
      <c r="J1503" s="2" t="n"/>
    </row>
    <row r="1504">
      <c r="A1504" s="2" t="inlineStr">
        <is>
          <t>IMP01497</t>
        </is>
      </c>
      <c r="B1504" s="2" t="n">
        <v>17</v>
      </c>
      <c r="C1504" s="19" t="n">
        <v>1.226</v>
      </c>
      <c r="D1504" s="29" t="n">
        <v>0</v>
      </c>
      <c r="E1504" s="2" t="n">
        <v>1</v>
      </c>
      <c r="F1504" s="2" t="n">
        <v>0</v>
      </c>
      <c r="G1504" s="2" t="n">
        <v>0</v>
      </c>
      <c r="H1504" s="30">
        <f>IF(AND(B1504&gt;=5,C1504&lt;&gt;"",C1504&lt;0.8),1,0)</f>
        <v/>
      </c>
      <c r="I1504" s="30">
        <f>IF(AND(B1504&gt;=8,D1504&lt;&gt;"",D1504&gt;=0.25,D1504&lt;=0.75),1,0)</f>
        <v/>
      </c>
      <c r="J1504" s="2" t="n"/>
    </row>
    <row r="1505">
      <c r="A1505" s="2" t="inlineStr">
        <is>
          <t>IMP01498</t>
        </is>
      </c>
      <c r="B1505" s="2" t="n">
        <v>50</v>
      </c>
      <c r="C1505" s="19" t="n">
        <v>0.9415</v>
      </c>
      <c r="D1505" s="29" t="n">
        <v>0.12</v>
      </c>
      <c r="E1505" s="2" t="n">
        <v>2</v>
      </c>
      <c r="F1505" s="2" t="n">
        <v>0</v>
      </c>
      <c r="G1505" s="2" t="n">
        <v>0</v>
      </c>
      <c r="H1505" s="30">
        <f>IF(AND(B1505&gt;=5,C1505&lt;&gt;"",C1505&lt;0.8),1,0)</f>
        <v/>
      </c>
      <c r="I1505" s="30">
        <f>IF(AND(B1505&gt;=8,D1505&lt;&gt;"",D1505&gt;=0.25,D1505&lt;=0.75),1,0)</f>
        <v/>
      </c>
      <c r="J1505" s="2" t="n"/>
    </row>
    <row r="1506">
      <c r="A1506" s="2" t="inlineStr">
        <is>
          <t>IMP01499</t>
        </is>
      </c>
      <c r="B1506" s="2" t="n">
        <v>1</v>
      </c>
      <c r="C1506" s="19" t="n">
        <v>1.38</v>
      </c>
      <c r="D1506" s="29" t="n">
        <v>0</v>
      </c>
      <c r="E1506" s="2" t="n">
        <v>1</v>
      </c>
      <c r="F1506" s="2" t="n">
        <v>0</v>
      </c>
      <c r="G1506" s="2" t="n">
        <v>0</v>
      </c>
      <c r="H1506" s="30">
        <f>IF(AND(B1506&gt;=5,C1506&lt;&gt;"",C1506&lt;0.8),1,0)</f>
        <v/>
      </c>
      <c r="I1506" s="30">
        <f>IF(AND(B1506&gt;=8,D1506&lt;&gt;"",D1506&gt;=0.25,D1506&lt;=0.75),1,0)</f>
        <v/>
      </c>
      <c r="J1506" s="2" t="n"/>
    </row>
    <row r="1507">
      <c r="A1507" s="2" t="inlineStr">
        <is>
          <t>IMP01500</t>
        </is>
      </c>
      <c r="B1507" s="2" t="n">
        <v>5</v>
      </c>
      <c r="C1507" s="19" t="n">
        <v>1.013</v>
      </c>
      <c r="D1507" s="29" t="n">
        <v>0</v>
      </c>
      <c r="E1507" s="2" t="n">
        <v>2</v>
      </c>
      <c r="F1507" s="2" t="n">
        <v>0</v>
      </c>
      <c r="G1507" s="2" t="n">
        <v>0</v>
      </c>
      <c r="H1507" s="30">
        <f>IF(AND(B1507&gt;=5,C1507&lt;&gt;"",C1507&lt;0.8),1,0)</f>
        <v/>
      </c>
      <c r="I1507" s="30">
        <f>IF(AND(B1507&gt;=8,D1507&lt;&gt;"",D1507&gt;=0.25,D1507&lt;=0.75),1,0)</f>
        <v/>
      </c>
      <c r="J1507" s="2" t="n"/>
    </row>
    <row r="1508">
      <c r="A1508" s="2" t="inlineStr">
        <is>
          <t>IMP01501</t>
        </is>
      </c>
      <c r="B1508" s="2" t="n">
        <v>0</v>
      </c>
      <c r="C1508" s="19" t="n"/>
      <c r="D1508" s="29" t="n"/>
      <c r="E1508" s="2" t="n">
        <v>0</v>
      </c>
      <c r="F1508" s="2" t="n">
        <v>0</v>
      </c>
      <c r="G1508" s="2" t="n">
        <v>0</v>
      </c>
      <c r="H1508" s="30">
        <f>IF(AND(B1508&gt;=5,C1508&lt;&gt;"",C1508&lt;0.8),1,0)</f>
        <v/>
      </c>
      <c r="I1508" s="30">
        <f>IF(AND(B1508&gt;=8,D1508&lt;&gt;"",D1508&gt;=0.25,D1508&lt;=0.75),1,0)</f>
        <v/>
      </c>
      <c r="J1508" s="2" t="n"/>
    </row>
    <row r="1509">
      <c r="A1509" s="2" t="inlineStr">
        <is>
          <t>IMP01502</t>
        </is>
      </c>
      <c r="B1509" s="2" t="n">
        <v>0</v>
      </c>
      <c r="C1509" s="19" t="n"/>
      <c r="D1509" s="29" t="n"/>
      <c r="E1509" s="2" t="n">
        <v>0</v>
      </c>
      <c r="F1509" s="2" t="n">
        <v>0</v>
      </c>
      <c r="G1509" s="2" t="n">
        <v>0</v>
      </c>
      <c r="H1509" s="30">
        <f>IF(AND(B1509&gt;=5,C1509&lt;&gt;"",C1509&lt;0.8),1,0)</f>
        <v/>
      </c>
      <c r="I1509" s="30">
        <f>IF(AND(B1509&gt;=8,D1509&lt;&gt;"",D1509&gt;=0.25,D1509&lt;=0.75),1,0)</f>
        <v/>
      </c>
      <c r="J1509" s="2" t="n"/>
    </row>
  </sheetData>
  <mergeCells count="1">
    <mergeCell ref="A4:J4"/>
  </mergeCells>
  <pageMargins left="0.75" right="0.75" top="1" bottom="1" header="0.5" footer="0.5"/>
  <pageSetup orientation="landscape" fitToWidth="1"/>
  <headerFooter>
    <oddHeader/>
    <oddFooter>&amp;LIMF · Data and AI for Customs&amp;R&amp;P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X16"/>
  <sheetViews>
    <sheetView workbookViewId="0">
      <pane ySplit="7" topLeftCell="A8" activePane="bottomLeft" state="frozen"/>
      <selection pane="bottomLeft" activeCell="A1" sqref="A1"/>
    </sheetView>
  </sheetViews>
  <sheetFormatPr baseColWidth="8" defaultRowHeight="15"/>
  <cols>
    <col width="5" customWidth="1" min="1" max="1"/>
    <col width="34" customWidth="1" min="2" max="2"/>
    <col width="8" customWidth="1" min="3" max="3"/>
    <col width="6" customWidth="1" min="4" max="4"/>
    <col width="22" customWidth="1" min="5" max="5"/>
    <col width="10" customWidth="1" min="6" max="6"/>
    <col width="10" customWidth="1" min="7" max="7"/>
    <col width="8" customWidth="1" min="8" max="8"/>
    <col width="9" customWidth="1" min="9" max="9"/>
    <col width="9" customWidth="1" min="10" max="10"/>
    <col width="9" customWidth="1" min="11" max="11"/>
    <col width="9" customWidth="1" min="12" max="12"/>
    <col width="14" customWidth="1" min="13" max="13"/>
    <col width="6" customWidth="1" min="14" max="14"/>
    <col width="16" customWidth="1" min="15" max="15"/>
    <col width="6" customWidth="1" min="16" max="16"/>
    <col width="8" customWidth="1" min="17" max="17"/>
    <col width="6" customWidth="1" min="18" max="18"/>
    <col width="10" customWidth="1" min="19" max="19"/>
    <col width="6" customWidth="1" min="20" max="20"/>
    <col width="14" customWidth="1" min="21" max="21"/>
    <col width="6" customWidth="1" min="22" max="22"/>
    <col width="11" customWidth="1" min="23" max="23"/>
    <col width="22" customWidth="1" min="24" max="24"/>
  </cols>
  <sheetData>
    <row r="1">
      <c r="A1" s="1" t="inlineStr">
        <is>
          <t>Sprint 3 · the invoice lines (the slide's method example first), and what the document reader found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15" t="inlineStr">
        <is>
          <t>The declared price on one basis (dollars, FOB, net of the discount) against the range of the neighbours that pass the floor; the perimeter of the deal beside it. Yellow: your decision and the field that decided.</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row>
    <row r="4" ht="46" customHeight="1">
      <c r="A4" s="5" t="inlineStr">
        <is>
          <t>How each number was computed: declared = the invoice price in dollars, FOB, net of the discount. Neighbours above the floor = accepted lines whose description is at least 0.85 alike (the same heading and origin, last 90 days). Median and middle half = the middle price and the 25th-75th percentile of those neighbours. Share of median = declared ÷ median. Distance in spreads = (declared − median) ÷ the spread, 1.4826 × the median distance from the median (as in 1B). The reader's confidence (conf.) says how sure it is of each field it pulled from the document.</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row>
    <row r="6" ht="32" customHeight="1">
      <c r="A6" s="16" t="inlineStr">
        <is>
          <t>line</t>
        </is>
      </c>
      <c r="B6" s="16" t="inlineStr">
        <is>
          <t>description</t>
        </is>
      </c>
      <c r="C6" s="16" t="inlineStr">
        <is>
          <t>heading</t>
        </is>
      </c>
      <c r="D6" s="16" t="inlineStr">
        <is>
          <t>origin</t>
        </is>
      </c>
      <c r="E6" s="16" t="inlineStr">
        <is>
          <t>invoice price</t>
        </is>
      </c>
      <c r="F6" s="16" t="inlineStr">
        <is>
          <t>declared (USD FOB)</t>
        </is>
      </c>
      <c r="G6" s="16" t="inlineStr">
        <is>
          <t>neighbours above the floor</t>
        </is>
      </c>
      <c r="H6" s="16" t="inlineStr">
        <is>
          <t>median</t>
        </is>
      </c>
      <c r="I6" s="16" t="inlineStr">
        <is>
          <t>middle half, low</t>
        </is>
      </c>
      <c r="J6" s="16" t="inlineStr">
        <is>
          <t>middle half, high</t>
        </is>
      </c>
      <c r="K6" s="16" t="inlineStr">
        <is>
          <t>share of median</t>
        </is>
      </c>
      <c r="L6" s="16" t="inlineStr">
        <is>
          <t>distance in spreads</t>
        </is>
      </c>
      <c r="M6" s="16" t="inlineStr">
        <is>
          <t>related party</t>
        </is>
      </c>
      <c r="N6" s="16" t="inlineStr">
        <is>
          <t>conf.</t>
        </is>
      </c>
      <c r="O6" s="16" t="inlineStr">
        <is>
          <t>royalty clause</t>
        </is>
      </c>
      <c r="P6" s="16" t="inlineStr">
        <is>
          <t>conf.</t>
        </is>
      </c>
      <c r="Q6" s="16" t="inlineStr">
        <is>
          <t>discount</t>
        </is>
      </c>
      <c r="R6" s="16" t="inlineStr">
        <is>
          <t>conf.</t>
        </is>
      </c>
      <c r="S6" s="16" t="inlineStr">
        <is>
          <t>incoterm on the invoice</t>
        </is>
      </c>
      <c r="T6" s="16" t="inlineStr">
        <is>
          <t>conf.</t>
        </is>
      </c>
      <c r="U6" s="16" t="inlineStr">
        <is>
          <t>freight</t>
        </is>
      </c>
      <c r="V6" s="16" t="inlineStr">
        <is>
          <t>conf.</t>
        </is>
      </c>
      <c r="W6" s="16" t="inlineStr">
        <is>
          <t>decision</t>
        </is>
      </c>
      <c r="X6" s="16" t="inlineStr">
        <is>
          <t>the field that decided</t>
        </is>
      </c>
    </row>
    <row r="7">
      <c r="A7" s="17" t="inlineStr">
        <is>
          <t>ref</t>
        </is>
      </c>
      <c r="B7" s="17" t="inlineStr">
        <is>
          <t>description</t>
        </is>
      </c>
      <c r="C7" s="17" t="inlineStr">
        <is>
          <t>hs6</t>
        </is>
      </c>
      <c r="D7" s="17" t="inlineStr">
        <is>
          <t>origin</t>
        </is>
      </c>
      <c r="E7" s="17" t="inlineStr">
        <is>
          <t>unit_price</t>
        </is>
      </c>
      <c r="F7" s="17" t="inlineStr">
        <is>
          <t>declared</t>
        </is>
      </c>
      <c r="G7" s="17" t="inlineStr">
        <is>
          <t>above_floor</t>
        </is>
      </c>
      <c r="H7" s="17" t="inlineStr">
        <is>
          <t>median</t>
        </is>
      </c>
      <c r="I7" s="17" t="inlineStr">
        <is>
          <t>p25</t>
        </is>
      </c>
      <c r="J7" s="17" t="inlineStr">
        <is>
          <t>p75</t>
        </is>
      </c>
      <c r="K7" s="17" t="inlineStr">
        <is>
          <t>share_of_median</t>
        </is>
      </c>
      <c r="L7" s="17" t="inlineStr">
        <is>
          <t>distance_spreads</t>
        </is>
      </c>
      <c r="M7" s="17" t="inlineStr">
        <is>
          <t>related_party</t>
        </is>
      </c>
      <c r="N7" s="17" t="inlineStr">
        <is>
          <t>confidence</t>
        </is>
      </c>
      <c r="O7" s="17" t="inlineStr">
        <is>
          <t>royalty_clause</t>
        </is>
      </c>
      <c r="P7" s="17" t="inlineStr">
        <is>
          <t>confidence</t>
        </is>
      </c>
      <c r="Q7" s="17" t="inlineStr">
        <is>
          <t>discount</t>
        </is>
      </c>
      <c r="R7" s="17" t="inlineStr">
        <is>
          <t>confidence</t>
        </is>
      </c>
      <c r="S7" s="17" t="inlineStr">
        <is>
          <t>incoterm_on_invoice</t>
        </is>
      </c>
      <c r="T7" s="17" t="inlineStr">
        <is>
          <t>confidence</t>
        </is>
      </c>
      <c r="U7" s="17" t="inlineStr">
        <is>
          <t>freight</t>
        </is>
      </c>
      <c r="V7" s="17" t="inlineStr">
        <is>
          <t>confidence</t>
        </is>
      </c>
      <c r="W7" s="17" t="inlineStr">
        <is>
          <t>decision</t>
        </is>
      </c>
      <c r="X7" s="17" t="inlineStr">
        <is>
          <t>field</t>
        </is>
      </c>
    </row>
    <row r="8">
      <c r="A8" s="31" t="inlineStr">
        <is>
          <t>V2</t>
        </is>
      </c>
      <c r="B8" s="2" t="inlineStr">
        <is>
          <t>Monocrystalline solar panel 400 W</t>
        </is>
      </c>
      <c r="C8" s="2" t="inlineStr">
        <is>
          <t>854143</t>
        </is>
      </c>
      <c r="D8" s="2" t="inlineStr">
        <is>
          <t>CHN</t>
        </is>
      </c>
      <c r="E8" s="2" t="inlineStr">
        <is>
          <t>64.21 USD FOB, discount 5%</t>
        </is>
      </c>
      <c r="F8" s="32" t="n">
        <v>61</v>
      </c>
      <c r="G8" s="31" t="n">
        <v>27</v>
      </c>
      <c r="H8" s="32" t="n">
        <v>74</v>
      </c>
      <c r="I8" s="32" t="n">
        <v>66</v>
      </c>
      <c r="J8" s="32" t="n">
        <v>83</v>
      </c>
      <c r="K8" s="33" t="n">
        <v>0.824</v>
      </c>
      <c r="L8" s="34" t="n">
        <v>-1.08</v>
      </c>
      <c r="M8" s="2" t="inlineStr">
        <is>
          <t>no</t>
        </is>
      </c>
      <c r="N8" s="19" t="n">
        <v>0.93</v>
      </c>
      <c r="O8" s="2" t="inlineStr">
        <is>
          <t>no</t>
        </is>
      </c>
      <c r="P8" s="19" t="n">
        <v>0.88</v>
      </c>
      <c r="Q8" s="2" t="inlineStr">
        <is>
          <t>5%</t>
        </is>
      </c>
      <c r="R8" s="19" t="n">
        <v>0.97</v>
      </c>
      <c r="S8" s="2" t="inlineStr">
        <is>
          <t>FOB</t>
        </is>
      </c>
      <c r="T8" s="19" t="n">
        <v>0.95</v>
      </c>
      <c r="U8" s="2" t="inlineStr"/>
      <c r="V8" s="19" t="n"/>
      <c r="W8" s="24" t="n"/>
      <c r="X8" s="24" t="n"/>
    </row>
    <row r="9">
      <c r="A9" s="2" t="inlineStr">
        <is>
          <t>V1</t>
        </is>
      </c>
      <c r="B9" s="2" t="inlineStr">
        <is>
          <t>Mountain bicycle, 26 inch, aluminium frame</t>
        </is>
      </c>
      <c r="C9" s="2" t="inlineStr">
        <is>
          <t>871200</t>
        </is>
      </c>
      <c r="D9" s="2" t="inlineStr">
        <is>
          <t>CHN</t>
        </is>
      </c>
      <c r="E9" s="2" t="inlineStr">
        <is>
          <t>117.38 USD CIF</t>
        </is>
      </c>
      <c r="F9" s="35" t="n">
        <v>110.74</v>
      </c>
      <c r="G9" s="2" t="n">
        <v>30</v>
      </c>
      <c r="H9" s="35" t="n">
        <v>110.52</v>
      </c>
      <c r="I9" s="35" t="n">
        <v>103.85</v>
      </c>
      <c r="J9" s="35" t="n">
        <v>114.63</v>
      </c>
      <c r="K9" s="29" t="n">
        <v>1.002</v>
      </c>
      <c r="L9" s="18" t="n">
        <v>0.03</v>
      </c>
      <c r="M9" s="2" t="inlineStr">
        <is>
          <t>no</t>
        </is>
      </c>
      <c r="N9" s="19" t="n">
        <v>0.88</v>
      </c>
      <c r="O9" s="2" t="inlineStr">
        <is>
          <t>no</t>
        </is>
      </c>
      <c r="P9" s="19" t="n">
        <v>0.88</v>
      </c>
      <c r="Q9" s="2" t="inlineStr">
        <is>
          <t>none</t>
        </is>
      </c>
      <c r="R9" s="19" t="n">
        <v>0.88</v>
      </c>
      <c r="S9" s="2" t="inlineStr">
        <is>
          <t>CIF</t>
        </is>
      </c>
      <c r="T9" s="19" t="n">
        <v>0.97</v>
      </c>
      <c r="U9" s="2" t="inlineStr"/>
      <c r="V9" s="19" t="n"/>
      <c r="W9" s="24" t="n"/>
      <c r="X9" s="24" t="n"/>
    </row>
    <row r="10">
      <c r="A10" s="2" t="inlineStr">
        <is>
          <t>V3</t>
        </is>
      </c>
      <c r="B10" s="2" t="inlineStr">
        <is>
          <t>Wooden dining chair, rubberwood</t>
        </is>
      </c>
      <c r="C10" s="2" t="inlineStr">
        <is>
          <t>940360</t>
        </is>
      </c>
      <c r="D10" s="2" t="inlineStr">
        <is>
          <t>MYS</t>
        </is>
      </c>
      <c r="E10" s="2" t="inlineStr">
        <is>
          <t>28.80 USD FOB</t>
        </is>
      </c>
      <c r="F10" s="35" t="n">
        <v>28.8</v>
      </c>
      <c r="G10" s="2" t="n">
        <v>30</v>
      </c>
      <c r="H10" s="35" t="n">
        <v>28.93</v>
      </c>
      <c r="I10" s="35" t="n">
        <v>27.23</v>
      </c>
      <c r="J10" s="35" t="n">
        <v>38.1</v>
      </c>
      <c r="K10" s="29" t="n">
        <v>0.996</v>
      </c>
      <c r="L10" s="18" t="n">
        <v>-0.02</v>
      </c>
      <c r="M10" s="2" t="inlineStr">
        <is>
          <t>no</t>
        </is>
      </c>
      <c r="N10" s="19" t="n">
        <v>0.92</v>
      </c>
      <c r="O10" s="2" t="inlineStr">
        <is>
          <t>no</t>
        </is>
      </c>
      <c r="P10" s="19" t="n">
        <v>0.89</v>
      </c>
      <c r="Q10" s="2" t="inlineStr">
        <is>
          <t>none</t>
        </is>
      </c>
      <c r="R10" s="19" t="n">
        <v>0.96</v>
      </c>
      <c r="S10" s="2" t="inlineStr">
        <is>
          <t>FOB</t>
        </is>
      </c>
      <c r="T10" s="19" t="n">
        <v>0.97</v>
      </c>
      <c r="U10" s="2" t="inlineStr"/>
      <c r="V10" s="19" t="n"/>
      <c r="W10" s="24" t="n"/>
      <c r="X10" s="24" t="n"/>
    </row>
    <row r="11">
      <c r="A11" s="2" t="inlineStr">
        <is>
          <t>V4</t>
        </is>
      </c>
      <c r="B11" s="2" t="inlineStr">
        <is>
          <t>Upper-arm blood pressure monitor, automatic</t>
        </is>
      </c>
      <c r="C11" s="2" t="inlineStr">
        <is>
          <t>901819</t>
        </is>
      </c>
      <c r="D11" s="2" t="inlineStr">
        <is>
          <t>CHN</t>
        </is>
      </c>
      <c r="E11" s="2" t="inlineStr">
        <is>
          <t>108.34 CNY EXW</t>
        </is>
      </c>
      <c r="F11" s="35" t="n">
        <v>15.4</v>
      </c>
      <c r="G11" s="2" t="n">
        <v>26</v>
      </c>
      <c r="H11" s="35" t="n">
        <v>15.53</v>
      </c>
      <c r="I11" s="35" t="n">
        <v>13.84</v>
      </c>
      <c r="J11" s="35" t="n">
        <v>16.32</v>
      </c>
      <c r="K11" s="29" t="n">
        <v>0.992</v>
      </c>
      <c r="L11" s="18" t="n">
        <v>-0.08</v>
      </c>
      <c r="M11" s="2" t="inlineStr">
        <is>
          <t>no</t>
        </is>
      </c>
      <c r="N11" s="19" t="n">
        <v>0.9</v>
      </c>
      <c r="O11" s="2" t="inlineStr">
        <is>
          <t>no</t>
        </is>
      </c>
      <c r="P11" s="19" t="n">
        <v>0.9</v>
      </c>
      <c r="Q11" s="2" t="inlineStr">
        <is>
          <t>none</t>
        </is>
      </c>
      <c r="R11" s="19" t="n">
        <v>0.93</v>
      </c>
      <c r="S11" s="2" t="inlineStr">
        <is>
          <t>EXW</t>
        </is>
      </c>
      <c r="T11" s="19" t="n">
        <v>0.9</v>
      </c>
      <c r="U11" s="2" t="inlineStr"/>
      <c r="V11" s="19" t="n"/>
      <c r="W11" s="24" t="n"/>
      <c r="X11" s="24" t="n"/>
    </row>
    <row r="12">
      <c r="A12" s="2" t="inlineStr">
        <is>
          <t>V5</t>
        </is>
      </c>
      <c r="B12" s="2" t="inlineStr">
        <is>
          <t>Portable dental X-ray unit</t>
        </is>
      </c>
      <c r="C12" s="2" t="inlineStr">
        <is>
          <t>902214</t>
        </is>
      </c>
      <c r="D12" s="2" t="inlineStr">
        <is>
          <t>DEU</t>
        </is>
      </c>
      <c r="E12" s="2" t="inlineStr">
        <is>
          <t>5,986.16 EUR CIF</t>
        </is>
      </c>
      <c r="F12" s="35" t="n">
        <v>6300</v>
      </c>
      <c r="G12" s="2" t="n">
        <v>4</v>
      </c>
      <c r="H12" s="35" t="n">
        <v>8646.92</v>
      </c>
      <c r="I12" s="35" t="n">
        <v>8338.15</v>
      </c>
      <c r="J12" s="35" t="n">
        <v>12342.22</v>
      </c>
      <c r="K12" s="29" t="n">
        <v>0.729</v>
      </c>
      <c r="L12" s="18" t="n">
        <v>-3.67</v>
      </c>
      <c r="M12" s="2" t="inlineStr">
        <is>
          <t>no</t>
        </is>
      </c>
      <c r="N12" s="19" t="n">
        <v>0.87</v>
      </c>
      <c r="O12" s="2" t="inlineStr">
        <is>
          <t>no</t>
        </is>
      </c>
      <c r="P12" s="19" t="n">
        <v>0.9</v>
      </c>
      <c r="Q12" s="2" t="inlineStr">
        <is>
          <t>none</t>
        </is>
      </c>
      <c r="R12" s="19" t="n">
        <v>0.9399999999999999</v>
      </c>
      <c r="S12" s="2" t="inlineStr">
        <is>
          <t>CIF</t>
        </is>
      </c>
      <c r="T12" s="19" t="n">
        <v>0.91</v>
      </c>
      <c r="U12" s="2" t="inlineStr"/>
      <c r="V12" s="19" t="n"/>
      <c r="W12" s="24" t="n"/>
      <c r="X12" s="24"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c r="A14" s="9" t="inlineStr">
        <is>
          <t>The highlighted line (V2) is the slide's method example: work it first. The sprint's own line comes with the gate of sprint 2 (the site's sprint 3 page, or the facilitator). The range is a reference for a question, never a value.</t>
        </is>
      </c>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c r="A15" s="9" t="inlineStr">
        <is>
          <t>Fewer than 25 neighbours above the floor is too thin a range to carry a question. The Neighbours sheet recomputes the range from the 30 rows.</t>
        </is>
      </c>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c r="A16" s="9" t="inlineStr">
        <is>
          <t>The mistakes we see most: reading the range as a value; deciding on the median alone; ignoring EXW on the invoice against the incoterm declared.</t>
        </is>
      </c>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row>
  </sheetData>
  <mergeCells count="1">
    <mergeCell ref="A4:X4"/>
  </mergeCells>
  <dataValidations count="1">
    <dataValidation sqref="W8:W12" showDropDown="0" showInputMessage="0" showErrorMessage="0" allowBlank="1" type="list">
      <formula1>"question,indicator,nothing"</formula1>
    </dataValidation>
  </dataValidations>
  <pageMargins left="0.75" right="0.75" top="1" bottom="1" header="0.5" footer="0.5"/>
  <pageSetup orientation="landscape" fitToWidth="1"/>
  <headerFooter>
    <oddHeader/>
    <oddFooter>&amp;LIMF · Data and AI for Customs&amp;R&amp;P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Q147"/>
  <sheetViews>
    <sheetView workbookViewId="0">
      <selection pane="bottomLeft" activeCell="A1" sqref="A1"/>
    </sheetView>
  </sheetViews>
  <sheetFormatPr baseColWidth="8" defaultRowHeight="15"/>
  <cols>
    <col width="7" customWidth="1" min="1" max="1"/>
    <col width="6" customWidth="1" min="2" max="2"/>
    <col width="10" customWidth="1" min="3" max="3"/>
    <col width="9" customWidth="1" min="4" max="4"/>
    <col width="10" customWidth="1" min="5" max="5"/>
    <col width="10" customWidth="1" min="6" max="6"/>
    <col width="11" customWidth="1" min="7" max="7"/>
    <col width="10" customWidth="1" min="8" max="8"/>
    <col width="8" customWidth="1" min="9" max="9"/>
    <col width="8" customWidth="1" min="10" max="10"/>
    <col width="7" customWidth="1" min="11" max="11"/>
    <col width="11" customWidth="1" min="12" max="12"/>
    <col width="9" customWidth="1" min="13" max="13"/>
    <col width="6" customWidth="1" min="14" max="14"/>
    <col width="40" customWidth="1" min="15" max="15"/>
    <col width="8" customWidth="1" min="16" max="16"/>
    <col width="12" customWidth="1" min="17" max="17"/>
  </cols>
  <sheetData>
    <row r="1">
      <c r="A1" s="1" t="inlineStr">
        <is>
          <t>The 30 nearest accepted lines of each invoice line, with the price on one basis</t>
        </is>
      </c>
      <c r="B1" s="2" t="n"/>
      <c r="C1" s="2" t="n"/>
      <c r="D1" s="2" t="n"/>
      <c r="E1" s="2" t="n"/>
      <c r="F1" s="2" t="n"/>
      <c r="G1" s="2" t="n"/>
      <c r="H1" s="2" t="n"/>
      <c r="I1" s="2" t="n"/>
      <c r="J1" s="2" t="n"/>
      <c r="K1" s="2" t="n"/>
      <c r="L1" s="2" t="n"/>
      <c r="M1" s="2" t="n"/>
      <c r="N1" s="2" t="n"/>
      <c r="O1" s="2" t="n"/>
      <c r="P1" s="2" t="n"/>
      <c r="Q1" s="2" t="n"/>
    </row>
    <row r="2">
      <c r="A2" s="15" t="inlineStr">
        <is>
          <t>above floor = 1 when the description is alike enough (similarity at least 0.85). The grey block at the top recomputes the range from the rows below: count, median, middle half, share of median.</t>
        </is>
      </c>
      <c r="B2" s="2" t="n"/>
      <c r="C2" s="2" t="n"/>
      <c r="D2" s="2" t="n"/>
      <c r="E2" s="2" t="n"/>
      <c r="F2" s="2" t="n"/>
      <c r="G2" s="2" t="n"/>
      <c r="H2" s="2" t="n"/>
      <c r="I2" s="2" t="n"/>
      <c r="J2" s="2" t="n"/>
      <c r="K2" s="2" t="n"/>
      <c r="L2" s="2" t="n"/>
      <c r="M2" s="2" t="n"/>
      <c r="N2" s="2" t="n"/>
      <c r="O2" s="2" t="n"/>
      <c r="P2" s="2" t="n"/>
      <c r="Q2" s="2" t="n"/>
    </row>
    <row r="3">
      <c r="A3" s="2" t="n"/>
      <c r="B3" s="2" t="n"/>
      <c r="C3" s="2" t="n"/>
      <c r="D3" s="2" t="n"/>
      <c r="E3" s="2" t="n"/>
      <c r="F3" s="2" t="n"/>
      <c r="G3" s="2" t="n"/>
      <c r="H3" s="2" t="n"/>
      <c r="I3" s="2" t="n"/>
      <c r="J3" s="2" t="n"/>
      <c r="K3" s="2" t="n"/>
      <c r="L3" s="2" t="n"/>
      <c r="M3" s="2" t="n"/>
      <c r="N3" s="2" t="n"/>
      <c r="O3" s="2" t="n"/>
      <c r="P3" s="2" t="n"/>
      <c r="Q3" s="2" t="n"/>
    </row>
    <row r="4" ht="32" customHeight="1">
      <c r="A4" s="16" t="inlineStr">
        <is>
          <t>invoice line</t>
        </is>
      </c>
      <c r="B4" s="16" t="inlineStr">
        <is>
          <t>rows</t>
        </is>
      </c>
      <c r="C4" s="16" t="inlineStr">
        <is>
          <t>above the floor</t>
        </is>
      </c>
      <c r="D4" s="16" t="inlineStr">
        <is>
          <t>median</t>
        </is>
      </c>
      <c r="E4" s="16" t="inlineStr">
        <is>
          <t>middle half, low</t>
        </is>
      </c>
      <c r="F4" s="16" t="inlineStr">
        <is>
          <t>middle half, high</t>
        </is>
      </c>
      <c r="G4" s="16" t="inlineStr">
        <is>
          <t>declared (USD FOB)</t>
        </is>
      </c>
      <c r="H4" s="16" t="inlineStr">
        <is>
          <t>share of median</t>
        </is>
      </c>
      <c r="I4" s="2" t="n"/>
      <c r="J4" s="2" t="n"/>
      <c r="K4" s="2" t="n"/>
      <c r="L4" s="2" t="n"/>
      <c r="M4" s="2" t="n"/>
      <c r="N4" s="2" t="n"/>
      <c r="O4" s="2" t="n"/>
      <c r="P4" s="2" t="n"/>
      <c r="Q4" s="2" t="n"/>
    </row>
    <row r="5">
      <c r="A5" s="17" t="inlineStr">
        <is>
          <t>ref</t>
        </is>
      </c>
      <c r="B5" s="17" t="inlineStr">
        <is>
          <t>rows</t>
        </is>
      </c>
      <c r="C5" s="17" t="inlineStr">
        <is>
          <t>above_floor</t>
        </is>
      </c>
      <c r="D5" s="17" t="inlineStr">
        <is>
          <t>median</t>
        </is>
      </c>
      <c r="E5" s="17" t="inlineStr">
        <is>
          <t>p25</t>
        </is>
      </c>
      <c r="F5" s="17" t="inlineStr">
        <is>
          <t>p75</t>
        </is>
      </c>
      <c r="G5" s="17" t="inlineStr">
        <is>
          <t>declared</t>
        </is>
      </c>
      <c r="H5" s="17" t="inlineStr">
        <is>
          <t>share_of_median</t>
        </is>
      </c>
      <c r="I5" s="2" t="n"/>
      <c r="J5" s="2" t="n"/>
      <c r="K5" s="2" t="n"/>
      <c r="L5" s="2" t="n"/>
      <c r="M5" s="2" t="n"/>
      <c r="N5" s="2" t="n"/>
      <c r="O5" s="2" t="n"/>
      <c r="P5" s="2" t="n"/>
      <c r="Q5" s="2" t="n"/>
    </row>
    <row r="6">
      <c r="A6" s="2" t="inlineStr">
        <is>
          <t>V2</t>
        </is>
      </c>
      <c r="B6" s="2" t="n">
        <v>30</v>
      </c>
      <c r="C6" s="30">
        <f>COUNTIF(E14:E43,1)</f>
        <v/>
      </c>
      <c r="D6" s="36">
        <f>MEDIAN(Q14:Q43)</f>
        <v/>
      </c>
      <c r="E6" s="36">
        <f>QUARTILE(Q14:Q43,1)</f>
        <v/>
      </c>
      <c r="F6" s="36">
        <f>QUARTILE(Q14:Q43,3)</f>
        <v/>
      </c>
      <c r="G6" s="35" t="n">
        <v>61</v>
      </c>
      <c r="H6" s="37">
        <f>IF(D6=0,"",G6/D6)</f>
        <v/>
      </c>
      <c r="I6" s="2" t="n"/>
      <c r="J6" s="2" t="n"/>
      <c r="K6" s="2" t="n"/>
      <c r="L6" s="2" t="n"/>
      <c r="M6" s="2" t="n"/>
      <c r="N6" s="2" t="n"/>
      <c r="O6" s="2" t="n"/>
      <c r="P6" s="2" t="n"/>
      <c r="Q6" s="2" t="n"/>
    </row>
    <row r="7">
      <c r="A7" s="2" t="inlineStr">
        <is>
          <t>V1</t>
        </is>
      </c>
      <c r="B7" s="2" t="n">
        <v>30</v>
      </c>
      <c r="C7" s="30">
        <f>COUNTIF(E44:E73,1)</f>
        <v/>
      </c>
      <c r="D7" s="36">
        <f>MEDIAN(Q44:Q73)</f>
        <v/>
      </c>
      <c r="E7" s="36">
        <f>QUARTILE(Q44:Q73,1)</f>
        <v/>
      </c>
      <c r="F7" s="36">
        <f>QUARTILE(Q44:Q73,3)</f>
        <v/>
      </c>
      <c r="G7" s="35" t="n">
        <v>110.74</v>
      </c>
      <c r="H7" s="37">
        <f>IF(D7=0,"",G7/D7)</f>
        <v/>
      </c>
      <c r="I7" s="2" t="n"/>
      <c r="J7" s="2" t="n"/>
      <c r="K7" s="2" t="n"/>
      <c r="L7" s="2" t="n"/>
      <c r="M7" s="2" t="n"/>
      <c r="N7" s="2" t="n"/>
      <c r="O7" s="2" t="n"/>
      <c r="P7" s="2" t="n"/>
      <c r="Q7" s="2" t="n"/>
    </row>
    <row r="8">
      <c r="A8" s="2" t="inlineStr">
        <is>
          <t>V3</t>
        </is>
      </c>
      <c r="B8" s="2" t="n">
        <v>30</v>
      </c>
      <c r="C8" s="30">
        <f>COUNTIF(E74:E103,1)</f>
        <v/>
      </c>
      <c r="D8" s="36">
        <f>MEDIAN(Q74:Q103)</f>
        <v/>
      </c>
      <c r="E8" s="36">
        <f>QUARTILE(Q74:Q103,1)</f>
        <v/>
      </c>
      <c r="F8" s="36">
        <f>QUARTILE(Q74:Q103,3)</f>
        <v/>
      </c>
      <c r="G8" s="35" t="n">
        <v>28.8</v>
      </c>
      <c r="H8" s="37">
        <f>IF(D8=0,"",G8/D8)</f>
        <v/>
      </c>
      <c r="I8" s="2" t="n"/>
      <c r="J8" s="2" t="n"/>
      <c r="K8" s="2" t="n"/>
      <c r="L8" s="2" t="n"/>
      <c r="M8" s="2" t="n"/>
      <c r="N8" s="2" t="n"/>
      <c r="O8" s="2" t="n"/>
      <c r="P8" s="2" t="n"/>
      <c r="Q8" s="2" t="n"/>
    </row>
    <row r="9">
      <c r="A9" s="2" t="inlineStr">
        <is>
          <t>V4</t>
        </is>
      </c>
      <c r="B9" s="2" t="n">
        <v>30</v>
      </c>
      <c r="C9" s="30">
        <f>COUNTIF(E104:E133,1)</f>
        <v/>
      </c>
      <c r="D9" s="36">
        <f>MEDIAN(Q104:Q133)</f>
        <v/>
      </c>
      <c r="E9" s="36">
        <f>QUARTILE(Q104:Q133,1)</f>
        <v/>
      </c>
      <c r="F9" s="36">
        <f>QUARTILE(Q104:Q133,3)</f>
        <v/>
      </c>
      <c r="G9" s="35" t="n">
        <v>15.4</v>
      </c>
      <c r="H9" s="37">
        <f>IF(D9=0,"",G9/D9)</f>
        <v/>
      </c>
      <c r="I9" s="2" t="n"/>
      <c r="J9" s="2" t="n"/>
      <c r="K9" s="2" t="n"/>
      <c r="L9" s="2" t="n"/>
      <c r="M9" s="2" t="n"/>
      <c r="N9" s="2" t="n"/>
      <c r="O9" s="2" t="n"/>
      <c r="P9" s="2" t="n"/>
      <c r="Q9" s="2" t="n"/>
    </row>
    <row r="10">
      <c r="A10" s="2" t="inlineStr">
        <is>
          <t>V5</t>
        </is>
      </c>
      <c r="B10" s="2" t="n">
        <v>14</v>
      </c>
      <c r="C10" s="30">
        <f>COUNTIF(E134:E147,1)</f>
        <v/>
      </c>
      <c r="D10" s="36">
        <f>MEDIAN(Q134:Q147)</f>
        <v/>
      </c>
      <c r="E10" s="36">
        <f>QUARTILE(Q134:Q147,1)</f>
        <v/>
      </c>
      <c r="F10" s="36">
        <f>QUARTILE(Q134:Q147,3)</f>
        <v/>
      </c>
      <c r="G10" s="35" t="n">
        <v>6300</v>
      </c>
      <c r="H10" s="37">
        <f>IF(D10=0,"",G10/D10)</f>
        <v/>
      </c>
      <c r="I10" s="2" t="n"/>
      <c r="J10" s="2" t="n"/>
      <c r="K10" s="2" t="n"/>
      <c r="L10" s="2" t="n"/>
      <c r="M10" s="2" t="n"/>
      <c r="N10" s="2" t="n"/>
      <c r="O10" s="2" t="n"/>
      <c r="P10" s="2" t="n"/>
      <c r="Q10" s="2" t="n"/>
    </row>
    <row r="11">
      <c r="A11" s="9" t="inlineStr">
        <is>
          <t>The method's distance in spreads uses the spread of the kept prices: 1.4826 × their median distance from the median (the MAD), the same spread as in 1B; the Invoices sheet prints it beside the share of the median.</t>
        </is>
      </c>
      <c r="B11" s="2" t="n"/>
      <c r="C11" s="2" t="n"/>
      <c r="D11" s="2" t="n"/>
      <c r="E11" s="2" t="n"/>
      <c r="F11" s="2" t="n"/>
      <c r="G11" s="2" t="n"/>
      <c r="H11" s="2" t="n"/>
      <c r="I11" s="2" t="n"/>
      <c r="J11" s="2" t="n"/>
      <c r="K11" s="2" t="n"/>
      <c r="L11" s="2" t="n"/>
      <c r="M11" s="2" t="n"/>
      <c r="N11" s="2" t="n"/>
      <c r="O11" s="2" t="n"/>
      <c r="P11" s="2" t="n"/>
      <c r="Q11" s="2" t="n"/>
    </row>
    <row r="12" ht="32" customHeight="1">
      <c r="A12" s="16" t="inlineStr">
        <is>
          <t>invoice line</t>
        </is>
      </c>
      <c r="B12" s="16" t="inlineStr">
        <is>
          <t>rank</t>
        </is>
      </c>
      <c r="C12" s="16" t="inlineStr">
        <is>
          <t>accepted line</t>
        </is>
      </c>
      <c r="D12" s="16" t="inlineStr">
        <is>
          <t>similarity</t>
        </is>
      </c>
      <c r="E12" s="16" t="inlineStr">
        <is>
          <t>above the floor</t>
        </is>
      </c>
      <c r="F12" s="16" t="inlineStr">
        <is>
          <t>price (USD FOB)</t>
        </is>
      </c>
      <c r="G12" s="16" t="inlineStr">
        <is>
          <t>invoice price</t>
        </is>
      </c>
      <c r="H12" s="16" t="inlineStr">
        <is>
          <t>currency</t>
        </is>
      </c>
      <c r="I12" s="16" t="inlineStr">
        <is>
          <t>incoterm</t>
        </is>
      </c>
      <c r="J12" s="16" t="inlineStr">
        <is>
          <t>quantity</t>
        </is>
      </c>
      <c r="K12" s="16" t="inlineStr">
        <is>
          <t>unit</t>
        </is>
      </c>
      <c r="L12" s="16" t="inlineStr">
        <is>
          <t>accepted on</t>
        </is>
      </c>
      <c r="M12" s="16" t="inlineStr">
        <is>
          <t>goods code</t>
        </is>
      </c>
      <c r="N12" s="16" t="inlineStr">
        <is>
          <t>origin</t>
        </is>
      </c>
      <c r="O12" s="16" t="inlineStr">
        <is>
          <t>description</t>
        </is>
      </c>
      <c r="P12" s="16" t="inlineStr">
        <is>
          <t>days before</t>
        </is>
      </c>
      <c r="Q12" s="25" t="inlineStr">
        <is>
          <t>price if kept</t>
        </is>
      </c>
    </row>
    <row r="13">
      <c r="A13" s="17" t="inlineStr">
        <is>
          <t>query_id</t>
        </is>
      </c>
      <c r="B13" s="17" t="inlineStr">
        <is>
          <t>rank</t>
        </is>
      </c>
      <c r="C13" s="17" t="inlineStr">
        <is>
          <t>line_id</t>
        </is>
      </c>
      <c r="D13" s="17" t="inlineStr">
        <is>
          <t>similarity</t>
        </is>
      </c>
      <c r="E13" s="17" t="inlineStr">
        <is>
          <t>above_floor</t>
        </is>
      </c>
      <c r="F13" s="17" t="inlineStr">
        <is>
          <t>unit_price_usd_fob</t>
        </is>
      </c>
      <c r="G13" s="17" t="inlineStr">
        <is>
          <t>unit_price</t>
        </is>
      </c>
      <c r="H13" s="17" t="inlineStr">
        <is>
          <t>currency</t>
        </is>
      </c>
      <c r="I13" s="17" t="inlineStr">
        <is>
          <t>incoterm</t>
        </is>
      </c>
      <c r="J13" s="17" t="inlineStr">
        <is>
          <t>quantity</t>
        </is>
      </c>
      <c r="K13" s="17" t="inlineStr">
        <is>
          <t>unit</t>
        </is>
      </c>
      <c r="L13" s="17" t="inlineStr">
        <is>
          <t>accepted_on</t>
        </is>
      </c>
      <c r="M13" s="17" t="inlineStr">
        <is>
          <t>hs8</t>
        </is>
      </c>
      <c r="N13" s="17" t="inlineStr">
        <is>
          <t>origin</t>
        </is>
      </c>
      <c r="O13" s="17" t="inlineStr">
        <is>
          <t>description</t>
        </is>
      </c>
      <c r="P13" s="17" t="inlineStr">
        <is>
          <t>days_before</t>
        </is>
      </c>
      <c r="Q13" s="26" t="inlineStr">
        <is>
          <t>price_if_kept</t>
        </is>
      </c>
    </row>
    <row r="14">
      <c r="A14" s="2" t="inlineStr">
        <is>
          <t>V2</t>
        </is>
      </c>
      <c r="B14" s="2" t="n">
        <v>1</v>
      </c>
      <c r="C14" s="2" t="inlineStr">
        <is>
          <t>L0250158</t>
        </is>
      </c>
      <c r="D14" s="22" t="n">
        <v>0.992</v>
      </c>
      <c r="E14" s="2" t="n">
        <v>1</v>
      </c>
      <c r="F14" s="35" t="n">
        <v>73</v>
      </c>
      <c r="G14" s="35" t="n">
        <v>75.19</v>
      </c>
      <c r="H14" s="2" t="inlineStr">
        <is>
          <t>USD</t>
        </is>
      </c>
      <c r="I14" s="2" t="inlineStr">
        <is>
          <t>CIF</t>
        </is>
      </c>
      <c r="J14" s="2" t="n">
        <v>276</v>
      </c>
      <c r="K14" s="2" t="inlineStr">
        <is>
          <t>pieces</t>
        </is>
      </c>
      <c r="L14" s="2" t="inlineStr">
        <is>
          <t>2026-07-20</t>
        </is>
      </c>
      <c r="M14" s="2" t="inlineStr">
        <is>
          <t>85414301</t>
        </is>
      </c>
      <c r="N14" s="2" t="inlineStr">
        <is>
          <t>CHN</t>
        </is>
      </c>
      <c r="O14" s="2" t="inlineStr">
        <is>
          <t>Monocrystalline solar panel 400W</t>
        </is>
      </c>
      <c r="P14" s="2" t="n">
        <v>72</v>
      </c>
      <c r="Q14" s="36">
        <f>IF(E14=1,F14,"")</f>
        <v/>
      </c>
    </row>
    <row r="15">
      <c r="A15" s="2" t="inlineStr">
        <is>
          <t>V2</t>
        </is>
      </c>
      <c r="B15" s="2" t="n">
        <v>2</v>
      </c>
      <c r="C15" s="2" t="inlineStr">
        <is>
          <t>L0250157</t>
        </is>
      </c>
      <c r="D15" s="22" t="n">
        <v>0.992</v>
      </c>
      <c r="E15" s="2" t="n">
        <v>1</v>
      </c>
      <c r="F15" s="35" t="n">
        <v>72</v>
      </c>
      <c r="G15" s="35" t="n">
        <v>69.90000000000001</v>
      </c>
      <c r="H15" s="2" t="inlineStr">
        <is>
          <t>USD</t>
        </is>
      </c>
      <c r="I15" s="2" t="inlineStr">
        <is>
          <t>EXW</t>
        </is>
      </c>
      <c r="J15" s="2" t="n">
        <v>142</v>
      </c>
      <c r="K15" s="2" t="inlineStr">
        <is>
          <t>pieces</t>
        </is>
      </c>
      <c r="L15" s="2" t="inlineStr">
        <is>
          <t>2026-07-22</t>
        </is>
      </c>
      <c r="M15" s="2" t="inlineStr">
        <is>
          <t>85414301</t>
        </is>
      </c>
      <c r="N15" s="2" t="inlineStr">
        <is>
          <t>CHN</t>
        </is>
      </c>
      <c r="O15" s="2" t="inlineStr">
        <is>
          <t>Monocrystalline solar panel 400W</t>
        </is>
      </c>
      <c r="P15" s="2" t="n">
        <v>70</v>
      </c>
      <c r="Q15" s="36">
        <f>IF(E15=1,F15,"")</f>
        <v/>
      </c>
    </row>
    <row r="16">
      <c r="A16" s="2" t="inlineStr">
        <is>
          <t>V2</t>
        </is>
      </c>
      <c r="B16" s="2" t="n">
        <v>3</v>
      </c>
      <c r="C16" s="2" t="inlineStr">
        <is>
          <t>L0250156</t>
        </is>
      </c>
      <c r="D16" s="22" t="n">
        <v>0.992</v>
      </c>
      <c r="E16" s="2" t="n">
        <v>1</v>
      </c>
      <c r="F16" s="35" t="n">
        <v>71</v>
      </c>
      <c r="G16" s="35" t="n">
        <v>71</v>
      </c>
      <c r="H16" s="2" t="inlineStr">
        <is>
          <t>USD</t>
        </is>
      </c>
      <c r="I16" s="2" t="inlineStr">
        <is>
          <t>FOB</t>
        </is>
      </c>
      <c r="J16" s="2" t="n">
        <v>538</v>
      </c>
      <c r="K16" s="2" t="inlineStr">
        <is>
          <t>pieces</t>
        </is>
      </c>
      <c r="L16" s="2" t="inlineStr">
        <is>
          <t>2026-08-15</t>
        </is>
      </c>
      <c r="M16" s="2" t="inlineStr">
        <is>
          <t>85414301</t>
        </is>
      </c>
      <c r="N16" s="2" t="inlineStr">
        <is>
          <t>CHN</t>
        </is>
      </c>
      <c r="O16" s="2" t="inlineStr">
        <is>
          <t>Monocrystalline solar panel 400W</t>
        </is>
      </c>
      <c r="P16" s="2" t="n">
        <v>46</v>
      </c>
      <c r="Q16" s="36">
        <f>IF(E16=1,F16,"")</f>
        <v/>
      </c>
    </row>
    <row r="17">
      <c r="A17" s="2" t="inlineStr">
        <is>
          <t>V2</t>
        </is>
      </c>
      <c r="B17" s="2" t="n">
        <v>4</v>
      </c>
      <c r="C17" s="2" t="inlineStr">
        <is>
          <t>L0250170</t>
        </is>
      </c>
      <c r="D17" s="22" t="n">
        <v>0.971</v>
      </c>
      <c r="E17" s="2" t="n">
        <v>1</v>
      </c>
      <c r="F17" s="35" t="n">
        <v>93</v>
      </c>
      <c r="G17" s="35" t="n">
        <v>90.29000000000001</v>
      </c>
      <c r="H17" s="2" t="inlineStr">
        <is>
          <t>USD</t>
        </is>
      </c>
      <c r="I17" s="2" t="inlineStr">
        <is>
          <t>EXW</t>
        </is>
      </c>
      <c r="J17" s="2" t="n">
        <v>658</v>
      </c>
      <c r="K17" s="2" t="inlineStr">
        <is>
          <t>pieces</t>
        </is>
      </c>
      <c r="L17" s="2" t="inlineStr">
        <is>
          <t>2026-07-07</t>
        </is>
      </c>
      <c r="M17" s="2" t="inlineStr">
        <is>
          <t>85414301</t>
        </is>
      </c>
      <c r="N17" s="2" t="inlineStr">
        <is>
          <t>CHN</t>
        </is>
      </c>
      <c r="O17" s="2" t="inlineStr">
        <is>
          <t>Monocrystalline solar panel 410 W</t>
        </is>
      </c>
      <c r="P17" s="2" t="n">
        <v>85</v>
      </c>
      <c r="Q17" s="36">
        <f>IF(E17=1,F17,"")</f>
        <v/>
      </c>
    </row>
    <row r="18">
      <c r="A18" s="2" t="inlineStr">
        <is>
          <t>V2</t>
        </is>
      </c>
      <c r="B18" s="2" t="n">
        <v>5</v>
      </c>
      <c r="C18" s="2" t="inlineStr">
        <is>
          <t>L0250169</t>
        </is>
      </c>
      <c r="D18" s="22" t="n">
        <v>0.971</v>
      </c>
      <c r="E18" s="2" t="n">
        <v>1</v>
      </c>
      <c r="F18" s="35" t="n">
        <v>90</v>
      </c>
      <c r="G18" s="35" t="n">
        <v>92.3</v>
      </c>
      <c r="H18" s="2" t="inlineStr">
        <is>
          <t>USD</t>
        </is>
      </c>
      <c r="I18" s="2" t="inlineStr">
        <is>
          <t>CFR</t>
        </is>
      </c>
      <c r="J18" s="2" t="n">
        <v>135</v>
      </c>
      <c r="K18" s="2" t="inlineStr">
        <is>
          <t>pieces</t>
        </is>
      </c>
      <c r="L18" s="2" t="inlineStr">
        <is>
          <t>2026-09-05</t>
        </is>
      </c>
      <c r="M18" s="2" t="inlineStr">
        <is>
          <t>85414301</t>
        </is>
      </c>
      <c r="N18" s="2" t="inlineStr">
        <is>
          <t>CHN</t>
        </is>
      </c>
      <c r="O18" s="2" t="inlineStr">
        <is>
          <t>Monocrystalline solar panel 410 W</t>
        </is>
      </c>
      <c r="P18" s="2" t="n">
        <v>25</v>
      </c>
      <c r="Q18" s="36">
        <f>IF(E18=1,F18,"")</f>
        <v/>
      </c>
    </row>
    <row r="19">
      <c r="A19" s="2" t="inlineStr">
        <is>
          <t>V2</t>
        </is>
      </c>
      <c r="B19" s="2" t="n">
        <v>6</v>
      </c>
      <c r="C19" s="2" t="inlineStr">
        <is>
          <t>L0250159</t>
        </is>
      </c>
      <c r="D19" s="22" t="n">
        <v>0.968</v>
      </c>
      <c r="E19" s="2" t="n">
        <v>1</v>
      </c>
      <c r="F19" s="35" t="n">
        <v>74</v>
      </c>
      <c r="G19" s="35" t="n">
        <v>74</v>
      </c>
      <c r="H19" s="2" t="inlineStr">
        <is>
          <t>USD</t>
        </is>
      </c>
      <c r="I19" s="2" t="inlineStr">
        <is>
          <t>FOB</t>
        </is>
      </c>
      <c r="J19" s="2" t="n">
        <v>343</v>
      </c>
      <c r="K19" s="2" t="inlineStr">
        <is>
          <t>pieces</t>
        </is>
      </c>
      <c r="L19" s="2" t="inlineStr">
        <is>
          <t>2026-07-21</t>
        </is>
      </c>
      <c r="M19" s="2" t="inlineStr">
        <is>
          <t>85414301</t>
        </is>
      </c>
      <c r="N19" s="2" t="inlineStr">
        <is>
          <t>CHN</t>
        </is>
      </c>
      <c r="O19" s="2" t="inlineStr">
        <is>
          <t>Solar panel, monocrystalline, 400 W</t>
        </is>
      </c>
      <c r="P19" s="2" t="n">
        <v>71</v>
      </c>
      <c r="Q19" s="36">
        <f>IF(E19=1,F19,"")</f>
        <v/>
      </c>
    </row>
    <row r="20">
      <c r="A20" s="2" t="inlineStr">
        <is>
          <t>V2</t>
        </is>
      </c>
      <c r="B20" s="2" t="n">
        <v>7</v>
      </c>
      <c r="C20" s="2" t="inlineStr">
        <is>
          <t>L0250160</t>
        </is>
      </c>
      <c r="D20" s="22" t="n">
        <v>0.968</v>
      </c>
      <c r="E20" s="2" t="n">
        <v>1</v>
      </c>
      <c r="F20" s="35" t="n">
        <v>75</v>
      </c>
      <c r="G20" s="35" t="n">
        <v>75</v>
      </c>
      <c r="H20" s="2" t="inlineStr">
        <is>
          <t>USD</t>
        </is>
      </c>
      <c r="I20" s="2" t="inlineStr">
        <is>
          <t>FOB</t>
        </is>
      </c>
      <c r="J20" s="2" t="n">
        <v>220</v>
      </c>
      <c r="K20" s="2" t="inlineStr">
        <is>
          <t>pieces</t>
        </is>
      </c>
      <c r="L20" s="2" t="inlineStr">
        <is>
          <t>2026-08-30</t>
        </is>
      </c>
      <c r="M20" s="2" t="inlineStr">
        <is>
          <t>85414301</t>
        </is>
      </c>
      <c r="N20" s="2" t="inlineStr">
        <is>
          <t>CHN</t>
        </is>
      </c>
      <c r="O20" s="2" t="inlineStr">
        <is>
          <t>Solar panel, monocrystalline, 400 W</t>
        </is>
      </c>
      <c r="P20" s="2" t="n">
        <v>31</v>
      </c>
      <c r="Q20" s="36">
        <f>IF(E20=1,F20,"")</f>
        <v/>
      </c>
    </row>
    <row r="21">
      <c r="A21" s="2" t="inlineStr">
        <is>
          <t>V2</t>
        </is>
      </c>
      <c r="B21" s="2" t="n">
        <v>8</v>
      </c>
      <c r="C21" s="2" t="inlineStr">
        <is>
          <t>L0250163</t>
        </is>
      </c>
      <c r="D21" s="22" t="n">
        <v>0.96</v>
      </c>
      <c r="E21" s="2" t="n">
        <v>1</v>
      </c>
      <c r="F21" s="35" t="n">
        <v>79</v>
      </c>
      <c r="G21" s="35" t="n">
        <v>81.37</v>
      </c>
      <c r="H21" s="2" t="inlineStr">
        <is>
          <t>USD</t>
        </is>
      </c>
      <c r="I21" s="2" t="inlineStr">
        <is>
          <t>CIF</t>
        </is>
      </c>
      <c r="J21" s="2" t="n">
        <v>360</v>
      </c>
      <c r="K21" s="2" t="inlineStr">
        <is>
          <t>pieces</t>
        </is>
      </c>
      <c r="L21" s="2" t="inlineStr">
        <is>
          <t>2026-07-18</t>
        </is>
      </c>
      <c r="M21" s="2" t="inlineStr">
        <is>
          <t>85414301</t>
        </is>
      </c>
      <c r="N21" s="2" t="inlineStr">
        <is>
          <t>CHN</t>
        </is>
      </c>
      <c r="O21" s="2" t="inlineStr">
        <is>
          <t>Mono solar panel 400 W</t>
        </is>
      </c>
      <c r="P21" s="2" t="n">
        <v>74</v>
      </c>
      <c r="Q21" s="36">
        <f>IF(E21=1,F21,"")</f>
        <v/>
      </c>
    </row>
    <row r="22">
      <c r="A22" s="2" t="inlineStr">
        <is>
          <t>V2</t>
        </is>
      </c>
      <c r="B22" s="2" t="n">
        <v>9</v>
      </c>
      <c r="C22" s="2" t="inlineStr">
        <is>
          <t>L0250162</t>
        </is>
      </c>
      <c r="D22" s="22" t="n">
        <v>0.96</v>
      </c>
      <c r="E22" s="2" t="n">
        <v>1</v>
      </c>
      <c r="F22" s="35" t="n">
        <v>78</v>
      </c>
      <c r="G22" s="35" t="n">
        <v>80.34</v>
      </c>
      <c r="H22" s="2" t="inlineStr">
        <is>
          <t>USD</t>
        </is>
      </c>
      <c r="I22" s="2" t="inlineStr">
        <is>
          <t>CIF</t>
        </is>
      </c>
      <c r="J22" s="2" t="n">
        <v>643</v>
      </c>
      <c r="K22" s="2" t="inlineStr">
        <is>
          <t>pieces</t>
        </is>
      </c>
      <c r="L22" s="2" t="inlineStr">
        <is>
          <t>2026-08-15</t>
        </is>
      </c>
      <c r="M22" s="2" t="inlineStr">
        <is>
          <t>85414301</t>
        </is>
      </c>
      <c r="N22" s="2" t="inlineStr">
        <is>
          <t>CHN</t>
        </is>
      </c>
      <c r="O22" s="2" t="inlineStr">
        <is>
          <t>Mono solar panel 400 W</t>
        </is>
      </c>
      <c r="P22" s="2" t="n">
        <v>46</v>
      </c>
      <c r="Q22" s="36">
        <f>IF(E22=1,F22,"")</f>
        <v/>
      </c>
    </row>
    <row r="23">
      <c r="A23" s="2" t="inlineStr">
        <is>
          <t>V2</t>
        </is>
      </c>
      <c r="B23" s="2" t="n">
        <v>10</v>
      </c>
      <c r="C23" s="2" t="inlineStr">
        <is>
          <t>L0250161</t>
        </is>
      </c>
      <c r="D23" s="22" t="n">
        <v>0.96</v>
      </c>
      <c r="E23" s="2" t="n">
        <v>1</v>
      </c>
      <c r="F23" s="35" t="n">
        <v>76</v>
      </c>
      <c r="G23" s="35" t="n">
        <v>78.28</v>
      </c>
      <c r="H23" s="2" t="inlineStr">
        <is>
          <t>USD</t>
        </is>
      </c>
      <c r="I23" s="2" t="inlineStr">
        <is>
          <t>CIF</t>
        </is>
      </c>
      <c r="J23" s="2" t="n">
        <v>182</v>
      </c>
      <c r="K23" s="2" t="inlineStr">
        <is>
          <t>pieces</t>
        </is>
      </c>
      <c r="L23" s="2" t="inlineStr">
        <is>
          <t>2026-09-10</t>
        </is>
      </c>
      <c r="M23" s="2" t="inlineStr">
        <is>
          <t>85414301</t>
        </is>
      </c>
      <c r="N23" s="2" t="inlineStr">
        <is>
          <t>CHN</t>
        </is>
      </c>
      <c r="O23" s="2" t="inlineStr">
        <is>
          <t>Mono solar panel 400 W</t>
        </is>
      </c>
      <c r="P23" s="2" t="n">
        <v>20</v>
      </c>
      <c r="Q23" s="36">
        <f>IF(E23=1,F23,"")</f>
        <v/>
      </c>
    </row>
    <row r="24">
      <c r="A24" s="2" t="inlineStr">
        <is>
          <t>V2</t>
        </is>
      </c>
      <c r="B24" s="2" t="n">
        <v>11</v>
      </c>
      <c r="C24" s="2" t="inlineStr">
        <is>
          <t>L0250164</t>
        </is>
      </c>
      <c r="D24" s="22" t="n">
        <v>0.9379999999999999</v>
      </c>
      <c r="E24" s="2" t="n">
        <v>1</v>
      </c>
      <c r="F24" s="35" t="n">
        <v>80</v>
      </c>
      <c r="G24" s="35" t="n">
        <v>82.04000000000001</v>
      </c>
      <c r="H24" s="2" t="inlineStr">
        <is>
          <t>USD</t>
        </is>
      </c>
      <c r="I24" s="2" t="inlineStr">
        <is>
          <t>CFR</t>
        </is>
      </c>
      <c r="J24" s="2" t="n">
        <v>177</v>
      </c>
      <c r="K24" s="2" t="inlineStr">
        <is>
          <t>pieces</t>
        </is>
      </c>
      <c r="L24" s="2" t="inlineStr">
        <is>
          <t>2026-07-18</t>
        </is>
      </c>
      <c r="M24" s="2" t="inlineStr">
        <is>
          <t>85414301</t>
        </is>
      </c>
      <c r="N24" s="2" t="inlineStr">
        <is>
          <t>CHN</t>
        </is>
      </c>
      <c r="O24" s="2" t="inlineStr">
        <is>
          <t>Monocrystalline solar module 400 W</t>
        </is>
      </c>
      <c r="P24" s="2" t="n">
        <v>74</v>
      </c>
      <c r="Q24" s="36">
        <f>IF(E24=1,F24,"")</f>
        <v/>
      </c>
    </row>
    <row r="25">
      <c r="A25" s="2" t="inlineStr">
        <is>
          <t>V2</t>
        </is>
      </c>
      <c r="B25" s="2" t="n">
        <v>12</v>
      </c>
      <c r="C25" s="2" t="inlineStr">
        <is>
          <t>L0250165</t>
        </is>
      </c>
      <c r="D25" s="22" t="n">
        <v>0.9379999999999999</v>
      </c>
      <c r="E25" s="2" t="n">
        <v>1</v>
      </c>
      <c r="F25" s="35" t="n">
        <v>82.09999999999999</v>
      </c>
      <c r="G25" s="35" t="n">
        <v>84.56</v>
      </c>
      <c r="H25" s="2" t="inlineStr">
        <is>
          <t>USD</t>
        </is>
      </c>
      <c r="I25" s="2" t="inlineStr">
        <is>
          <t>CIF</t>
        </is>
      </c>
      <c r="J25" s="2" t="n">
        <v>129</v>
      </c>
      <c r="K25" s="2" t="inlineStr">
        <is>
          <t>pieces</t>
        </is>
      </c>
      <c r="L25" s="2" t="inlineStr">
        <is>
          <t>2026-08-06</t>
        </is>
      </c>
      <c r="M25" s="2" t="inlineStr">
        <is>
          <t>85414301</t>
        </is>
      </c>
      <c r="N25" s="2" t="inlineStr">
        <is>
          <t>CHN</t>
        </is>
      </c>
      <c r="O25" s="2" t="inlineStr">
        <is>
          <t>Monocrystalline solar module 400 W</t>
        </is>
      </c>
      <c r="P25" s="2" t="n">
        <v>55</v>
      </c>
      <c r="Q25" s="36">
        <f>IF(E25=1,F25,"")</f>
        <v/>
      </c>
    </row>
    <row r="26">
      <c r="A26" s="2" t="inlineStr">
        <is>
          <t>V2</t>
        </is>
      </c>
      <c r="B26" s="2" t="n">
        <v>13</v>
      </c>
      <c r="C26" s="2" t="inlineStr">
        <is>
          <t>L0250168</t>
        </is>
      </c>
      <c r="D26" s="22" t="n">
        <v>0.9340000000000001</v>
      </c>
      <c r="E26" s="2" t="n">
        <v>1</v>
      </c>
      <c r="F26" s="35" t="n">
        <v>87</v>
      </c>
      <c r="G26" s="35" t="n">
        <v>84.47</v>
      </c>
      <c r="H26" s="2" t="inlineStr">
        <is>
          <t>USD</t>
        </is>
      </c>
      <c r="I26" s="2" t="inlineStr">
        <is>
          <t>EXW</t>
        </is>
      </c>
      <c r="J26" s="2" t="n">
        <v>338</v>
      </c>
      <c r="K26" s="2" t="inlineStr">
        <is>
          <t>pieces</t>
        </is>
      </c>
      <c r="L26" s="2" t="inlineStr">
        <is>
          <t>2026-07-06</t>
        </is>
      </c>
      <c r="M26" s="2" t="inlineStr">
        <is>
          <t>85414301</t>
        </is>
      </c>
      <c r="N26" s="2" t="inlineStr">
        <is>
          <t>CHN</t>
        </is>
      </c>
      <c r="O26" s="2" t="inlineStr">
        <is>
          <t>Monocrystalline photovoltaic panel 400 W</t>
        </is>
      </c>
      <c r="P26" s="2" t="n">
        <v>86</v>
      </c>
      <c r="Q26" s="36">
        <f>IF(E26=1,F26,"")</f>
        <v/>
      </c>
    </row>
    <row r="27">
      <c r="A27" s="2" t="inlineStr">
        <is>
          <t>V2</t>
        </is>
      </c>
      <c r="B27" s="2" t="n">
        <v>14</v>
      </c>
      <c r="C27" s="2" t="inlineStr">
        <is>
          <t>L0250167</t>
        </is>
      </c>
      <c r="D27" s="22" t="n">
        <v>0.9340000000000001</v>
      </c>
      <c r="E27" s="2" t="n">
        <v>1</v>
      </c>
      <c r="F27" s="35" t="n">
        <v>85</v>
      </c>
      <c r="G27" s="35" t="n">
        <v>82.52</v>
      </c>
      <c r="H27" s="2" t="inlineStr">
        <is>
          <t>USD</t>
        </is>
      </c>
      <c r="I27" s="2" t="inlineStr">
        <is>
          <t>EXW</t>
        </is>
      </c>
      <c r="J27" s="2" t="n">
        <v>374</v>
      </c>
      <c r="K27" s="2" t="inlineStr">
        <is>
          <t>pieces</t>
        </is>
      </c>
      <c r="L27" s="2" t="inlineStr">
        <is>
          <t>2026-07-17</t>
        </is>
      </c>
      <c r="M27" s="2" t="inlineStr">
        <is>
          <t>85414301</t>
        </is>
      </c>
      <c r="N27" s="2" t="inlineStr">
        <is>
          <t>CHN</t>
        </is>
      </c>
      <c r="O27" s="2" t="inlineStr">
        <is>
          <t>Monocrystalline photovoltaic panel 400 W</t>
        </is>
      </c>
      <c r="P27" s="2" t="n">
        <v>75</v>
      </c>
      <c r="Q27" s="36">
        <f>IF(E27=1,F27,"")</f>
        <v/>
      </c>
    </row>
    <row r="28">
      <c r="A28" s="2" t="inlineStr">
        <is>
          <t>V2</t>
        </is>
      </c>
      <c r="B28" s="2" t="n">
        <v>15</v>
      </c>
      <c r="C28" s="2" t="inlineStr">
        <is>
          <t>L0250166</t>
        </is>
      </c>
      <c r="D28" s="22" t="n">
        <v>0.9340000000000001</v>
      </c>
      <c r="E28" s="2" t="n">
        <v>1</v>
      </c>
      <c r="F28" s="35" t="n">
        <v>83.90000000000001</v>
      </c>
      <c r="G28" s="35" t="n">
        <v>86.42</v>
      </c>
      <c r="H28" s="2" t="inlineStr">
        <is>
          <t>USD</t>
        </is>
      </c>
      <c r="I28" s="2" t="inlineStr">
        <is>
          <t>CIF</t>
        </is>
      </c>
      <c r="J28" s="2" t="n">
        <v>216</v>
      </c>
      <c r="K28" s="2" t="inlineStr">
        <is>
          <t>pieces</t>
        </is>
      </c>
      <c r="L28" s="2" t="inlineStr">
        <is>
          <t>2026-08-01</t>
        </is>
      </c>
      <c r="M28" s="2" t="inlineStr">
        <is>
          <t>85414301</t>
        </is>
      </c>
      <c r="N28" s="2" t="inlineStr">
        <is>
          <t>CHN</t>
        </is>
      </c>
      <c r="O28" s="2" t="inlineStr">
        <is>
          <t>Monocrystalline photovoltaic panel 400 W</t>
        </is>
      </c>
      <c r="P28" s="2" t="n">
        <v>60</v>
      </c>
      <c r="Q28" s="36">
        <f>IF(E28=1,F28,"")</f>
        <v/>
      </c>
    </row>
    <row r="29">
      <c r="A29" s="2" t="inlineStr">
        <is>
          <t>V2</t>
        </is>
      </c>
      <c r="B29" s="2" t="n">
        <v>16</v>
      </c>
      <c r="C29" s="2" t="inlineStr">
        <is>
          <t>L0250155</t>
        </is>
      </c>
      <c r="D29" s="22" t="n">
        <v>0.895</v>
      </c>
      <c r="E29" s="2" t="n">
        <v>1</v>
      </c>
      <c r="F29" s="35" t="n">
        <v>70</v>
      </c>
      <c r="G29" s="35" t="n">
        <v>72.09999999999999</v>
      </c>
      <c r="H29" s="2" t="inlineStr">
        <is>
          <t>USD</t>
        </is>
      </c>
      <c r="I29" s="2" t="inlineStr">
        <is>
          <t>CIF</t>
        </is>
      </c>
      <c r="J29" s="2" t="n">
        <v>545</v>
      </c>
      <c r="K29" s="2" t="inlineStr">
        <is>
          <t>pieces</t>
        </is>
      </c>
      <c r="L29" s="2" t="inlineStr">
        <is>
          <t>2026-09-13</t>
        </is>
      </c>
      <c r="M29" s="2" t="inlineStr">
        <is>
          <t>85414301</t>
        </is>
      </c>
      <c r="N29" s="2" t="inlineStr">
        <is>
          <t>CHN</t>
        </is>
      </c>
      <c r="O29" s="2" t="inlineStr">
        <is>
          <t>单晶太阳能电池板 400W</t>
        </is>
      </c>
      <c r="P29" s="2" t="n">
        <v>17</v>
      </c>
      <c r="Q29" s="36">
        <f>IF(E29=1,F29,"")</f>
        <v/>
      </c>
    </row>
    <row r="30">
      <c r="A30" s="2" t="inlineStr">
        <is>
          <t>V2</t>
        </is>
      </c>
      <c r="B30" s="2" t="n">
        <v>17</v>
      </c>
      <c r="C30" s="2" t="inlineStr">
        <is>
          <t>L0250154</t>
        </is>
      </c>
      <c r="D30" s="22" t="n">
        <v>0.895</v>
      </c>
      <c r="E30" s="2" t="n">
        <v>1</v>
      </c>
      <c r="F30" s="35" t="n">
        <v>68</v>
      </c>
      <c r="G30" s="35" t="n">
        <v>70.04000000000001</v>
      </c>
      <c r="H30" s="2" t="inlineStr">
        <is>
          <t>USD</t>
        </is>
      </c>
      <c r="I30" s="2" t="inlineStr">
        <is>
          <t>CIF</t>
        </is>
      </c>
      <c r="J30" s="2" t="n">
        <v>208</v>
      </c>
      <c r="K30" s="2" t="inlineStr">
        <is>
          <t>pieces</t>
        </is>
      </c>
      <c r="L30" s="2" t="inlineStr">
        <is>
          <t>2026-09-20</t>
        </is>
      </c>
      <c r="M30" s="2" t="inlineStr">
        <is>
          <t>85414301</t>
        </is>
      </c>
      <c r="N30" s="2" t="inlineStr">
        <is>
          <t>CHN</t>
        </is>
      </c>
      <c r="O30" s="2" t="inlineStr">
        <is>
          <t>单晶太阳能电池板 400W</t>
        </is>
      </c>
      <c r="P30" s="2" t="n">
        <v>10</v>
      </c>
      <c r="Q30" s="36">
        <f>IF(E30=1,F30,"")</f>
        <v/>
      </c>
    </row>
    <row r="31">
      <c r="A31" s="2" t="inlineStr">
        <is>
          <t>V2</t>
        </is>
      </c>
      <c r="B31" s="2" t="n">
        <v>18</v>
      </c>
      <c r="C31" s="2" t="inlineStr">
        <is>
          <t>L0250149</t>
        </is>
      </c>
      <c r="D31" s="22" t="n">
        <v>0.891</v>
      </c>
      <c r="E31" s="2" t="n">
        <v>1</v>
      </c>
      <c r="F31" s="35" t="n">
        <v>60</v>
      </c>
      <c r="G31" s="35" t="n">
        <v>61.8</v>
      </c>
      <c r="H31" s="2" t="inlineStr">
        <is>
          <t>USD</t>
        </is>
      </c>
      <c r="I31" s="2" t="inlineStr">
        <is>
          <t>CIF</t>
        </is>
      </c>
      <c r="J31" s="2" t="n">
        <v>262</v>
      </c>
      <c r="K31" s="2" t="inlineStr">
        <is>
          <t>pieces</t>
        </is>
      </c>
      <c r="L31" s="2" t="inlineStr">
        <is>
          <t>2026-09-02</t>
        </is>
      </c>
      <c r="M31" s="2" t="inlineStr">
        <is>
          <t>85414301</t>
        </is>
      </c>
      <c r="N31" s="2" t="inlineStr">
        <is>
          <t>CHN</t>
        </is>
      </c>
      <c r="O31" s="2" t="inlineStr">
        <is>
          <t>Polycrystalline solar panel 300 W</t>
        </is>
      </c>
      <c r="P31" s="2" t="n">
        <v>28</v>
      </c>
      <c r="Q31" s="36">
        <f>IF(E31=1,F31,"")</f>
        <v/>
      </c>
    </row>
    <row r="32">
      <c r="A32" s="2" t="inlineStr">
        <is>
          <t>V2</t>
        </is>
      </c>
      <c r="B32" s="2" t="n">
        <v>19</v>
      </c>
      <c r="C32" s="2" t="inlineStr">
        <is>
          <t>L0250150</t>
        </is>
      </c>
      <c r="D32" s="22" t="n">
        <v>0.891</v>
      </c>
      <c r="E32" s="2" t="n">
        <v>1</v>
      </c>
      <c r="F32" s="35" t="n">
        <v>62</v>
      </c>
      <c r="G32" s="35" t="n">
        <v>63.58</v>
      </c>
      <c r="H32" s="2" t="inlineStr">
        <is>
          <t>USD</t>
        </is>
      </c>
      <c r="I32" s="2" t="inlineStr">
        <is>
          <t>CFR</t>
        </is>
      </c>
      <c r="J32" s="2" t="n">
        <v>413</v>
      </c>
      <c r="K32" s="2" t="inlineStr">
        <is>
          <t>pieces</t>
        </is>
      </c>
      <c r="L32" s="2" t="inlineStr">
        <is>
          <t>2026-09-02</t>
        </is>
      </c>
      <c r="M32" s="2" t="inlineStr">
        <is>
          <t>85414301</t>
        </is>
      </c>
      <c r="N32" s="2" t="inlineStr">
        <is>
          <t>CHN</t>
        </is>
      </c>
      <c r="O32" s="2" t="inlineStr">
        <is>
          <t>Polycrystalline solar panel 300 W</t>
        </is>
      </c>
      <c r="P32" s="2" t="n">
        <v>28</v>
      </c>
      <c r="Q32" s="36">
        <f>IF(E32=1,F32,"")</f>
        <v/>
      </c>
    </row>
    <row r="33">
      <c r="A33" s="2" t="inlineStr">
        <is>
          <t>V2</t>
        </is>
      </c>
      <c r="B33" s="2" t="n">
        <v>20</v>
      </c>
      <c r="C33" s="2" t="inlineStr">
        <is>
          <t>L0250152</t>
        </is>
      </c>
      <c r="D33" s="22" t="n">
        <v>0.87</v>
      </c>
      <c r="E33" s="2" t="n">
        <v>1</v>
      </c>
      <c r="F33" s="35" t="n">
        <v>65.90000000000001</v>
      </c>
      <c r="G33" s="35" t="n">
        <v>67.88</v>
      </c>
      <c r="H33" s="2" t="inlineStr">
        <is>
          <t>USD</t>
        </is>
      </c>
      <c r="I33" s="2" t="inlineStr">
        <is>
          <t>CIF</t>
        </is>
      </c>
      <c r="J33" s="2" t="n">
        <v>222</v>
      </c>
      <c r="K33" s="2" t="inlineStr">
        <is>
          <t>pieces</t>
        </is>
      </c>
      <c r="L33" s="2" t="inlineStr">
        <is>
          <t>2026-09-13</t>
        </is>
      </c>
      <c r="M33" s="2" t="inlineStr">
        <is>
          <t>85414301</t>
        </is>
      </c>
      <c r="N33" s="2" t="inlineStr">
        <is>
          <t>CHN</t>
        </is>
      </c>
      <c r="O33" s="2" t="inlineStr">
        <is>
          <t>Solar panel 400W monocrystalline silicon</t>
        </is>
      </c>
      <c r="P33" s="2" t="n">
        <v>17</v>
      </c>
      <c r="Q33" s="36">
        <f>IF(E33=1,F33,"")</f>
        <v/>
      </c>
    </row>
    <row r="34">
      <c r="A34" s="2" t="inlineStr">
        <is>
          <t>V2</t>
        </is>
      </c>
      <c r="B34" s="2" t="n">
        <v>21</v>
      </c>
      <c r="C34" s="2" t="inlineStr">
        <is>
          <t>L0250151</t>
        </is>
      </c>
      <c r="D34" s="22" t="n">
        <v>0.87</v>
      </c>
      <c r="E34" s="2" t="n">
        <v>1</v>
      </c>
      <c r="F34" s="35" t="n">
        <v>64</v>
      </c>
      <c r="G34" s="35" t="n">
        <v>64</v>
      </c>
      <c r="H34" s="2" t="inlineStr">
        <is>
          <t>USD</t>
        </is>
      </c>
      <c r="I34" s="2" t="inlineStr">
        <is>
          <t>FOB</t>
        </is>
      </c>
      <c r="J34" s="2" t="n">
        <v>164</v>
      </c>
      <c r="K34" s="2" t="inlineStr">
        <is>
          <t>pieces</t>
        </is>
      </c>
      <c r="L34" s="2" t="inlineStr">
        <is>
          <t>2026-09-21</t>
        </is>
      </c>
      <c r="M34" s="2" t="inlineStr">
        <is>
          <t>85414301</t>
        </is>
      </c>
      <c r="N34" s="2" t="inlineStr">
        <is>
          <t>CHN</t>
        </is>
      </c>
      <c r="O34" s="2" t="inlineStr">
        <is>
          <t>Solar panel 400W monocrystalline silicon</t>
        </is>
      </c>
      <c r="P34" s="2" t="n">
        <v>9</v>
      </c>
      <c r="Q34" s="36">
        <f>IF(E34=1,F34,"")</f>
        <v/>
      </c>
    </row>
    <row r="35">
      <c r="A35" s="2" t="inlineStr">
        <is>
          <t>V2</t>
        </is>
      </c>
      <c r="B35" s="2" t="n">
        <v>22</v>
      </c>
      <c r="C35" s="2" t="inlineStr">
        <is>
          <t>L0250153</t>
        </is>
      </c>
      <c r="D35" s="22" t="n">
        <v>0.87</v>
      </c>
      <c r="E35" s="2" t="n">
        <v>1</v>
      </c>
      <c r="F35" s="35" t="n">
        <v>66.09999999999999</v>
      </c>
      <c r="G35" s="35" t="n">
        <v>66.09999999999999</v>
      </c>
      <c r="H35" s="2" t="inlineStr">
        <is>
          <t>USD</t>
        </is>
      </c>
      <c r="I35" s="2" t="inlineStr">
        <is>
          <t>FOB</t>
        </is>
      </c>
      <c r="J35" s="2" t="n">
        <v>376</v>
      </c>
      <c r="K35" s="2" t="inlineStr">
        <is>
          <t>pieces</t>
        </is>
      </c>
      <c r="L35" s="2" t="inlineStr">
        <is>
          <t>2026-09-23</t>
        </is>
      </c>
      <c r="M35" s="2" t="inlineStr">
        <is>
          <t>85414301</t>
        </is>
      </c>
      <c r="N35" s="2" t="inlineStr">
        <is>
          <t>CHN</t>
        </is>
      </c>
      <c r="O35" s="2" t="inlineStr">
        <is>
          <t>Solar panel 400W monocrystalline silicon</t>
        </is>
      </c>
      <c r="P35" s="2" t="n">
        <v>7</v>
      </c>
      <c r="Q35" s="36">
        <f>IF(E35=1,F35,"")</f>
        <v/>
      </c>
    </row>
    <row r="36">
      <c r="A36" s="2" t="inlineStr">
        <is>
          <t>V2</t>
        </is>
      </c>
      <c r="B36" s="2" t="n">
        <v>23</v>
      </c>
      <c r="C36" s="2" t="inlineStr">
        <is>
          <t>L0250171</t>
        </is>
      </c>
      <c r="D36" s="22" t="n">
        <v>0.866</v>
      </c>
      <c r="E36" s="2" t="n">
        <v>1</v>
      </c>
      <c r="F36" s="35" t="n">
        <v>96</v>
      </c>
      <c r="G36" s="35" t="n">
        <v>96</v>
      </c>
      <c r="H36" s="2" t="inlineStr">
        <is>
          <t>USD</t>
        </is>
      </c>
      <c r="I36" s="2" t="inlineStr">
        <is>
          <t>FOB</t>
        </is>
      </c>
      <c r="J36" s="2" t="n">
        <v>492</v>
      </c>
      <c r="K36" s="2" t="inlineStr">
        <is>
          <t>pieces</t>
        </is>
      </c>
      <c r="L36" s="2" t="inlineStr">
        <is>
          <t>2026-09-12</t>
        </is>
      </c>
      <c r="M36" s="2" t="inlineStr">
        <is>
          <t>85414301</t>
        </is>
      </c>
      <c r="N36" s="2" t="inlineStr">
        <is>
          <t>CHN</t>
        </is>
      </c>
      <c r="O36" s="2" t="inlineStr">
        <is>
          <t>Solar panel 550 W bifacial</t>
        </is>
      </c>
      <c r="P36" s="2" t="n">
        <v>18</v>
      </c>
      <c r="Q36" s="36">
        <f>IF(E36=1,F36,"")</f>
        <v/>
      </c>
    </row>
    <row r="37">
      <c r="A37" s="2" t="inlineStr">
        <is>
          <t>V2</t>
        </is>
      </c>
      <c r="B37" s="2" t="n">
        <v>24</v>
      </c>
      <c r="C37" s="2" t="inlineStr">
        <is>
          <t>L0250172</t>
        </is>
      </c>
      <c r="D37" s="22" t="n">
        <v>0.866</v>
      </c>
      <c r="E37" s="2" t="n">
        <v>1</v>
      </c>
      <c r="F37" s="35" t="n">
        <v>100</v>
      </c>
      <c r="G37" s="35" t="n">
        <v>103</v>
      </c>
      <c r="H37" s="2" t="inlineStr">
        <is>
          <t>USD</t>
        </is>
      </c>
      <c r="I37" s="2" t="inlineStr">
        <is>
          <t>CIF</t>
        </is>
      </c>
      <c r="J37" s="2" t="n">
        <v>248</v>
      </c>
      <c r="K37" s="2" t="inlineStr">
        <is>
          <t>pieces</t>
        </is>
      </c>
      <c r="L37" s="2" t="inlineStr">
        <is>
          <t>2026-09-12</t>
        </is>
      </c>
      <c r="M37" s="2" t="inlineStr">
        <is>
          <t>85414301</t>
        </is>
      </c>
      <c r="N37" s="2" t="inlineStr">
        <is>
          <t>CHN</t>
        </is>
      </c>
      <c r="O37" s="2" t="inlineStr">
        <is>
          <t>Solar panel 550 W bifacial</t>
        </is>
      </c>
      <c r="P37" s="2" t="n">
        <v>18</v>
      </c>
      <c r="Q37" s="36">
        <f>IF(E37=1,F37,"")</f>
        <v/>
      </c>
    </row>
    <row r="38">
      <c r="A38" s="2" t="inlineStr">
        <is>
          <t>V2</t>
        </is>
      </c>
      <c r="B38" s="2" t="n">
        <v>25</v>
      </c>
      <c r="C38" s="2" t="inlineStr">
        <is>
          <t>L0250147</t>
        </is>
      </c>
      <c r="D38" s="22" t="n">
        <v>0.859</v>
      </c>
      <c r="E38" s="2" t="n">
        <v>1</v>
      </c>
      <c r="F38" s="35" t="n">
        <v>55</v>
      </c>
      <c r="G38" s="35" t="n">
        <v>56.65</v>
      </c>
      <c r="H38" s="2" t="inlineStr">
        <is>
          <t>USD</t>
        </is>
      </c>
      <c r="I38" s="2" t="inlineStr">
        <is>
          <t>CIF</t>
        </is>
      </c>
      <c r="J38" s="2" t="n">
        <v>225</v>
      </c>
      <c r="K38" s="2" t="inlineStr">
        <is>
          <t>pieces</t>
        </is>
      </c>
      <c r="L38" s="2" t="inlineStr">
        <is>
          <t>2026-08-09</t>
        </is>
      </c>
      <c r="M38" s="2" t="inlineStr">
        <is>
          <t>85414301</t>
        </is>
      </c>
      <c r="N38" s="2" t="inlineStr">
        <is>
          <t>CHN</t>
        </is>
      </c>
      <c r="O38" s="2" t="inlineStr">
        <is>
          <t>Flexible solar panel 100 W</t>
        </is>
      </c>
      <c r="P38" s="2" t="n">
        <v>52</v>
      </c>
      <c r="Q38" s="36">
        <f>IF(E38=1,F38,"")</f>
        <v/>
      </c>
    </row>
    <row r="39">
      <c r="A39" s="2" t="inlineStr">
        <is>
          <t>V2</t>
        </is>
      </c>
      <c r="B39" s="2" t="n">
        <v>26</v>
      </c>
      <c r="C39" s="2" t="inlineStr">
        <is>
          <t>L0250146</t>
        </is>
      </c>
      <c r="D39" s="22" t="n">
        <v>0.859</v>
      </c>
      <c r="E39" s="2" t="n">
        <v>1</v>
      </c>
      <c r="F39" s="35" t="n">
        <v>52</v>
      </c>
      <c r="G39" s="35" t="n">
        <v>53.56</v>
      </c>
      <c r="H39" s="2" t="inlineStr">
        <is>
          <t>USD</t>
        </is>
      </c>
      <c r="I39" s="2" t="inlineStr">
        <is>
          <t>CIF</t>
        </is>
      </c>
      <c r="J39" s="2" t="n">
        <v>513</v>
      </c>
      <c r="K39" s="2" t="inlineStr">
        <is>
          <t>pieces</t>
        </is>
      </c>
      <c r="L39" s="2" t="inlineStr">
        <is>
          <t>2026-08-26</t>
        </is>
      </c>
      <c r="M39" s="2" t="inlineStr">
        <is>
          <t>85414301</t>
        </is>
      </c>
      <c r="N39" s="2" t="inlineStr">
        <is>
          <t>CHN</t>
        </is>
      </c>
      <c r="O39" s="2" t="inlineStr">
        <is>
          <t>Flexible solar panel 100 W</t>
        </is>
      </c>
      <c r="P39" s="2" t="n">
        <v>35</v>
      </c>
      <c r="Q39" s="36">
        <f>IF(E39=1,F39,"")</f>
        <v/>
      </c>
    </row>
    <row r="40">
      <c r="A40" s="2" t="inlineStr">
        <is>
          <t>V2</t>
        </is>
      </c>
      <c r="B40" s="2" t="n">
        <v>27</v>
      </c>
      <c r="C40" s="2" t="inlineStr">
        <is>
          <t>L0250148</t>
        </is>
      </c>
      <c r="D40" s="22" t="n">
        <v>0.859</v>
      </c>
      <c r="E40" s="2" t="n">
        <v>1</v>
      </c>
      <c r="F40" s="35" t="n">
        <v>58</v>
      </c>
      <c r="G40" s="35" t="n">
        <v>59.74</v>
      </c>
      <c r="H40" s="2" t="inlineStr">
        <is>
          <t>USD</t>
        </is>
      </c>
      <c r="I40" s="2" t="inlineStr">
        <is>
          <t>CIF</t>
        </is>
      </c>
      <c r="J40" s="2" t="n">
        <v>284</v>
      </c>
      <c r="K40" s="2" t="inlineStr">
        <is>
          <t>pieces</t>
        </is>
      </c>
      <c r="L40" s="2" t="inlineStr">
        <is>
          <t>2026-09-14</t>
        </is>
      </c>
      <c r="M40" s="2" t="inlineStr">
        <is>
          <t>85414301</t>
        </is>
      </c>
      <c r="N40" s="2" t="inlineStr">
        <is>
          <t>CHN</t>
        </is>
      </c>
      <c r="O40" s="2" t="inlineStr">
        <is>
          <t>Flexible solar panel 100 W</t>
        </is>
      </c>
      <c r="P40" s="2" t="n">
        <v>16</v>
      </c>
      <c r="Q40" s="36">
        <f>IF(E40=1,F40,"")</f>
        <v/>
      </c>
    </row>
    <row r="41">
      <c r="A41" s="2" t="inlineStr">
        <is>
          <t>V2</t>
        </is>
      </c>
      <c r="B41" s="2" t="n">
        <v>28</v>
      </c>
      <c r="C41" s="2" t="inlineStr">
        <is>
          <t>L0250176</t>
        </is>
      </c>
      <c r="D41" s="22" t="n">
        <v>0.8120000000000001</v>
      </c>
      <c r="E41" s="2" t="n">
        <v>0</v>
      </c>
      <c r="F41" s="35" t="n">
        <v>34.12</v>
      </c>
      <c r="G41" s="35" t="n">
        <v>34.99</v>
      </c>
      <c r="H41" s="2" t="inlineStr">
        <is>
          <t>USD</t>
        </is>
      </c>
      <c r="I41" s="2" t="inlineStr">
        <is>
          <t>CFR</t>
        </is>
      </c>
      <c r="J41" s="2" t="n">
        <v>174</v>
      </c>
      <c r="K41" s="2" t="inlineStr">
        <is>
          <t>pieces</t>
        </is>
      </c>
      <c r="L41" s="2" t="inlineStr">
        <is>
          <t>2026-07-08</t>
        </is>
      </c>
      <c r="M41" s="2" t="inlineStr">
        <is>
          <t>85414301</t>
        </is>
      </c>
      <c r="N41" s="2" t="inlineStr">
        <is>
          <t>CHN</t>
        </is>
      </c>
      <c r="O41" s="2" t="inlineStr">
        <is>
          <t>Portable folding solar panel 60 W</t>
        </is>
      </c>
      <c r="P41" s="2" t="n">
        <v>84</v>
      </c>
      <c r="Q41" s="36">
        <f>IF(E41=1,F41,"")</f>
        <v/>
      </c>
    </row>
    <row r="42">
      <c r="A42" s="2" t="inlineStr">
        <is>
          <t>V2</t>
        </is>
      </c>
      <c r="B42" s="2" t="n">
        <v>29</v>
      </c>
      <c r="C42" s="2" t="inlineStr">
        <is>
          <t>L0250175</t>
        </is>
      </c>
      <c r="D42" s="22" t="n">
        <v>0.8120000000000001</v>
      </c>
      <c r="E42" s="2" t="n">
        <v>0</v>
      </c>
      <c r="F42" s="35" t="n">
        <v>32.82</v>
      </c>
      <c r="G42" s="35" t="n">
        <v>33.8</v>
      </c>
      <c r="H42" s="2" t="inlineStr">
        <is>
          <t>USD</t>
        </is>
      </c>
      <c r="I42" s="2" t="inlineStr">
        <is>
          <t>CIF</t>
        </is>
      </c>
      <c r="J42" s="2" t="n">
        <v>308</v>
      </c>
      <c r="K42" s="2" t="inlineStr">
        <is>
          <t>pieces</t>
        </is>
      </c>
      <c r="L42" s="2" t="inlineStr">
        <is>
          <t>2026-07-09</t>
        </is>
      </c>
      <c r="M42" s="2" t="inlineStr">
        <is>
          <t>85414301</t>
        </is>
      </c>
      <c r="N42" s="2" t="inlineStr">
        <is>
          <t>CHN</t>
        </is>
      </c>
      <c r="O42" s="2" t="inlineStr">
        <is>
          <t>Portable folding solar panel 60 W</t>
        </is>
      </c>
      <c r="P42" s="2" t="n">
        <v>83</v>
      </c>
      <c r="Q42" s="36">
        <f>IF(E42=1,F42,"")</f>
        <v/>
      </c>
    </row>
    <row r="43">
      <c r="A43" s="2" t="inlineStr">
        <is>
          <t>V2</t>
        </is>
      </c>
      <c r="B43" s="2" t="n">
        <v>30</v>
      </c>
      <c r="C43" s="2" t="inlineStr">
        <is>
          <t>L0250174</t>
        </is>
      </c>
      <c r="D43" s="22" t="n">
        <v>0.8120000000000001</v>
      </c>
      <c r="E43" s="2" t="n">
        <v>0</v>
      </c>
      <c r="F43" s="35" t="n">
        <v>30.81</v>
      </c>
      <c r="G43" s="35" t="n">
        <v>30.81</v>
      </c>
      <c r="H43" s="2" t="inlineStr">
        <is>
          <t>USD</t>
        </is>
      </c>
      <c r="I43" s="2" t="inlineStr">
        <is>
          <t>FOB</t>
        </is>
      </c>
      <c r="J43" s="2" t="n">
        <v>198</v>
      </c>
      <c r="K43" s="2" t="inlineStr">
        <is>
          <t>pieces</t>
        </is>
      </c>
      <c r="L43" s="2" t="inlineStr">
        <is>
          <t>2026-08-02</t>
        </is>
      </c>
      <c r="M43" s="2" t="inlineStr">
        <is>
          <t>85414301</t>
        </is>
      </c>
      <c r="N43" s="2" t="inlineStr">
        <is>
          <t>CHN</t>
        </is>
      </c>
      <c r="O43" s="2" t="inlineStr">
        <is>
          <t>Portable folding solar panel 60 W</t>
        </is>
      </c>
      <c r="P43" s="2" t="n">
        <v>59</v>
      </c>
      <c r="Q43" s="36">
        <f>IF(E43=1,F43,"")</f>
        <v/>
      </c>
    </row>
    <row r="44">
      <c r="A44" s="2" t="inlineStr">
        <is>
          <t>V1</t>
        </is>
      </c>
      <c r="B44" s="2" t="n">
        <v>1</v>
      </c>
      <c r="C44" s="2" t="inlineStr">
        <is>
          <t>L0250114</t>
        </is>
      </c>
      <c r="D44" s="22" t="n">
        <v>0.995</v>
      </c>
      <c r="E44" s="2" t="n">
        <v>1</v>
      </c>
      <c r="F44" s="35" t="n">
        <v>118.29</v>
      </c>
      <c r="G44" s="35" t="n">
        <v>118.29</v>
      </c>
      <c r="H44" s="2" t="inlineStr">
        <is>
          <t>USD</t>
        </is>
      </c>
      <c r="I44" s="2" t="inlineStr">
        <is>
          <t>FOB</t>
        </is>
      </c>
      <c r="J44" s="2" t="n">
        <v>23</v>
      </c>
      <c r="K44" s="2" t="inlineStr">
        <is>
          <t>pieces</t>
        </is>
      </c>
      <c r="L44" s="2" t="inlineStr">
        <is>
          <t>2026-07-13</t>
        </is>
      </c>
      <c r="M44" s="2" t="inlineStr">
        <is>
          <t>87120001</t>
        </is>
      </c>
      <c r="N44" s="2" t="inlineStr">
        <is>
          <t>CHN</t>
        </is>
      </c>
      <c r="O44" s="2" t="inlineStr">
        <is>
          <t>Mountain bicycle, 27.5 inch, aluminium frame</t>
        </is>
      </c>
      <c r="P44" s="2" t="n">
        <v>79</v>
      </c>
      <c r="Q44" s="36">
        <f>IF(E44=1,F44,"")</f>
        <v/>
      </c>
    </row>
    <row r="45">
      <c r="A45" s="2" t="inlineStr">
        <is>
          <t>V1</t>
        </is>
      </c>
      <c r="B45" s="2" t="n">
        <v>2</v>
      </c>
      <c r="C45" s="2" t="inlineStr">
        <is>
          <t>L0250132</t>
        </is>
      </c>
      <c r="D45" s="22" t="n">
        <v>0.995</v>
      </c>
      <c r="E45" s="2" t="n">
        <v>1</v>
      </c>
      <c r="F45" s="35" t="n">
        <v>110.51</v>
      </c>
      <c r="G45" s="35" t="n">
        <v>117.14</v>
      </c>
      <c r="H45" s="2" t="inlineStr">
        <is>
          <t>USD</t>
        </is>
      </c>
      <c r="I45" s="2" t="inlineStr">
        <is>
          <t>CIF</t>
        </is>
      </c>
      <c r="J45" s="2" t="n">
        <v>33</v>
      </c>
      <c r="K45" s="2" t="inlineStr">
        <is>
          <t>pieces</t>
        </is>
      </c>
      <c r="L45" s="2" t="inlineStr">
        <is>
          <t>2026-07-14</t>
        </is>
      </c>
      <c r="M45" s="2" t="inlineStr">
        <is>
          <t>87120001</t>
        </is>
      </c>
      <c r="N45" s="2" t="inlineStr">
        <is>
          <t>CHN</t>
        </is>
      </c>
      <c r="O45" s="2" t="inlineStr">
        <is>
          <t>Mountain bicycle, 27.5 inch, aluminium frame</t>
        </is>
      </c>
      <c r="P45" s="2" t="n">
        <v>78</v>
      </c>
      <c r="Q45" s="36">
        <f>IF(E45=1,F45,"")</f>
        <v/>
      </c>
    </row>
    <row r="46">
      <c r="A46" s="2" t="inlineStr">
        <is>
          <t>V1</t>
        </is>
      </c>
      <c r="B46" s="2" t="n">
        <v>3</v>
      </c>
      <c r="C46" s="2" t="inlineStr">
        <is>
          <t>L0250120</t>
        </is>
      </c>
      <c r="D46" s="22" t="n">
        <v>0.995</v>
      </c>
      <c r="E46" s="2" t="n">
        <v>1</v>
      </c>
      <c r="F46" s="35" t="n">
        <v>134.17</v>
      </c>
      <c r="G46" s="35" t="n">
        <v>130.26</v>
      </c>
      <c r="H46" s="2" t="inlineStr">
        <is>
          <t>USD</t>
        </is>
      </c>
      <c r="I46" s="2" t="inlineStr">
        <is>
          <t>EXW</t>
        </is>
      </c>
      <c r="J46" s="2" t="n">
        <v>74</v>
      </c>
      <c r="K46" s="2" t="inlineStr">
        <is>
          <t>pieces</t>
        </is>
      </c>
      <c r="L46" s="2" t="inlineStr">
        <is>
          <t>2026-08-07</t>
        </is>
      </c>
      <c r="M46" s="2" t="inlineStr">
        <is>
          <t>87120001</t>
        </is>
      </c>
      <c r="N46" s="2" t="inlineStr">
        <is>
          <t>CHN</t>
        </is>
      </c>
      <c r="O46" s="2" t="inlineStr">
        <is>
          <t>Mountain bicycle, 27.5 inch, aluminium frame</t>
        </is>
      </c>
      <c r="P46" s="2" t="n">
        <v>54</v>
      </c>
      <c r="Q46" s="36">
        <f>IF(E46=1,F46,"")</f>
        <v/>
      </c>
    </row>
    <row r="47">
      <c r="A47" s="2" t="inlineStr">
        <is>
          <t>V1</t>
        </is>
      </c>
      <c r="B47" s="2" t="n">
        <v>4</v>
      </c>
      <c r="C47" s="2" t="inlineStr">
        <is>
          <t>L0250108</t>
        </is>
      </c>
      <c r="D47" s="22" t="n">
        <v>0.995</v>
      </c>
      <c r="E47" s="2" t="n">
        <v>1</v>
      </c>
      <c r="F47" s="35" t="n">
        <v>114.8</v>
      </c>
      <c r="G47" s="35" t="n">
        <v>114.8</v>
      </c>
      <c r="H47" s="2" t="inlineStr">
        <is>
          <t>USD</t>
        </is>
      </c>
      <c r="I47" s="2" t="inlineStr">
        <is>
          <t>FOB</t>
        </is>
      </c>
      <c r="J47" s="2" t="n">
        <v>30</v>
      </c>
      <c r="K47" s="2" t="inlineStr">
        <is>
          <t>pieces</t>
        </is>
      </c>
      <c r="L47" s="2" t="inlineStr">
        <is>
          <t>2026-09-09</t>
        </is>
      </c>
      <c r="M47" s="2" t="inlineStr">
        <is>
          <t>87120001</t>
        </is>
      </c>
      <c r="N47" s="2" t="inlineStr">
        <is>
          <t>CHN</t>
        </is>
      </c>
      <c r="O47" s="2" t="inlineStr">
        <is>
          <t>Mountain bicycle, 27.5 inch, aluminium frame</t>
        </is>
      </c>
      <c r="P47" s="2" t="n">
        <v>21</v>
      </c>
      <c r="Q47" s="36">
        <f>IF(E47=1,F47,"")</f>
        <v/>
      </c>
    </row>
    <row r="48">
      <c r="A48" s="2" t="inlineStr">
        <is>
          <t>V1</t>
        </is>
      </c>
      <c r="B48" s="2" t="n">
        <v>5</v>
      </c>
      <c r="C48" s="2" t="inlineStr">
        <is>
          <t>L0250126</t>
        </is>
      </c>
      <c r="D48" s="22" t="n">
        <v>0.995</v>
      </c>
      <c r="E48" s="2" t="n">
        <v>1</v>
      </c>
      <c r="F48" s="35" t="n">
        <v>129.66</v>
      </c>
      <c r="G48" s="35" t="n">
        <v>129.66</v>
      </c>
      <c r="H48" s="2" t="inlineStr">
        <is>
          <t>USD</t>
        </is>
      </c>
      <c r="I48" s="2" t="inlineStr">
        <is>
          <t>FOB</t>
        </is>
      </c>
      <c r="J48" s="2" t="n">
        <v>80</v>
      </c>
      <c r="K48" s="2" t="inlineStr">
        <is>
          <t>pieces</t>
        </is>
      </c>
      <c r="L48" s="2" t="inlineStr">
        <is>
          <t>2026-09-23</t>
        </is>
      </c>
      <c r="M48" s="2" t="inlineStr">
        <is>
          <t>87120001</t>
        </is>
      </c>
      <c r="N48" s="2" t="inlineStr">
        <is>
          <t>CHN</t>
        </is>
      </c>
      <c r="O48" s="2" t="inlineStr">
        <is>
          <t>Mountain bicycle, 27.5 inch, aluminium frame</t>
        </is>
      </c>
      <c r="P48" s="2" t="n">
        <v>7</v>
      </c>
      <c r="Q48" s="36">
        <f>IF(E48=1,F48,"")</f>
        <v/>
      </c>
    </row>
    <row r="49">
      <c r="A49" s="2" t="inlineStr">
        <is>
          <t>V1</t>
        </is>
      </c>
      <c r="B49" s="2" t="n">
        <v>6</v>
      </c>
      <c r="C49" s="2" t="inlineStr">
        <is>
          <t>L0250125</t>
        </is>
      </c>
      <c r="D49" s="22" t="n">
        <v>0.98</v>
      </c>
      <c r="E49" s="2" t="n">
        <v>1</v>
      </c>
      <c r="F49" s="35" t="n">
        <v>118.32</v>
      </c>
      <c r="G49" s="35" t="n">
        <v>114.87</v>
      </c>
      <c r="H49" s="2" t="inlineStr">
        <is>
          <t>USD</t>
        </is>
      </c>
      <c r="I49" s="2" t="inlineStr">
        <is>
          <t>EXW</t>
        </is>
      </c>
      <c r="J49" s="2" t="n">
        <v>47</v>
      </c>
      <c r="K49" s="2" t="inlineStr">
        <is>
          <t>pieces</t>
        </is>
      </c>
      <c r="L49" s="2" t="inlineStr">
        <is>
          <t>2026-07-16</t>
        </is>
      </c>
      <c r="M49" s="2" t="inlineStr">
        <is>
          <t>87120001</t>
        </is>
      </c>
      <c r="N49" s="2" t="inlineStr">
        <is>
          <t>CHN</t>
        </is>
      </c>
      <c r="O49" s="2" t="inlineStr">
        <is>
          <t>Aluminium frame mountain bicycle, 26 inches</t>
        </is>
      </c>
      <c r="P49" s="2" t="n">
        <v>76</v>
      </c>
      <c r="Q49" s="36">
        <f>IF(E49=1,F49,"")</f>
        <v/>
      </c>
    </row>
    <row r="50">
      <c r="A50" s="2" t="inlineStr">
        <is>
          <t>V1</t>
        </is>
      </c>
      <c r="B50" s="2" t="n">
        <v>7</v>
      </c>
      <c r="C50" s="2" t="inlineStr">
        <is>
          <t>L0250119</t>
        </is>
      </c>
      <c r="D50" s="22" t="n">
        <v>0.98</v>
      </c>
      <c r="E50" s="2" t="n">
        <v>1</v>
      </c>
      <c r="F50" s="35" t="n">
        <v>111.12</v>
      </c>
      <c r="G50" s="35" t="n">
        <v>117.79</v>
      </c>
      <c r="H50" s="2" t="inlineStr">
        <is>
          <t>USD</t>
        </is>
      </c>
      <c r="I50" s="2" t="inlineStr">
        <is>
          <t>CIF</t>
        </is>
      </c>
      <c r="J50" s="2" t="n">
        <v>27</v>
      </c>
      <c r="K50" s="2" t="inlineStr">
        <is>
          <t>pieces</t>
        </is>
      </c>
      <c r="L50" s="2" t="inlineStr">
        <is>
          <t>2026-07-25</t>
        </is>
      </c>
      <c r="M50" s="2" t="inlineStr">
        <is>
          <t>87120001</t>
        </is>
      </c>
      <c r="N50" s="2" t="inlineStr">
        <is>
          <t>CHN</t>
        </is>
      </c>
      <c r="O50" s="2" t="inlineStr">
        <is>
          <t>Aluminium frame mountain bicycle, 26 inches</t>
        </is>
      </c>
      <c r="P50" s="2" t="n">
        <v>67</v>
      </c>
      <c r="Q50" s="36">
        <f>IF(E50=1,F50,"")</f>
        <v/>
      </c>
    </row>
    <row r="51">
      <c r="A51" s="2" t="inlineStr">
        <is>
          <t>V1</t>
        </is>
      </c>
      <c r="B51" s="2" t="n">
        <v>8</v>
      </c>
      <c r="C51" s="2" t="inlineStr">
        <is>
          <t>L0250113</t>
        </is>
      </c>
      <c r="D51" s="22" t="n">
        <v>0.98</v>
      </c>
      <c r="E51" s="2" t="n">
        <v>1</v>
      </c>
      <c r="F51" s="35" t="n">
        <v>112.29</v>
      </c>
      <c r="G51" s="35" t="n">
        <v>112.29</v>
      </c>
      <c r="H51" s="2" t="inlineStr">
        <is>
          <t>USD</t>
        </is>
      </c>
      <c r="I51" s="2" t="inlineStr">
        <is>
          <t>FOB</t>
        </is>
      </c>
      <c r="J51" s="2" t="n">
        <v>114</v>
      </c>
      <c r="K51" s="2" t="inlineStr">
        <is>
          <t>pieces</t>
        </is>
      </c>
      <c r="L51" s="2" t="inlineStr">
        <is>
          <t>2026-07-29</t>
        </is>
      </c>
      <c r="M51" s="2" t="inlineStr">
        <is>
          <t>87120001</t>
        </is>
      </c>
      <c r="N51" s="2" t="inlineStr">
        <is>
          <t>CHN</t>
        </is>
      </c>
      <c r="O51" s="2" t="inlineStr">
        <is>
          <t>Aluminium frame mountain bicycle, 26 inches</t>
        </is>
      </c>
      <c r="P51" s="2" t="n">
        <v>63</v>
      </c>
      <c r="Q51" s="36">
        <f>IF(E51=1,F51,"")</f>
        <v/>
      </c>
    </row>
    <row r="52">
      <c r="A52" s="2" t="inlineStr">
        <is>
          <t>V1</t>
        </is>
      </c>
      <c r="B52" s="2" t="n">
        <v>9</v>
      </c>
      <c r="C52" s="2" t="inlineStr">
        <is>
          <t>L0250131</t>
        </is>
      </c>
      <c r="D52" s="22" t="n">
        <v>0.98</v>
      </c>
      <c r="E52" s="2" t="n">
        <v>1</v>
      </c>
      <c r="F52" s="35" t="n">
        <v>107.33</v>
      </c>
      <c r="G52" s="35" t="n">
        <v>113.77</v>
      </c>
      <c r="H52" s="2" t="inlineStr">
        <is>
          <t>USD</t>
        </is>
      </c>
      <c r="I52" s="2" t="inlineStr">
        <is>
          <t>CIF</t>
        </is>
      </c>
      <c r="J52" s="2" t="n">
        <v>67</v>
      </c>
      <c r="K52" s="2" t="inlineStr">
        <is>
          <t>pieces</t>
        </is>
      </c>
      <c r="L52" s="2" t="inlineStr">
        <is>
          <t>2026-08-12</t>
        </is>
      </c>
      <c r="M52" s="2" t="inlineStr">
        <is>
          <t>87120001</t>
        </is>
      </c>
      <c r="N52" s="2" t="inlineStr">
        <is>
          <t>CHN</t>
        </is>
      </c>
      <c r="O52" s="2" t="inlineStr">
        <is>
          <t>Aluminium frame mountain bicycle, 26 inches</t>
        </is>
      </c>
      <c r="P52" s="2" t="n">
        <v>49</v>
      </c>
      <c r="Q52" s="36">
        <f>IF(E52=1,F52,"")</f>
        <v/>
      </c>
    </row>
    <row r="53">
      <c r="A53" s="2" t="inlineStr">
        <is>
          <t>V1</t>
        </is>
      </c>
      <c r="B53" s="2" t="n">
        <v>10</v>
      </c>
      <c r="C53" s="2" t="inlineStr">
        <is>
          <t>L0250107</t>
        </is>
      </c>
      <c r="D53" s="22" t="n">
        <v>0.98</v>
      </c>
      <c r="E53" s="2" t="n">
        <v>1</v>
      </c>
      <c r="F53" s="35" t="n">
        <v>122.49</v>
      </c>
      <c r="G53" s="35" t="n">
        <v>118.92</v>
      </c>
      <c r="H53" s="2" t="inlineStr">
        <is>
          <t>USD</t>
        </is>
      </c>
      <c r="I53" s="2" t="inlineStr">
        <is>
          <t>EXW</t>
        </is>
      </c>
      <c r="J53" s="2" t="n">
        <v>42</v>
      </c>
      <c r="K53" s="2" t="inlineStr">
        <is>
          <t>pieces</t>
        </is>
      </c>
      <c r="L53" s="2" t="inlineStr">
        <is>
          <t>2026-09-26</t>
        </is>
      </c>
      <c r="M53" s="2" t="inlineStr">
        <is>
          <t>87120001</t>
        </is>
      </c>
      <c r="N53" s="2" t="inlineStr">
        <is>
          <t>CHN</t>
        </is>
      </c>
      <c r="O53" s="2" t="inlineStr">
        <is>
          <t>Aluminium frame mountain bicycle, 26 inches</t>
        </is>
      </c>
      <c r="P53" s="2" t="n">
        <v>4</v>
      </c>
      <c r="Q53" s="36">
        <f>IF(E53=1,F53,"")</f>
        <v/>
      </c>
    </row>
    <row r="54">
      <c r="A54" s="2" t="inlineStr">
        <is>
          <t>V1</t>
        </is>
      </c>
      <c r="B54" s="2" t="n">
        <v>11</v>
      </c>
      <c r="C54" s="2" t="inlineStr">
        <is>
          <t>L0250116</t>
        </is>
      </c>
      <c r="D54" s="22" t="n">
        <v>0.953</v>
      </c>
      <c r="E54" s="2" t="n">
        <v>1</v>
      </c>
      <c r="F54" s="35" t="n">
        <v>112.26</v>
      </c>
      <c r="G54" s="35" t="n">
        <v>112.26</v>
      </c>
      <c r="H54" s="2" t="inlineStr">
        <is>
          <t>USD</t>
        </is>
      </c>
      <c r="I54" s="2" t="inlineStr">
        <is>
          <t>FOB</t>
        </is>
      </c>
      <c r="J54" s="2" t="n">
        <v>91</v>
      </c>
      <c r="K54" s="2" t="inlineStr">
        <is>
          <t>pieces</t>
        </is>
      </c>
      <c r="L54" s="2" t="inlineStr">
        <is>
          <t>2026-07-15</t>
        </is>
      </c>
      <c r="M54" s="2" t="inlineStr">
        <is>
          <t>87120001</t>
        </is>
      </c>
      <c r="N54" s="2" t="inlineStr">
        <is>
          <t>CHN</t>
        </is>
      </c>
      <c r="O54" s="2" t="inlineStr">
        <is>
          <t>Mountain bike 26 inch aluminium frame</t>
        </is>
      </c>
      <c r="P54" s="2" t="n">
        <v>77</v>
      </c>
      <c r="Q54" s="36">
        <f>IF(E54=1,F54,"")</f>
        <v/>
      </c>
    </row>
    <row r="55">
      <c r="A55" s="2" t="inlineStr">
        <is>
          <t>V1</t>
        </is>
      </c>
      <c r="B55" s="2" t="n">
        <v>12</v>
      </c>
      <c r="C55" s="2" t="inlineStr">
        <is>
          <t>L0250104</t>
        </is>
      </c>
      <c r="D55" s="22" t="n">
        <v>0.953</v>
      </c>
      <c r="E55" s="2" t="n">
        <v>1</v>
      </c>
      <c r="F55" s="35" t="n">
        <v>110.27</v>
      </c>
      <c r="G55" s="35" t="n">
        <v>110.27</v>
      </c>
      <c r="H55" s="2" t="inlineStr">
        <is>
          <t>USD</t>
        </is>
      </c>
      <c r="I55" s="2" t="inlineStr">
        <is>
          <t>FOB</t>
        </is>
      </c>
      <c r="J55" s="2" t="n">
        <v>31</v>
      </c>
      <c r="K55" s="2" t="inlineStr">
        <is>
          <t>pieces</t>
        </is>
      </c>
      <c r="L55" s="2" t="inlineStr">
        <is>
          <t>2026-07-28</t>
        </is>
      </c>
      <c r="M55" s="2" t="inlineStr">
        <is>
          <t>87120001</t>
        </is>
      </c>
      <c r="N55" s="2" t="inlineStr">
        <is>
          <t>CHN</t>
        </is>
      </c>
      <c r="O55" s="2" t="inlineStr">
        <is>
          <t>Mountain bike 26 inch aluminium frame</t>
        </is>
      </c>
      <c r="P55" s="2" t="n">
        <v>64</v>
      </c>
      <c r="Q55" s="36">
        <f>IF(E55=1,F55,"")</f>
        <v/>
      </c>
    </row>
    <row r="56">
      <c r="A56" s="2" t="inlineStr">
        <is>
          <t>V1</t>
        </is>
      </c>
      <c r="B56" s="2" t="n">
        <v>13</v>
      </c>
      <c r="C56" s="2" t="inlineStr">
        <is>
          <t>L0250110</t>
        </is>
      </c>
      <c r="D56" s="22" t="n">
        <v>0.953</v>
      </c>
      <c r="E56" s="2" t="n">
        <v>1</v>
      </c>
      <c r="F56" s="35" t="n">
        <v>108.06</v>
      </c>
      <c r="G56" s="35" t="n">
        <v>114.54</v>
      </c>
      <c r="H56" s="2" t="inlineStr">
        <is>
          <t>USD</t>
        </is>
      </c>
      <c r="I56" s="2" t="inlineStr">
        <is>
          <t>CIF</t>
        </is>
      </c>
      <c r="J56" s="2" t="n">
        <v>29</v>
      </c>
      <c r="K56" s="2" t="inlineStr">
        <is>
          <t>pieces</t>
        </is>
      </c>
      <c r="L56" s="2" t="inlineStr">
        <is>
          <t>2026-07-29</t>
        </is>
      </c>
      <c r="M56" s="2" t="inlineStr">
        <is>
          <t>87120001</t>
        </is>
      </c>
      <c r="N56" s="2" t="inlineStr">
        <is>
          <t>CHN</t>
        </is>
      </c>
      <c r="O56" s="2" t="inlineStr">
        <is>
          <t>Mountain bike 26 inch aluminium frame</t>
        </is>
      </c>
      <c r="P56" s="2" t="n">
        <v>63</v>
      </c>
      <c r="Q56" s="36">
        <f>IF(E56=1,F56,"")</f>
        <v/>
      </c>
    </row>
    <row r="57">
      <c r="A57" s="2" t="inlineStr">
        <is>
          <t>V1</t>
        </is>
      </c>
      <c r="B57" s="2" t="n">
        <v>14</v>
      </c>
      <c r="C57" s="2" t="inlineStr">
        <is>
          <t>L0250134</t>
        </is>
      </c>
      <c r="D57" s="22" t="n">
        <v>0.953</v>
      </c>
      <c r="E57" s="2" t="n">
        <v>1</v>
      </c>
      <c r="F57" s="35" t="n">
        <v>110.55</v>
      </c>
      <c r="G57" s="35" t="n">
        <v>116.19</v>
      </c>
      <c r="H57" s="2" t="inlineStr">
        <is>
          <t>USD</t>
        </is>
      </c>
      <c r="I57" s="2" t="inlineStr">
        <is>
          <t>CFR</t>
        </is>
      </c>
      <c r="J57" s="2" t="n">
        <v>26</v>
      </c>
      <c r="K57" s="2" t="inlineStr">
        <is>
          <t>pieces</t>
        </is>
      </c>
      <c r="L57" s="2" t="inlineStr">
        <is>
          <t>2026-08-19</t>
        </is>
      </c>
      <c r="M57" s="2" t="inlineStr">
        <is>
          <t>87120001</t>
        </is>
      </c>
      <c r="N57" s="2" t="inlineStr">
        <is>
          <t>CHN</t>
        </is>
      </c>
      <c r="O57" s="2" t="inlineStr">
        <is>
          <t>Mountain bike 26 inch aluminium frame</t>
        </is>
      </c>
      <c r="P57" s="2" t="n">
        <v>42</v>
      </c>
      <c r="Q57" s="36">
        <f>IF(E57=1,F57,"")</f>
        <v/>
      </c>
    </row>
    <row r="58">
      <c r="A58" s="2" t="inlineStr">
        <is>
          <t>V1</t>
        </is>
      </c>
      <c r="B58" s="2" t="n">
        <v>15</v>
      </c>
      <c r="C58" s="2" t="inlineStr">
        <is>
          <t>L0250122</t>
        </is>
      </c>
      <c r="D58" s="22" t="n">
        <v>0.953</v>
      </c>
      <c r="E58" s="2" t="n">
        <v>1</v>
      </c>
      <c r="F58" s="35" t="n">
        <v>114.9</v>
      </c>
      <c r="G58" s="35" t="n">
        <v>120.76</v>
      </c>
      <c r="H58" s="2" t="inlineStr">
        <is>
          <t>USD</t>
        </is>
      </c>
      <c r="I58" s="2" t="inlineStr">
        <is>
          <t>CFR</t>
        </is>
      </c>
      <c r="J58" s="2" t="n">
        <v>14</v>
      </c>
      <c r="K58" s="2" t="inlineStr">
        <is>
          <t>pieces</t>
        </is>
      </c>
      <c r="L58" s="2" t="inlineStr">
        <is>
          <t>2026-08-30</t>
        </is>
      </c>
      <c r="M58" s="2" t="inlineStr">
        <is>
          <t>87120001</t>
        </is>
      </c>
      <c r="N58" s="2" t="inlineStr">
        <is>
          <t>CHN</t>
        </is>
      </c>
      <c r="O58" s="2" t="inlineStr">
        <is>
          <t>Mountain bike 26 inch aluminium frame</t>
        </is>
      </c>
      <c r="P58" s="2" t="n">
        <v>31</v>
      </c>
      <c r="Q58" s="36">
        <f>IF(E58=1,F58,"")</f>
        <v/>
      </c>
    </row>
    <row r="59">
      <c r="A59" s="2" t="inlineStr">
        <is>
          <t>V1</t>
        </is>
      </c>
      <c r="B59" s="2" t="n">
        <v>16</v>
      </c>
      <c r="C59" s="2" t="inlineStr">
        <is>
          <t>L0250128</t>
        </is>
      </c>
      <c r="D59" s="22" t="n">
        <v>0.953</v>
      </c>
      <c r="E59" s="2" t="n">
        <v>1</v>
      </c>
      <c r="F59" s="35" t="n">
        <v>112.17</v>
      </c>
      <c r="G59" s="35" t="n">
        <v>112.17</v>
      </c>
      <c r="H59" s="2" t="inlineStr">
        <is>
          <t>USD</t>
        </is>
      </c>
      <c r="I59" s="2" t="inlineStr">
        <is>
          <t>FOB</t>
        </is>
      </c>
      <c r="J59" s="2" t="n">
        <v>53</v>
      </c>
      <c r="K59" s="2" t="inlineStr">
        <is>
          <t>pieces</t>
        </is>
      </c>
      <c r="L59" s="2" t="inlineStr">
        <is>
          <t>2026-09-17</t>
        </is>
      </c>
      <c r="M59" s="2" t="inlineStr">
        <is>
          <t>87120001</t>
        </is>
      </c>
      <c r="N59" s="2" t="inlineStr">
        <is>
          <t>CHN</t>
        </is>
      </c>
      <c r="O59" s="2" t="inlineStr">
        <is>
          <t>Mountain bike 26 inch aluminium frame</t>
        </is>
      </c>
      <c r="P59" s="2" t="n">
        <v>13</v>
      </c>
      <c r="Q59" s="36">
        <f>IF(E59=1,F59,"")</f>
        <v/>
      </c>
    </row>
    <row r="60">
      <c r="A60" s="2" t="inlineStr">
        <is>
          <t>V1</t>
        </is>
      </c>
      <c r="B60" s="2" t="n">
        <v>17</v>
      </c>
      <c r="C60" s="2" t="inlineStr">
        <is>
          <t>L0250133</t>
        </is>
      </c>
      <c r="D60" s="22" t="n">
        <v>0.948</v>
      </c>
      <c r="E60" s="2" t="n">
        <v>1</v>
      </c>
      <c r="F60" s="35" t="n">
        <v>85.58</v>
      </c>
      <c r="G60" s="35" t="n">
        <v>85.58</v>
      </c>
      <c r="H60" s="2" t="inlineStr">
        <is>
          <t>USD</t>
        </is>
      </c>
      <c r="I60" s="2" t="inlineStr">
        <is>
          <t>FOB</t>
        </is>
      </c>
      <c r="J60" s="2" t="n">
        <v>81</v>
      </c>
      <c r="K60" s="2" t="inlineStr">
        <is>
          <t>pieces</t>
        </is>
      </c>
      <c r="L60" s="2" t="inlineStr">
        <is>
          <t>2026-07-21</t>
        </is>
      </c>
      <c r="M60" s="2" t="inlineStr">
        <is>
          <t>87120001</t>
        </is>
      </c>
      <c r="N60" s="2" t="inlineStr">
        <is>
          <t>CHN</t>
        </is>
      </c>
      <c r="O60" s="2" t="inlineStr">
        <is>
          <t>Mountain bicycle 26 inch steel frame</t>
        </is>
      </c>
      <c r="P60" s="2" t="n">
        <v>71</v>
      </c>
      <c r="Q60" s="36">
        <f>IF(E60=1,F60,"")</f>
        <v/>
      </c>
    </row>
    <row r="61">
      <c r="A61" s="2" t="inlineStr">
        <is>
          <t>V1</t>
        </is>
      </c>
      <c r="B61" s="2" t="n">
        <v>18</v>
      </c>
      <c r="C61" s="2" t="inlineStr">
        <is>
          <t>L0250127</t>
        </is>
      </c>
      <c r="D61" s="22" t="n">
        <v>0.948</v>
      </c>
      <c r="E61" s="2" t="n">
        <v>1</v>
      </c>
      <c r="F61" s="35" t="n">
        <v>93.38</v>
      </c>
      <c r="G61" s="35" t="n">
        <v>98.98</v>
      </c>
      <c r="H61" s="2" t="inlineStr">
        <is>
          <t>USD</t>
        </is>
      </c>
      <c r="I61" s="2" t="inlineStr">
        <is>
          <t>CIF</t>
        </is>
      </c>
      <c r="J61" s="2" t="n">
        <v>50</v>
      </c>
      <c r="K61" s="2" t="inlineStr">
        <is>
          <t>pieces</t>
        </is>
      </c>
      <c r="L61" s="2" t="inlineStr">
        <is>
          <t>2026-07-25</t>
        </is>
      </c>
      <c r="M61" s="2" t="inlineStr">
        <is>
          <t>87120001</t>
        </is>
      </c>
      <c r="N61" s="2" t="inlineStr">
        <is>
          <t>CHN</t>
        </is>
      </c>
      <c r="O61" s="2" t="inlineStr">
        <is>
          <t>Mountain bicycle 26 inch steel frame</t>
        </is>
      </c>
      <c r="P61" s="2" t="n">
        <v>67</v>
      </c>
      <c r="Q61" s="36">
        <f>IF(E61=1,F61,"")</f>
        <v/>
      </c>
    </row>
    <row r="62">
      <c r="A62" s="2" t="inlineStr">
        <is>
          <t>V1</t>
        </is>
      </c>
      <c r="B62" s="2" t="n">
        <v>19</v>
      </c>
      <c r="C62" s="2" t="inlineStr">
        <is>
          <t>L0250115</t>
        </is>
      </c>
      <c r="D62" s="22" t="n">
        <v>0.948</v>
      </c>
      <c r="E62" s="2" t="n">
        <v>1</v>
      </c>
      <c r="F62" s="35" t="n">
        <v>84.47</v>
      </c>
      <c r="G62" s="35" t="n">
        <v>89.54000000000001</v>
      </c>
      <c r="H62" s="2" t="inlineStr">
        <is>
          <t>USD</t>
        </is>
      </c>
      <c r="I62" s="2" t="inlineStr">
        <is>
          <t>CIF</t>
        </is>
      </c>
      <c r="J62" s="2" t="n">
        <v>120</v>
      </c>
      <c r="K62" s="2" t="inlineStr">
        <is>
          <t>pieces</t>
        </is>
      </c>
      <c r="L62" s="2" t="inlineStr">
        <is>
          <t>2026-07-26</t>
        </is>
      </c>
      <c r="M62" s="2" t="inlineStr">
        <is>
          <t>87120001</t>
        </is>
      </c>
      <c r="N62" s="2" t="inlineStr">
        <is>
          <t>CHN</t>
        </is>
      </c>
      <c r="O62" s="2" t="inlineStr">
        <is>
          <t>Mountain bicycle 26 inch steel frame</t>
        </is>
      </c>
      <c r="P62" s="2" t="n">
        <v>66</v>
      </c>
      <c r="Q62" s="36">
        <f>IF(E62=1,F62,"")</f>
        <v/>
      </c>
    </row>
    <row r="63">
      <c r="A63" s="2" t="inlineStr">
        <is>
          <t>V1</t>
        </is>
      </c>
      <c r="B63" s="2" t="n">
        <v>20</v>
      </c>
      <c r="C63" s="2" t="inlineStr">
        <is>
          <t>L0250109</t>
        </is>
      </c>
      <c r="D63" s="22" t="n">
        <v>0.948</v>
      </c>
      <c r="E63" s="2" t="n">
        <v>1</v>
      </c>
      <c r="F63" s="35" t="n">
        <v>85.93000000000001</v>
      </c>
      <c r="G63" s="35" t="n">
        <v>85.93000000000001</v>
      </c>
      <c r="H63" s="2" t="inlineStr">
        <is>
          <t>USD</t>
        </is>
      </c>
      <c r="I63" s="2" t="inlineStr">
        <is>
          <t>FOB</t>
        </is>
      </c>
      <c r="J63" s="2" t="n">
        <v>33</v>
      </c>
      <c r="K63" s="2" t="inlineStr">
        <is>
          <t>pieces</t>
        </is>
      </c>
      <c r="L63" s="2" t="inlineStr">
        <is>
          <t>2026-09-08</t>
        </is>
      </c>
      <c r="M63" s="2" t="inlineStr">
        <is>
          <t>87120001</t>
        </is>
      </c>
      <c r="N63" s="2" t="inlineStr">
        <is>
          <t>CHN</t>
        </is>
      </c>
      <c r="O63" s="2" t="inlineStr">
        <is>
          <t>Mountain bicycle 26 inch steel frame</t>
        </is>
      </c>
      <c r="P63" s="2" t="n">
        <v>22</v>
      </c>
      <c r="Q63" s="36">
        <f>IF(E63=1,F63,"")</f>
        <v/>
      </c>
    </row>
    <row r="64">
      <c r="A64" s="2" t="inlineStr">
        <is>
          <t>V1</t>
        </is>
      </c>
      <c r="B64" s="2" t="n">
        <v>21</v>
      </c>
      <c r="C64" s="2" t="inlineStr">
        <is>
          <t>L0250121</t>
        </is>
      </c>
      <c r="D64" s="22" t="n">
        <v>0.948</v>
      </c>
      <c r="E64" s="2" t="n">
        <v>1</v>
      </c>
      <c r="F64" s="35" t="n">
        <v>78.88</v>
      </c>
      <c r="G64" s="35" t="n">
        <v>83.61</v>
      </c>
      <c r="H64" s="2" t="inlineStr">
        <is>
          <t>USD</t>
        </is>
      </c>
      <c r="I64" s="2" t="inlineStr">
        <is>
          <t>CIF</t>
        </is>
      </c>
      <c r="J64" s="2" t="n">
        <v>17</v>
      </c>
      <c r="K64" s="2" t="inlineStr">
        <is>
          <t>pieces</t>
        </is>
      </c>
      <c r="L64" s="2" t="inlineStr">
        <is>
          <t>2026-09-28</t>
        </is>
      </c>
      <c r="M64" s="2" t="inlineStr">
        <is>
          <t>87120001</t>
        </is>
      </c>
      <c r="N64" s="2" t="inlineStr">
        <is>
          <t>CHN</t>
        </is>
      </c>
      <c r="O64" s="2" t="inlineStr">
        <is>
          <t>Mountain bicycle 26 inch steel frame</t>
        </is>
      </c>
      <c r="P64" s="2" t="n">
        <v>2</v>
      </c>
      <c r="Q64" s="36">
        <f>IF(E64=1,F64,"")</f>
        <v/>
      </c>
    </row>
    <row r="65">
      <c r="A65" s="2" t="inlineStr">
        <is>
          <t>V1</t>
        </is>
      </c>
      <c r="B65" s="2" t="n">
        <v>22</v>
      </c>
      <c r="C65" s="2" t="inlineStr">
        <is>
          <t>L0250135</t>
        </is>
      </c>
      <c r="D65" s="22" t="n">
        <v>0.946</v>
      </c>
      <c r="E65" s="2" t="n">
        <v>1</v>
      </c>
      <c r="F65" s="35" t="n">
        <v>103.44</v>
      </c>
      <c r="G65" s="35" t="n">
        <v>109.65</v>
      </c>
      <c r="H65" s="2" t="inlineStr">
        <is>
          <t>USD</t>
        </is>
      </c>
      <c r="I65" s="2" t="inlineStr">
        <is>
          <t>CIF</t>
        </is>
      </c>
      <c r="J65" s="2" t="n">
        <v>148</v>
      </c>
      <c r="K65" s="2" t="inlineStr">
        <is>
          <t>pieces</t>
        </is>
      </c>
      <c r="L65" s="2" t="inlineStr">
        <is>
          <t>2026-07-17</t>
        </is>
      </c>
      <c r="M65" s="2" t="inlineStr">
        <is>
          <t>87120001</t>
        </is>
      </c>
      <c r="N65" s="2" t="inlineStr">
        <is>
          <t>CHN</t>
        </is>
      </c>
      <c r="O65" s="2" t="inlineStr">
        <is>
          <t>Mountain bicycle 26" aluminum frame</t>
        </is>
      </c>
      <c r="P65" s="2" t="n">
        <v>75</v>
      </c>
      <c r="Q65" s="36">
        <f>IF(E65=1,F65,"")</f>
        <v/>
      </c>
    </row>
    <row r="66">
      <c r="A66" s="2" t="inlineStr">
        <is>
          <t>V1</t>
        </is>
      </c>
      <c r="B66" s="2" t="n">
        <v>23</v>
      </c>
      <c r="C66" s="2" t="inlineStr">
        <is>
          <t>L0250105</t>
        </is>
      </c>
      <c r="D66" s="22" t="n">
        <v>0.946</v>
      </c>
      <c r="E66" s="2" t="n">
        <v>1</v>
      </c>
      <c r="F66" s="35" t="n">
        <v>102.59</v>
      </c>
      <c r="G66" s="35" t="n">
        <v>102.59</v>
      </c>
      <c r="H66" s="2" t="inlineStr">
        <is>
          <t>USD</t>
        </is>
      </c>
      <c r="I66" s="2" t="inlineStr">
        <is>
          <t>FOB</t>
        </is>
      </c>
      <c r="J66" s="2" t="n">
        <v>91</v>
      </c>
      <c r="K66" s="2" t="inlineStr">
        <is>
          <t>pieces</t>
        </is>
      </c>
      <c r="L66" s="2" t="inlineStr">
        <is>
          <t>2026-07-31</t>
        </is>
      </c>
      <c r="M66" s="2" t="inlineStr">
        <is>
          <t>87120001</t>
        </is>
      </c>
      <c r="N66" s="2" t="inlineStr">
        <is>
          <t>CHN</t>
        </is>
      </c>
      <c r="O66" s="2" t="inlineStr">
        <is>
          <t>Mountain bicycle 26" aluminum frame</t>
        </is>
      </c>
      <c r="P66" s="2" t="n">
        <v>61</v>
      </c>
      <c r="Q66" s="36">
        <f>IF(E66=1,F66,"")</f>
        <v/>
      </c>
    </row>
    <row r="67">
      <c r="A67" s="2" t="inlineStr">
        <is>
          <t>V1</t>
        </is>
      </c>
      <c r="B67" s="2" t="n">
        <v>24</v>
      </c>
      <c r="C67" s="2" t="inlineStr">
        <is>
          <t>L0250117</t>
        </is>
      </c>
      <c r="D67" s="22" t="n">
        <v>0.946</v>
      </c>
      <c r="E67" s="2" t="n">
        <v>1</v>
      </c>
      <c r="F67" s="35" t="n">
        <v>116.94</v>
      </c>
      <c r="G67" s="35" t="n">
        <v>123.96</v>
      </c>
      <c r="H67" s="2" t="inlineStr">
        <is>
          <t>USD</t>
        </is>
      </c>
      <c r="I67" s="2" t="inlineStr">
        <is>
          <t>CIF</t>
        </is>
      </c>
      <c r="J67" s="2" t="n">
        <v>62</v>
      </c>
      <c r="K67" s="2" t="inlineStr">
        <is>
          <t>pieces</t>
        </is>
      </c>
      <c r="L67" s="2" t="inlineStr">
        <is>
          <t>2026-08-08</t>
        </is>
      </c>
      <c r="M67" s="2" t="inlineStr">
        <is>
          <t>87120001</t>
        </is>
      </c>
      <c r="N67" s="2" t="inlineStr">
        <is>
          <t>CHN</t>
        </is>
      </c>
      <c r="O67" s="2" t="inlineStr">
        <is>
          <t>Mountain bicycle 26" aluminum frame</t>
        </is>
      </c>
      <c r="P67" s="2" t="n">
        <v>53</v>
      </c>
      <c r="Q67" s="36">
        <f>IF(E67=1,F67,"")</f>
        <v/>
      </c>
    </row>
    <row r="68">
      <c r="A68" s="2" t="inlineStr">
        <is>
          <t>V1</t>
        </is>
      </c>
      <c r="B68" s="2" t="n">
        <v>25</v>
      </c>
      <c r="C68" s="2" t="inlineStr">
        <is>
          <t>L0250129</t>
        </is>
      </c>
      <c r="D68" s="22" t="n">
        <v>0.946</v>
      </c>
      <c r="E68" s="2" t="n">
        <v>1</v>
      </c>
      <c r="F68" s="35" t="n">
        <v>109.13</v>
      </c>
      <c r="G68" s="35" t="n">
        <v>115.68</v>
      </c>
      <c r="H68" s="2" t="inlineStr">
        <is>
          <t>USD</t>
        </is>
      </c>
      <c r="I68" s="2" t="inlineStr">
        <is>
          <t>CIF</t>
        </is>
      </c>
      <c r="J68" s="2" t="n">
        <v>37</v>
      </c>
      <c r="K68" s="2" t="inlineStr">
        <is>
          <t>pieces</t>
        </is>
      </c>
      <c r="L68" s="2" t="inlineStr">
        <is>
          <t>2026-08-09</t>
        </is>
      </c>
      <c r="M68" s="2" t="inlineStr">
        <is>
          <t>87120001</t>
        </is>
      </c>
      <c r="N68" s="2" t="inlineStr">
        <is>
          <t>CHN</t>
        </is>
      </c>
      <c r="O68" s="2" t="inlineStr">
        <is>
          <t>Mountain bicycle 26" aluminum frame</t>
        </is>
      </c>
      <c r="P68" s="2" t="n">
        <v>52</v>
      </c>
      <c r="Q68" s="36">
        <f>IF(E68=1,F68,"")</f>
        <v/>
      </c>
    </row>
    <row r="69">
      <c r="A69" s="2" t="inlineStr">
        <is>
          <t>V1</t>
        </is>
      </c>
      <c r="B69" s="2" t="n">
        <v>26</v>
      </c>
      <c r="C69" s="2" t="inlineStr">
        <is>
          <t>L0250111</t>
        </is>
      </c>
      <c r="D69" s="22" t="n">
        <v>0.946</v>
      </c>
      <c r="E69" s="2" t="n">
        <v>1</v>
      </c>
      <c r="F69" s="35" t="n">
        <v>114.14</v>
      </c>
      <c r="G69" s="35" t="n">
        <v>114.14</v>
      </c>
      <c r="H69" s="2" t="inlineStr">
        <is>
          <t>USD</t>
        </is>
      </c>
      <c r="I69" s="2" t="inlineStr">
        <is>
          <t>FOB</t>
        </is>
      </c>
      <c r="J69" s="2" t="n">
        <v>48</v>
      </c>
      <c r="K69" s="2" t="inlineStr">
        <is>
          <t>pieces</t>
        </is>
      </c>
      <c r="L69" s="2" t="inlineStr">
        <is>
          <t>2026-08-30</t>
        </is>
      </c>
      <c r="M69" s="2" t="inlineStr">
        <is>
          <t>87120001</t>
        </is>
      </c>
      <c r="N69" s="2" t="inlineStr">
        <is>
          <t>CHN</t>
        </is>
      </c>
      <c r="O69" s="2" t="inlineStr">
        <is>
          <t>Mountain bicycle 26" aluminum frame</t>
        </is>
      </c>
      <c r="P69" s="2" t="n">
        <v>31</v>
      </c>
      <c r="Q69" s="36">
        <f>IF(E69=1,F69,"")</f>
        <v/>
      </c>
    </row>
    <row r="70">
      <c r="A70" s="2" t="inlineStr">
        <is>
          <t>V1</t>
        </is>
      </c>
      <c r="B70" s="2" t="n">
        <v>27</v>
      </c>
      <c r="C70" s="2" t="inlineStr">
        <is>
          <t>L0250123</t>
        </is>
      </c>
      <c r="D70" s="22" t="n">
        <v>0.946</v>
      </c>
      <c r="E70" s="2" t="n">
        <v>1</v>
      </c>
      <c r="F70" s="35" t="n">
        <v>110.52</v>
      </c>
      <c r="G70" s="35" t="n">
        <v>110.52</v>
      </c>
      <c r="H70" s="2" t="inlineStr">
        <is>
          <t>USD</t>
        </is>
      </c>
      <c r="I70" s="2" t="inlineStr">
        <is>
          <t>FOB</t>
        </is>
      </c>
      <c r="J70" s="2" t="n">
        <v>37</v>
      </c>
      <c r="K70" s="2" t="inlineStr">
        <is>
          <t>pieces</t>
        </is>
      </c>
      <c r="L70" s="2" t="inlineStr">
        <is>
          <t>2026-09-07</t>
        </is>
      </c>
      <c r="M70" s="2" t="inlineStr">
        <is>
          <t>87120001</t>
        </is>
      </c>
      <c r="N70" s="2" t="inlineStr">
        <is>
          <t>CHN</t>
        </is>
      </c>
      <c r="O70" s="2" t="inlineStr">
        <is>
          <t>Mountain bicycle 26" aluminum frame</t>
        </is>
      </c>
      <c r="P70" s="2" t="n">
        <v>23</v>
      </c>
      <c r="Q70" s="36">
        <f>IF(E70=1,F70,"")</f>
        <v/>
      </c>
    </row>
    <row r="71">
      <c r="A71" s="2" t="inlineStr">
        <is>
          <t>V1</t>
        </is>
      </c>
      <c r="B71" s="2" t="n">
        <v>28</v>
      </c>
      <c r="C71" s="2" t="inlineStr">
        <is>
          <t>L0250106</t>
        </is>
      </c>
      <c r="D71" s="22" t="n">
        <v>0.916</v>
      </c>
      <c r="E71" s="2" t="n">
        <v>1</v>
      </c>
      <c r="F71" s="35" t="n">
        <v>105.95</v>
      </c>
      <c r="G71" s="35" t="n">
        <v>105.95</v>
      </c>
      <c r="H71" s="2" t="inlineStr">
        <is>
          <t>USD</t>
        </is>
      </c>
      <c r="I71" s="2" t="inlineStr">
        <is>
          <t>FOB</t>
        </is>
      </c>
      <c r="J71" s="2" t="n">
        <v>106</v>
      </c>
      <c r="K71" s="2" t="inlineStr">
        <is>
          <t>pieces</t>
        </is>
      </c>
      <c r="L71" s="2" t="inlineStr">
        <is>
          <t>2026-07-08</t>
        </is>
      </c>
      <c r="M71" s="2" t="inlineStr">
        <is>
          <t>87120001</t>
        </is>
      </c>
      <c r="N71" s="2" t="inlineStr">
        <is>
          <t>CHN</t>
        </is>
      </c>
      <c r="O71" s="2" t="inlineStr">
        <is>
          <t>MTB bicycle 26 inch alloy frame</t>
        </is>
      </c>
      <c r="P71" s="2" t="n">
        <v>84</v>
      </c>
      <c r="Q71" s="36">
        <f>IF(E71=1,F71,"")</f>
        <v/>
      </c>
    </row>
    <row r="72">
      <c r="A72" s="2" t="inlineStr">
        <is>
          <t>V1</t>
        </is>
      </c>
      <c r="B72" s="2" t="n">
        <v>29</v>
      </c>
      <c r="C72" s="2" t="inlineStr">
        <is>
          <t>L0250124</t>
        </is>
      </c>
      <c r="D72" s="22" t="n">
        <v>0.916</v>
      </c>
      <c r="E72" s="2" t="n">
        <v>1</v>
      </c>
      <c r="F72" s="35" t="n">
        <v>99.2</v>
      </c>
      <c r="G72" s="35" t="n">
        <v>104.26</v>
      </c>
      <c r="H72" s="2" t="inlineStr">
        <is>
          <t>USD</t>
        </is>
      </c>
      <c r="I72" s="2" t="inlineStr">
        <is>
          <t>CFR</t>
        </is>
      </c>
      <c r="J72" s="2" t="n">
        <v>104</v>
      </c>
      <c r="K72" s="2" t="inlineStr">
        <is>
          <t>pieces</t>
        </is>
      </c>
      <c r="L72" s="2" t="inlineStr">
        <is>
          <t>2026-08-28</t>
        </is>
      </c>
      <c r="M72" s="2" t="inlineStr">
        <is>
          <t>87120001</t>
        </is>
      </c>
      <c r="N72" s="2" t="inlineStr">
        <is>
          <t>CHN</t>
        </is>
      </c>
      <c r="O72" s="2" t="inlineStr">
        <is>
          <t>MTB bicycle 26 inch alloy frame</t>
        </is>
      </c>
      <c r="P72" s="2" t="n">
        <v>33</v>
      </c>
      <c r="Q72" s="36">
        <f>IF(E72=1,F72,"")</f>
        <v/>
      </c>
    </row>
    <row r="73">
      <c r="A73" s="2" t="inlineStr">
        <is>
          <t>V1</t>
        </is>
      </c>
      <c r="B73" s="2" t="n">
        <v>30</v>
      </c>
      <c r="C73" s="2" t="inlineStr">
        <is>
          <t>L0250130</t>
        </is>
      </c>
      <c r="D73" s="22" t="n">
        <v>0.916</v>
      </c>
      <c r="E73" s="2" t="n">
        <v>1</v>
      </c>
      <c r="F73" s="35" t="n">
        <v>105.1</v>
      </c>
      <c r="G73" s="35" t="n">
        <v>102.04</v>
      </c>
      <c r="H73" s="2" t="inlineStr">
        <is>
          <t>USD</t>
        </is>
      </c>
      <c r="I73" s="2" t="inlineStr">
        <is>
          <t>EXW</t>
        </is>
      </c>
      <c r="J73" s="2" t="n">
        <v>55</v>
      </c>
      <c r="K73" s="2" t="inlineStr">
        <is>
          <t>pieces</t>
        </is>
      </c>
      <c r="L73" s="2" t="inlineStr">
        <is>
          <t>2026-08-30</t>
        </is>
      </c>
      <c r="M73" s="2" t="inlineStr">
        <is>
          <t>87120001</t>
        </is>
      </c>
      <c r="N73" s="2" t="inlineStr">
        <is>
          <t>CHN</t>
        </is>
      </c>
      <c r="O73" s="2" t="inlineStr">
        <is>
          <t>MTB bicycle 26 inch alloy frame</t>
        </is>
      </c>
      <c r="P73" s="2" t="n">
        <v>31</v>
      </c>
      <c r="Q73" s="36">
        <f>IF(E73=1,F73,"")</f>
        <v/>
      </c>
    </row>
    <row r="74">
      <c r="A74" s="2" t="inlineStr">
        <is>
          <t>V3</t>
        </is>
      </c>
      <c r="B74" s="2" t="n">
        <v>1</v>
      </c>
      <c r="C74" s="2" t="inlineStr">
        <is>
          <t>L0250179</t>
        </is>
      </c>
      <c r="D74" s="22" t="n">
        <v>0.988</v>
      </c>
      <c r="E74" s="2" t="n">
        <v>1</v>
      </c>
      <c r="F74" s="35" t="n">
        <v>27.8</v>
      </c>
      <c r="G74" s="35" t="n">
        <v>27.8</v>
      </c>
      <c r="H74" s="2" t="inlineStr">
        <is>
          <t>USD</t>
        </is>
      </c>
      <c r="I74" s="2" t="inlineStr">
        <is>
          <t>FOB</t>
        </is>
      </c>
      <c r="J74" s="2" t="n">
        <v>161</v>
      </c>
      <c r="K74" s="2" t="inlineStr">
        <is>
          <t>pieces</t>
        </is>
      </c>
      <c r="L74" s="2" t="inlineStr">
        <is>
          <t>2026-07-06</t>
        </is>
      </c>
      <c r="M74" s="2" t="inlineStr">
        <is>
          <t>94036001</t>
        </is>
      </c>
      <c r="N74" s="2" t="inlineStr">
        <is>
          <t>MYS</t>
        </is>
      </c>
      <c r="O74" s="2" t="inlineStr">
        <is>
          <t>Dining chair, rubber wood</t>
        </is>
      </c>
      <c r="P74" s="2" t="n">
        <v>86</v>
      </c>
      <c r="Q74" s="36">
        <f>IF(E74=1,F74,"")</f>
        <v/>
      </c>
    </row>
    <row r="75">
      <c r="A75" s="2" t="inlineStr">
        <is>
          <t>V3</t>
        </is>
      </c>
      <c r="B75" s="2" t="n">
        <v>2</v>
      </c>
      <c r="C75" s="2" t="inlineStr">
        <is>
          <t>L0250195</t>
        </is>
      </c>
      <c r="D75" s="22" t="n">
        <v>0.988</v>
      </c>
      <c r="E75" s="2" t="n">
        <v>1</v>
      </c>
      <c r="F75" s="35" t="n">
        <v>25.29</v>
      </c>
      <c r="G75" s="35" t="n">
        <v>24.55</v>
      </c>
      <c r="H75" s="2" t="inlineStr">
        <is>
          <t>USD</t>
        </is>
      </c>
      <c r="I75" s="2" t="inlineStr">
        <is>
          <t>EXW</t>
        </is>
      </c>
      <c r="J75" s="2" t="n">
        <v>226</v>
      </c>
      <c r="K75" s="2" t="inlineStr">
        <is>
          <t>pieces</t>
        </is>
      </c>
      <c r="L75" s="2" t="inlineStr">
        <is>
          <t>2026-07-31</t>
        </is>
      </c>
      <c r="M75" s="2" t="inlineStr">
        <is>
          <t>94036001</t>
        </is>
      </c>
      <c r="N75" s="2" t="inlineStr">
        <is>
          <t>MYS</t>
        </is>
      </c>
      <c r="O75" s="2" t="inlineStr">
        <is>
          <t>Dining chair, rubber wood</t>
        </is>
      </c>
      <c r="P75" s="2" t="n">
        <v>61</v>
      </c>
      <c r="Q75" s="36">
        <f>IF(E75=1,F75,"")</f>
        <v/>
      </c>
    </row>
    <row r="76">
      <c r="A76" s="2" t="inlineStr">
        <is>
          <t>V3</t>
        </is>
      </c>
      <c r="B76" s="2" t="n">
        <v>3</v>
      </c>
      <c r="C76" s="2" t="inlineStr">
        <is>
          <t>L0250187</t>
        </is>
      </c>
      <c r="D76" s="22" t="n">
        <v>0.988</v>
      </c>
      <c r="E76" s="2" t="n">
        <v>1</v>
      </c>
      <c r="F76" s="35" t="n">
        <v>27.39</v>
      </c>
      <c r="G76" s="35" t="n">
        <v>27.39</v>
      </c>
      <c r="H76" s="2" t="inlineStr">
        <is>
          <t>USD</t>
        </is>
      </c>
      <c r="I76" s="2" t="inlineStr">
        <is>
          <t>FOB</t>
        </is>
      </c>
      <c r="J76" s="2" t="n">
        <v>216</v>
      </c>
      <c r="K76" s="2" t="inlineStr">
        <is>
          <t>pieces</t>
        </is>
      </c>
      <c r="L76" s="2" t="inlineStr">
        <is>
          <t>2026-08-10</t>
        </is>
      </c>
      <c r="M76" s="2" t="inlineStr">
        <is>
          <t>94036001</t>
        </is>
      </c>
      <c r="N76" s="2" t="inlineStr">
        <is>
          <t>MYS</t>
        </is>
      </c>
      <c r="O76" s="2" t="inlineStr">
        <is>
          <t>Dining chair, rubber wood</t>
        </is>
      </c>
      <c r="P76" s="2" t="n">
        <v>51</v>
      </c>
      <c r="Q76" s="36">
        <f>IF(E76=1,F76,"")</f>
        <v/>
      </c>
    </row>
    <row r="77">
      <c r="A77" s="2" t="inlineStr">
        <is>
          <t>V3</t>
        </is>
      </c>
      <c r="B77" s="2" t="n">
        <v>4</v>
      </c>
      <c r="C77" s="2" t="inlineStr">
        <is>
          <t>L0250203</t>
        </is>
      </c>
      <c r="D77" s="22" t="n">
        <v>0.988</v>
      </c>
      <c r="E77" s="2" t="n">
        <v>1</v>
      </c>
      <c r="F77" s="35" t="n">
        <v>27.29</v>
      </c>
      <c r="G77" s="35" t="n">
        <v>27.29</v>
      </c>
      <c r="H77" s="2" t="inlineStr">
        <is>
          <t>USD</t>
        </is>
      </c>
      <c r="I77" s="2" t="inlineStr">
        <is>
          <t>FOB</t>
        </is>
      </c>
      <c r="J77" s="2" t="n">
        <v>238</v>
      </c>
      <c r="K77" s="2" t="inlineStr">
        <is>
          <t>pieces</t>
        </is>
      </c>
      <c r="L77" s="2" t="inlineStr">
        <is>
          <t>2026-08-13</t>
        </is>
      </c>
      <c r="M77" s="2" t="inlineStr">
        <is>
          <t>94036001</t>
        </is>
      </c>
      <c r="N77" s="2" t="inlineStr">
        <is>
          <t>MYS</t>
        </is>
      </c>
      <c r="O77" s="2" t="inlineStr">
        <is>
          <t>Dining chair, rubber wood</t>
        </is>
      </c>
      <c r="P77" s="2" t="n">
        <v>48</v>
      </c>
      <c r="Q77" s="36">
        <f>IF(E77=1,F77,"")</f>
        <v/>
      </c>
    </row>
    <row r="78">
      <c r="A78" s="2" t="inlineStr">
        <is>
          <t>V3</t>
        </is>
      </c>
      <c r="B78" s="2" t="n">
        <v>5</v>
      </c>
      <c r="C78" s="2" t="inlineStr">
        <is>
          <t>L0250188</t>
        </is>
      </c>
      <c r="D78" s="22" t="n">
        <v>0.968</v>
      </c>
      <c r="E78" s="2" t="n">
        <v>1</v>
      </c>
      <c r="F78" s="35" t="n">
        <v>26.11</v>
      </c>
      <c r="G78" s="35" t="n">
        <v>28.2</v>
      </c>
      <c r="H78" s="2" t="inlineStr">
        <is>
          <t>USD</t>
        </is>
      </c>
      <c r="I78" s="2" t="inlineStr">
        <is>
          <t>CIF</t>
        </is>
      </c>
      <c r="J78" s="2" t="n">
        <v>208</v>
      </c>
      <c r="K78" s="2" t="inlineStr">
        <is>
          <t>pieces</t>
        </is>
      </c>
      <c r="L78" s="2" t="inlineStr">
        <is>
          <t>2026-08-05</t>
        </is>
      </c>
      <c r="M78" s="2" t="inlineStr">
        <is>
          <t>94036001</t>
        </is>
      </c>
      <c r="N78" s="2" t="inlineStr">
        <is>
          <t>MYS</t>
        </is>
      </c>
      <c r="O78" s="2" t="inlineStr">
        <is>
          <t>Rubberwood dining chair</t>
        </is>
      </c>
      <c r="P78" s="2" t="n">
        <v>56</v>
      </c>
      <c r="Q78" s="36">
        <f>IF(E78=1,F78,"")</f>
        <v/>
      </c>
    </row>
    <row r="79">
      <c r="A79" s="2" t="inlineStr">
        <is>
          <t>V3</t>
        </is>
      </c>
      <c r="B79" s="2" t="n">
        <v>6</v>
      </c>
      <c r="C79" s="2" t="inlineStr">
        <is>
          <t>L0250196</t>
        </is>
      </c>
      <c r="D79" s="22" t="n">
        <v>0.968</v>
      </c>
      <c r="E79" s="2" t="n">
        <v>1</v>
      </c>
      <c r="F79" s="35" t="n">
        <v>32.68</v>
      </c>
      <c r="G79" s="35" t="n">
        <v>35.29</v>
      </c>
      <c r="H79" s="2" t="inlineStr">
        <is>
          <t>USD</t>
        </is>
      </c>
      <c r="I79" s="2" t="inlineStr">
        <is>
          <t>CIF</t>
        </is>
      </c>
      <c r="J79" s="2" t="n">
        <v>136</v>
      </c>
      <c r="K79" s="2" t="inlineStr">
        <is>
          <t>pieces</t>
        </is>
      </c>
      <c r="L79" s="2" t="inlineStr">
        <is>
          <t>2026-08-25</t>
        </is>
      </c>
      <c r="M79" s="2" t="inlineStr">
        <is>
          <t>94036001</t>
        </is>
      </c>
      <c r="N79" s="2" t="inlineStr">
        <is>
          <t>MYS</t>
        </is>
      </c>
      <c r="O79" s="2" t="inlineStr">
        <is>
          <t>Rubberwood dining chair</t>
        </is>
      </c>
      <c r="P79" s="2" t="n">
        <v>36</v>
      </c>
      <c r="Q79" s="36">
        <f>IF(E79=1,F79,"")</f>
        <v/>
      </c>
    </row>
    <row r="80">
      <c r="A80" s="2" t="inlineStr">
        <is>
          <t>V3</t>
        </is>
      </c>
      <c r="B80" s="2" t="n">
        <v>7</v>
      </c>
      <c r="C80" s="2" t="inlineStr">
        <is>
          <t>L0250180</t>
        </is>
      </c>
      <c r="D80" s="22" t="n">
        <v>0.968</v>
      </c>
      <c r="E80" s="2" t="n">
        <v>1</v>
      </c>
      <c r="F80" s="35" t="n">
        <v>28.73</v>
      </c>
      <c r="G80" s="35" t="n">
        <v>31.03</v>
      </c>
      <c r="H80" s="2" t="inlineStr">
        <is>
          <t>USD</t>
        </is>
      </c>
      <c r="I80" s="2" t="inlineStr">
        <is>
          <t>CIF</t>
        </is>
      </c>
      <c r="J80" s="2" t="n">
        <v>278</v>
      </c>
      <c r="K80" s="2" t="inlineStr">
        <is>
          <t>pieces</t>
        </is>
      </c>
      <c r="L80" s="2" t="inlineStr">
        <is>
          <t>2026-09-13</t>
        </is>
      </c>
      <c r="M80" s="2" t="inlineStr">
        <is>
          <t>94036001</t>
        </is>
      </c>
      <c r="N80" s="2" t="inlineStr">
        <is>
          <t>MYS</t>
        </is>
      </c>
      <c r="O80" s="2" t="inlineStr">
        <is>
          <t>Rubberwood dining chair</t>
        </is>
      </c>
      <c r="P80" s="2" t="n">
        <v>17</v>
      </c>
      <c r="Q80" s="36">
        <f>IF(E80=1,F80,"")</f>
        <v/>
      </c>
    </row>
    <row r="81">
      <c r="A81" s="2" t="inlineStr">
        <is>
          <t>V3</t>
        </is>
      </c>
      <c r="B81" s="2" t="n">
        <v>8</v>
      </c>
      <c r="C81" s="2" t="inlineStr">
        <is>
          <t>L0250204</t>
        </is>
      </c>
      <c r="D81" s="22" t="n">
        <v>0.968</v>
      </c>
      <c r="E81" s="2" t="n">
        <v>1</v>
      </c>
      <c r="F81" s="35" t="n">
        <v>31.76</v>
      </c>
      <c r="G81" s="35" t="n">
        <v>31.76</v>
      </c>
      <c r="H81" s="2" t="inlineStr">
        <is>
          <t>USD</t>
        </is>
      </c>
      <c r="I81" s="2" t="inlineStr">
        <is>
          <t>FOB</t>
        </is>
      </c>
      <c r="J81" s="2" t="n">
        <v>46</v>
      </c>
      <c r="K81" s="2" t="inlineStr">
        <is>
          <t>pieces</t>
        </is>
      </c>
      <c r="L81" s="2" t="inlineStr">
        <is>
          <t>2026-09-29</t>
        </is>
      </c>
      <c r="M81" s="2" t="inlineStr">
        <is>
          <t>94036001</t>
        </is>
      </c>
      <c r="N81" s="2" t="inlineStr">
        <is>
          <t>MYS</t>
        </is>
      </c>
      <c r="O81" s="2" t="inlineStr">
        <is>
          <t>Rubberwood dining chair</t>
        </is>
      </c>
      <c r="P81" s="2" t="n">
        <v>1</v>
      </c>
      <c r="Q81" s="36">
        <f>IF(E81=1,F81,"")</f>
        <v/>
      </c>
    </row>
    <row r="82">
      <c r="A82" s="2" t="inlineStr">
        <is>
          <t>V3</t>
        </is>
      </c>
      <c r="B82" s="2" t="n">
        <v>9</v>
      </c>
      <c r="C82" s="2" t="inlineStr">
        <is>
          <t>L0250189</t>
        </is>
      </c>
      <c r="D82" s="22" t="n">
        <v>0.945</v>
      </c>
      <c r="E82" s="2" t="n">
        <v>1</v>
      </c>
      <c r="F82" s="35" t="n">
        <v>26.24</v>
      </c>
      <c r="G82" s="35" t="n">
        <v>26.24</v>
      </c>
      <c r="H82" s="2" t="inlineStr">
        <is>
          <t>USD</t>
        </is>
      </c>
      <c r="I82" s="2" t="inlineStr">
        <is>
          <t>FOB</t>
        </is>
      </c>
      <c r="J82" s="2" t="n">
        <v>202</v>
      </c>
      <c r="K82" s="2" t="inlineStr">
        <is>
          <t>pieces</t>
        </is>
      </c>
      <c r="L82" s="2" t="inlineStr">
        <is>
          <t>2026-07-19</t>
        </is>
      </c>
      <c r="M82" s="2" t="inlineStr">
        <is>
          <t>94036001</t>
        </is>
      </c>
      <c r="N82" s="2" t="inlineStr">
        <is>
          <t>MYS</t>
        </is>
      </c>
      <c r="O82" s="2" t="inlineStr">
        <is>
          <t>Wooden dining chairs of rubberwood</t>
        </is>
      </c>
      <c r="P82" s="2" t="n">
        <v>73</v>
      </c>
      <c r="Q82" s="36">
        <f>IF(E82=1,F82,"")</f>
        <v/>
      </c>
    </row>
    <row r="83">
      <c r="A83" s="2" t="inlineStr">
        <is>
          <t>V3</t>
        </is>
      </c>
      <c r="B83" s="2" t="n">
        <v>10</v>
      </c>
      <c r="C83" s="2" t="inlineStr">
        <is>
          <t>L0250181</t>
        </is>
      </c>
      <c r="D83" s="22" t="n">
        <v>0.945</v>
      </c>
      <c r="E83" s="2" t="n">
        <v>1</v>
      </c>
      <c r="F83" s="35" t="n">
        <v>27.41</v>
      </c>
      <c r="G83" s="35" t="n">
        <v>27.41</v>
      </c>
      <c r="H83" s="2" t="inlineStr">
        <is>
          <t>USD</t>
        </is>
      </c>
      <c r="I83" s="2" t="inlineStr">
        <is>
          <t>FOB</t>
        </is>
      </c>
      <c r="J83" s="2" t="n">
        <v>166</v>
      </c>
      <c r="K83" s="2" t="inlineStr">
        <is>
          <t>pieces</t>
        </is>
      </c>
      <c r="L83" s="2" t="inlineStr">
        <is>
          <t>2026-08-04</t>
        </is>
      </c>
      <c r="M83" s="2" t="inlineStr">
        <is>
          <t>94036001</t>
        </is>
      </c>
      <c r="N83" s="2" t="inlineStr">
        <is>
          <t>MYS</t>
        </is>
      </c>
      <c r="O83" s="2" t="inlineStr">
        <is>
          <t>Wooden dining chairs of rubberwood</t>
        </is>
      </c>
      <c r="P83" s="2" t="n">
        <v>57</v>
      </c>
      <c r="Q83" s="36">
        <f>IF(E83=1,F83,"")</f>
        <v/>
      </c>
    </row>
    <row r="84">
      <c r="A84" s="2" t="inlineStr">
        <is>
          <t>V3</t>
        </is>
      </c>
      <c r="B84" s="2" t="n">
        <v>11</v>
      </c>
      <c r="C84" s="2" t="inlineStr">
        <is>
          <t>L0250197</t>
        </is>
      </c>
      <c r="D84" s="22" t="n">
        <v>0.945</v>
      </c>
      <c r="E84" s="2" t="n">
        <v>1</v>
      </c>
      <c r="F84" s="35" t="n">
        <v>30.38</v>
      </c>
      <c r="G84" s="35" t="n">
        <v>29.5</v>
      </c>
      <c r="H84" s="2" t="inlineStr">
        <is>
          <t>USD</t>
        </is>
      </c>
      <c r="I84" s="2" t="inlineStr">
        <is>
          <t>EXW</t>
        </is>
      </c>
      <c r="J84" s="2" t="n">
        <v>98</v>
      </c>
      <c r="K84" s="2" t="inlineStr">
        <is>
          <t>pieces</t>
        </is>
      </c>
      <c r="L84" s="2" t="inlineStr">
        <is>
          <t>2026-09-04</t>
        </is>
      </c>
      <c r="M84" s="2" t="inlineStr">
        <is>
          <t>94036001</t>
        </is>
      </c>
      <c r="N84" s="2" t="inlineStr">
        <is>
          <t>MYS</t>
        </is>
      </c>
      <c r="O84" s="2" t="inlineStr">
        <is>
          <t>Wooden dining chairs of rubberwood</t>
        </is>
      </c>
      <c r="P84" s="2" t="n">
        <v>26</v>
      </c>
      <c r="Q84" s="36">
        <f>IF(E84=1,F84,"")</f>
        <v/>
      </c>
    </row>
    <row r="85">
      <c r="A85" s="2" t="inlineStr">
        <is>
          <t>V3</t>
        </is>
      </c>
      <c r="B85" s="2" t="n">
        <v>12</v>
      </c>
      <c r="C85" s="2" t="inlineStr">
        <is>
          <t>L0250205</t>
        </is>
      </c>
      <c r="D85" s="22" t="n">
        <v>0.945</v>
      </c>
      <c r="E85" s="2" t="n">
        <v>1</v>
      </c>
      <c r="F85" s="35" t="n">
        <v>27.21</v>
      </c>
      <c r="G85" s="35" t="n">
        <v>29.06</v>
      </c>
      <c r="H85" s="2" t="inlineStr">
        <is>
          <t>USD</t>
        </is>
      </c>
      <c r="I85" s="2" t="inlineStr">
        <is>
          <t>CFR</t>
        </is>
      </c>
      <c r="J85" s="2" t="n">
        <v>131</v>
      </c>
      <c r="K85" s="2" t="inlineStr">
        <is>
          <t>pieces</t>
        </is>
      </c>
      <c r="L85" s="2" t="inlineStr">
        <is>
          <t>2026-09-24</t>
        </is>
      </c>
      <c r="M85" s="2" t="inlineStr">
        <is>
          <t>94036001</t>
        </is>
      </c>
      <c r="N85" s="2" t="inlineStr">
        <is>
          <t>MYS</t>
        </is>
      </c>
      <c r="O85" s="2" t="inlineStr">
        <is>
          <t>Wooden dining chairs of rubberwood</t>
        </is>
      </c>
      <c r="P85" s="2" t="n">
        <v>6</v>
      </c>
      <c r="Q85" s="36">
        <f>IF(E85=1,F85,"")</f>
        <v/>
      </c>
    </row>
    <row r="86">
      <c r="A86" s="2" t="inlineStr">
        <is>
          <t>V3</t>
        </is>
      </c>
      <c r="B86" s="2" t="n">
        <v>13</v>
      </c>
      <c r="C86" s="2" t="inlineStr">
        <is>
          <t>L0250206</t>
        </is>
      </c>
      <c r="D86" s="22" t="n">
        <v>0.928</v>
      </c>
      <c r="E86" s="2" t="n">
        <v>1</v>
      </c>
      <c r="F86" s="35" t="n">
        <v>32.99</v>
      </c>
      <c r="G86" s="35" t="n">
        <v>35.63</v>
      </c>
      <c r="H86" s="2" t="inlineStr">
        <is>
          <t>USD</t>
        </is>
      </c>
      <c r="I86" s="2" t="inlineStr">
        <is>
          <t>CIF</t>
        </is>
      </c>
      <c r="J86" s="2" t="n">
        <v>103</v>
      </c>
      <c r="K86" s="2" t="inlineStr">
        <is>
          <t>pieces</t>
        </is>
      </c>
      <c r="L86" s="2" t="inlineStr">
        <is>
          <t>2026-07-09</t>
        </is>
      </c>
      <c r="M86" s="2" t="inlineStr">
        <is>
          <t>94036001</t>
        </is>
      </c>
      <c r="N86" s="2" t="inlineStr">
        <is>
          <t>MYS</t>
        </is>
      </c>
      <c r="O86" s="2" t="inlineStr">
        <is>
          <t>Dining chair, solid rubberwood, natural finish</t>
        </is>
      </c>
      <c r="P86" s="2" t="n">
        <v>83</v>
      </c>
      <c r="Q86" s="36">
        <f>IF(E86=1,F86,"")</f>
        <v/>
      </c>
    </row>
    <row r="87">
      <c r="A87" s="2" t="inlineStr">
        <is>
          <t>V3</t>
        </is>
      </c>
      <c r="B87" s="2" t="n">
        <v>14</v>
      </c>
      <c r="C87" s="2" t="inlineStr">
        <is>
          <t>L0250190</t>
        </is>
      </c>
      <c r="D87" s="22" t="n">
        <v>0.928</v>
      </c>
      <c r="E87" s="2" t="n">
        <v>1</v>
      </c>
      <c r="F87" s="35" t="n">
        <v>28.21</v>
      </c>
      <c r="G87" s="35" t="n">
        <v>30.47</v>
      </c>
      <c r="H87" s="2" t="inlineStr">
        <is>
          <t>USD</t>
        </is>
      </c>
      <c r="I87" s="2" t="inlineStr">
        <is>
          <t>CIF</t>
        </is>
      </c>
      <c r="J87" s="2" t="n">
        <v>169</v>
      </c>
      <c r="K87" s="2" t="inlineStr">
        <is>
          <t>pieces</t>
        </is>
      </c>
      <c r="L87" s="2" t="inlineStr">
        <is>
          <t>2026-07-19</t>
        </is>
      </c>
      <c r="M87" s="2" t="inlineStr">
        <is>
          <t>94036001</t>
        </is>
      </c>
      <c r="N87" s="2" t="inlineStr">
        <is>
          <t>MYS</t>
        </is>
      </c>
      <c r="O87" s="2" t="inlineStr">
        <is>
          <t>Dining chair, solid rubberwood, natural finish</t>
        </is>
      </c>
      <c r="P87" s="2" t="n">
        <v>73</v>
      </c>
      <c r="Q87" s="36">
        <f>IF(E87=1,F87,"")</f>
        <v/>
      </c>
    </row>
    <row r="88">
      <c r="A88" s="2" t="inlineStr">
        <is>
          <t>V3</t>
        </is>
      </c>
      <c r="B88" s="2" t="n">
        <v>15</v>
      </c>
      <c r="C88" s="2" t="inlineStr">
        <is>
          <t>L0250182</t>
        </is>
      </c>
      <c r="D88" s="22" t="n">
        <v>0.928</v>
      </c>
      <c r="E88" s="2" t="n">
        <v>1</v>
      </c>
      <c r="F88" s="35" t="n">
        <v>29.13</v>
      </c>
      <c r="G88" s="35" t="n">
        <v>31.46</v>
      </c>
      <c r="H88" s="2" t="inlineStr">
        <is>
          <t>USD</t>
        </is>
      </c>
      <c r="I88" s="2" t="inlineStr">
        <is>
          <t>CIF</t>
        </is>
      </c>
      <c r="J88" s="2" t="n">
        <v>212</v>
      </c>
      <c r="K88" s="2" t="inlineStr">
        <is>
          <t>pieces</t>
        </is>
      </c>
      <c r="L88" s="2" t="inlineStr">
        <is>
          <t>2026-09-01</t>
        </is>
      </c>
      <c r="M88" s="2" t="inlineStr">
        <is>
          <t>94036001</t>
        </is>
      </c>
      <c r="N88" s="2" t="inlineStr">
        <is>
          <t>MYS</t>
        </is>
      </c>
      <c r="O88" s="2" t="inlineStr">
        <is>
          <t>Dining chair, solid rubberwood, natural finish</t>
        </is>
      </c>
      <c r="P88" s="2" t="n">
        <v>29</v>
      </c>
      <c r="Q88" s="36">
        <f>IF(E88=1,F88,"")</f>
        <v/>
      </c>
    </row>
    <row r="89">
      <c r="A89" s="2" t="inlineStr">
        <is>
          <t>V3</t>
        </is>
      </c>
      <c r="B89" s="2" t="n">
        <v>16</v>
      </c>
      <c r="C89" s="2" t="inlineStr">
        <is>
          <t>L0250198</t>
        </is>
      </c>
      <c r="D89" s="22" t="n">
        <v>0.928</v>
      </c>
      <c r="E89" s="2" t="n">
        <v>1</v>
      </c>
      <c r="F89" s="35" t="n">
        <v>28.71</v>
      </c>
      <c r="G89" s="35" t="n">
        <v>28.71</v>
      </c>
      <c r="H89" s="2" t="inlineStr">
        <is>
          <t>USD</t>
        </is>
      </c>
      <c r="I89" s="2" t="inlineStr">
        <is>
          <t>FOB</t>
        </is>
      </c>
      <c r="J89" s="2" t="n">
        <v>150</v>
      </c>
      <c r="K89" s="2" t="inlineStr">
        <is>
          <t>pieces</t>
        </is>
      </c>
      <c r="L89" s="2" t="inlineStr">
        <is>
          <t>2026-09-09</t>
        </is>
      </c>
      <c r="M89" s="2" t="inlineStr">
        <is>
          <t>94036001</t>
        </is>
      </c>
      <c r="N89" s="2" t="inlineStr">
        <is>
          <t>MYS</t>
        </is>
      </c>
      <c r="O89" s="2" t="inlineStr">
        <is>
          <t>Dining chair, solid rubberwood, natural finish</t>
        </is>
      </c>
      <c r="P89" s="2" t="n">
        <v>21</v>
      </c>
      <c r="Q89" s="36">
        <f>IF(E89=1,F89,"")</f>
        <v/>
      </c>
    </row>
    <row r="90">
      <c r="A90" s="2" t="inlineStr">
        <is>
          <t>V3</t>
        </is>
      </c>
      <c r="B90" s="2" t="n">
        <v>17</v>
      </c>
      <c r="C90" s="2" t="inlineStr">
        <is>
          <t>L0250199</t>
        </is>
      </c>
      <c r="D90" s="22" t="n">
        <v>0.917</v>
      </c>
      <c r="E90" s="2" t="n">
        <v>1</v>
      </c>
      <c r="F90" s="35" t="n">
        <v>41.47</v>
      </c>
      <c r="G90" s="35" t="n">
        <v>44.79</v>
      </c>
      <c r="H90" s="2" t="inlineStr">
        <is>
          <t>USD</t>
        </is>
      </c>
      <c r="I90" s="2" t="inlineStr">
        <is>
          <t>CIF</t>
        </is>
      </c>
      <c r="J90" s="2" t="n">
        <v>124</v>
      </c>
      <c r="K90" s="2" t="inlineStr">
        <is>
          <t>pieces</t>
        </is>
      </c>
      <c r="L90" s="2" t="inlineStr">
        <is>
          <t>2026-07-14</t>
        </is>
      </c>
      <c r="M90" s="2" t="inlineStr">
        <is>
          <t>94036001</t>
        </is>
      </c>
      <c r="N90" s="2" t="inlineStr">
        <is>
          <t>MYS</t>
        </is>
      </c>
      <c r="O90" s="2" t="inlineStr">
        <is>
          <t>Wooden dining chair, oak</t>
        </is>
      </c>
      <c r="P90" s="2" t="n">
        <v>78</v>
      </c>
      <c r="Q90" s="36">
        <f>IF(E90=1,F90,"")</f>
        <v/>
      </c>
    </row>
    <row r="91">
      <c r="A91" s="2" t="inlineStr">
        <is>
          <t>V3</t>
        </is>
      </c>
      <c r="B91" s="2" t="n">
        <v>18</v>
      </c>
      <c r="C91" s="2" t="inlineStr">
        <is>
          <t>L0250207</t>
        </is>
      </c>
      <c r="D91" s="22" t="n">
        <v>0.917</v>
      </c>
      <c r="E91" s="2" t="n">
        <v>1</v>
      </c>
      <c r="F91" s="35" t="n">
        <v>43.91</v>
      </c>
      <c r="G91" s="35" t="n">
        <v>43.91</v>
      </c>
      <c r="H91" s="2" t="inlineStr">
        <is>
          <t>USD</t>
        </is>
      </c>
      <c r="I91" s="2" t="inlineStr">
        <is>
          <t>FOB</t>
        </is>
      </c>
      <c r="J91" s="2" t="n">
        <v>417</v>
      </c>
      <c r="K91" s="2" t="inlineStr">
        <is>
          <t>pieces</t>
        </is>
      </c>
      <c r="L91" s="2" t="inlineStr">
        <is>
          <t>2026-09-01</t>
        </is>
      </c>
      <c r="M91" s="2" t="inlineStr">
        <is>
          <t>94036001</t>
        </is>
      </c>
      <c r="N91" s="2" t="inlineStr">
        <is>
          <t>MYS</t>
        </is>
      </c>
      <c r="O91" s="2" t="inlineStr">
        <is>
          <t>Wooden dining chair, oak</t>
        </is>
      </c>
      <c r="P91" s="2" t="n">
        <v>29</v>
      </c>
      <c r="Q91" s="36">
        <f>IF(E91=1,F91,"")</f>
        <v/>
      </c>
    </row>
    <row r="92">
      <c r="A92" s="2" t="inlineStr">
        <is>
          <t>V3</t>
        </is>
      </c>
      <c r="B92" s="2" t="n">
        <v>19</v>
      </c>
      <c r="C92" s="2" t="inlineStr">
        <is>
          <t>L0250183</t>
        </is>
      </c>
      <c r="D92" s="22" t="n">
        <v>0.917</v>
      </c>
      <c r="E92" s="2" t="n">
        <v>1</v>
      </c>
      <c r="F92" s="35" t="n">
        <v>39.29</v>
      </c>
      <c r="G92" s="35" t="n">
        <v>42.43</v>
      </c>
      <c r="H92" s="2" t="inlineStr">
        <is>
          <t>USD</t>
        </is>
      </c>
      <c r="I92" s="2" t="inlineStr">
        <is>
          <t>CIF</t>
        </is>
      </c>
      <c r="J92" s="2" t="n">
        <v>157</v>
      </c>
      <c r="K92" s="2" t="inlineStr">
        <is>
          <t>pieces</t>
        </is>
      </c>
      <c r="L92" s="2" t="inlineStr">
        <is>
          <t>2026-09-05</t>
        </is>
      </c>
      <c r="M92" s="2" t="inlineStr">
        <is>
          <t>94036001</t>
        </is>
      </c>
      <c r="N92" s="2" t="inlineStr">
        <is>
          <t>MYS</t>
        </is>
      </c>
      <c r="O92" s="2" t="inlineStr">
        <is>
          <t>Wooden dining chair, oak</t>
        </is>
      </c>
      <c r="P92" s="2" t="n">
        <v>25</v>
      </c>
      <c r="Q92" s="36">
        <f>IF(E92=1,F92,"")</f>
        <v/>
      </c>
    </row>
    <row r="93">
      <c r="A93" s="2" t="inlineStr">
        <is>
          <t>V3</t>
        </is>
      </c>
      <c r="B93" s="2" t="n">
        <v>20</v>
      </c>
      <c r="C93" s="2" t="inlineStr">
        <is>
          <t>L0250191</t>
        </is>
      </c>
      <c r="D93" s="22" t="n">
        <v>0.917</v>
      </c>
      <c r="E93" s="2" t="n">
        <v>1</v>
      </c>
      <c r="F93" s="35" t="n">
        <v>42.09</v>
      </c>
      <c r="G93" s="35" t="n">
        <v>42.09</v>
      </c>
      <c r="H93" s="2" t="inlineStr">
        <is>
          <t>USD</t>
        </is>
      </c>
      <c r="I93" s="2" t="inlineStr">
        <is>
          <t>FOB</t>
        </is>
      </c>
      <c r="J93" s="2" t="n">
        <v>160</v>
      </c>
      <c r="K93" s="2" t="inlineStr">
        <is>
          <t>pieces</t>
        </is>
      </c>
      <c r="L93" s="2" t="inlineStr">
        <is>
          <t>2026-09-08</t>
        </is>
      </c>
      <c r="M93" s="2" t="inlineStr">
        <is>
          <t>94036001</t>
        </is>
      </c>
      <c r="N93" s="2" t="inlineStr">
        <is>
          <t>MYS</t>
        </is>
      </c>
      <c r="O93" s="2" t="inlineStr">
        <is>
          <t>Wooden dining chair, oak</t>
        </is>
      </c>
      <c r="P93" s="2" t="n">
        <v>22</v>
      </c>
      <c r="Q93" s="36">
        <f>IF(E93=1,F93,"")</f>
        <v/>
      </c>
    </row>
    <row r="94">
      <c r="A94" s="2" t="inlineStr">
        <is>
          <t>V3</t>
        </is>
      </c>
      <c r="B94" s="2" t="n">
        <v>21</v>
      </c>
      <c r="C94" s="2" t="inlineStr">
        <is>
          <t>L0250192</t>
        </is>
      </c>
      <c r="D94" s="22" t="n">
        <v>0.883</v>
      </c>
      <c r="E94" s="2" t="n">
        <v>1</v>
      </c>
      <c r="F94" s="35" t="n">
        <v>9.039999999999999</v>
      </c>
      <c r="G94" s="35" t="n">
        <v>8.779999999999999</v>
      </c>
      <c r="H94" s="2" t="inlineStr">
        <is>
          <t>USD</t>
        </is>
      </c>
      <c r="I94" s="2" t="inlineStr">
        <is>
          <t>EXW</t>
        </is>
      </c>
      <c r="J94" s="2" t="n">
        <v>139</v>
      </c>
      <c r="K94" s="2" t="inlineStr">
        <is>
          <t>pieces</t>
        </is>
      </c>
      <c r="L94" s="2" t="inlineStr">
        <is>
          <t>2026-07-12</t>
        </is>
      </c>
      <c r="M94" s="2" t="inlineStr">
        <is>
          <t>94036001</t>
        </is>
      </c>
      <c r="N94" s="2" t="inlineStr">
        <is>
          <t>MYS</t>
        </is>
      </c>
      <c r="O94" s="2" t="inlineStr">
        <is>
          <t>Plastic dining chair</t>
        </is>
      </c>
      <c r="P94" s="2" t="n">
        <v>80</v>
      </c>
      <c r="Q94" s="36">
        <f>IF(E94=1,F94,"")</f>
        <v/>
      </c>
    </row>
    <row r="95">
      <c r="A95" s="2" t="inlineStr">
        <is>
          <t>V3</t>
        </is>
      </c>
      <c r="B95" s="2" t="n">
        <v>22</v>
      </c>
      <c r="C95" s="2" t="inlineStr">
        <is>
          <t>L0250200</t>
        </is>
      </c>
      <c r="D95" s="22" t="n">
        <v>0.883</v>
      </c>
      <c r="E95" s="2" t="n">
        <v>1</v>
      </c>
      <c r="F95" s="35" t="n">
        <v>9.960000000000001</v>
      </c>
      <c r="G95" s="35" t="n">
        <v>9.960000000000001</v>
      </c>
      <c r="H95" s="2" t="inlineStr">
        <is>
          <t>USD</t>
        </is>
      </c>
      <c r="I95" s="2" t="inlineStr">
        <is>
          <t>FOB</t>
        </is>
      </c>
      <c r="J95" s="2" t="n">
        <v>180</v>
      </c>
      <c r="K95" s="2" t="inlineStr">
        <is>
          <t>pieces</t>
        </is>
      </c>
      <c r="L95" s="2" t="inlineStr">
        <is>
          <t>2026-08-04</t>
        </is>
      </c>
      <c r="M95" s="2" t="inlineStr">
        <is>
          <t>94036001</t>
        </is>
      </c>
      <c r="N95" s="2" t="inlineStr">
        <is>
          <t>MYS</t>
        </is>
      </c>
      <c r="O95" s="2" t="inlineStr">
        <is>
          <t>Plastic dining chair</t>
        </is>
      </c>
      <c r="P95" s="2" t="n">
        <v>57</v>
      </c>
      <c r="Q95" s="36">
        <f>IF(E95=1,F95,"")</f>
        <v/>
      </c>
    </row>
    <row r="96">
      <c r="A96" s="2" t="inlineStr">
        <is>
          <t>V3</t>
        </is>
      </c>
      <c r="B96" s="2" t="n">
        <v>23</v>
      </c>
      <c r="C96" s="2" t="inlineStr">
        <is>
          <t>L0250184</t>
        </is>
      </c>
      <c r="D96" s="22" t="n">
        <v>0.883</v>
      </c>
      <c r="E96" s="2" t="n">
        <v>1</v>
      </c>
      <c r="F96" s="35" t="n">
        <v>9.34</v>
      </c>
      <c r="G96" s="35" t="n">
        <v>9.34</v>
      </c>
      <c r="H96" s="2" t="inlineStr">
        <is>
          <t>USD</t>
        </is>
      </c>
      <c r="I96" s="2" t="inlineStr">
        <is>
          <t>FOB</t>
        </is>
      </c>
      <c r="J96" s="2" t="n">
        <v>89</v>
      </c>
      <c r="K96" s="2" t="inlineStr">
        <is>
          <t>pieces</t>
        </is>
      </c>
      <c r="L96" s="2" t="inlineStr">
        <is>
          <t>2026-08-10</t>
        </is>
      </c>
      <c r="M96" s="2" t="inlineStr">
        <is>
          <t>94036001</t>
        </is>
      </c>
      <c r="N96" s="2" t="inlineStr">
        <is>
          <t>MYS</t>
        </is>
      </c>
      <c r="O96" s="2" t="inlineStr">
        <is>
          <t>Plastic dining chair</t>
        </is>
      </c>
      <c r="P96" s="2" t="n">
        <v>51</v>
      </c>
      <c r="Q96" s="36">
        <f>IF(E96=1,F96,"")</f>
        <v/>
      </c>
    </row>
    <row r="97">
      <c r="A97" s="2" t="inlineStr">
        <is>
          <t>V3</t>
        </is>
      </c>
      <c r="B97" s="2" t="n">
        <v>24</v>
      </c>
      <c r="C97" s="2" t="inlineStr">
        <is>
          <t>L0250208</t>
        </is>
      </c>
      <c r="D97" s="22" t="n">
        <v>0.883</v>
      </c>
      <c r="E97" s="2" t="n">
        <v>1</v>
      </c>
      <c r="F97" s="35" t="n">
        <v>7.86</v>
      </c>
      <c r="G97" s="35" t="n">
        <v>7.86</v>
      </c>
      <c r="H97" s="2" t="inlineStr">
        <is>
          <t>USD</t>
        </is>
      </c>
      <c r="I97" s="2" t="inlineStr">
        <is>
          <t>FOB</t>
        </is>
      </c>
      <c r="J97" s="2" t="n">
        <v>164</v>
      </c>
      <c r="K97" s="2" t="inlineStr">
        <is>
          <t>pieces</t>
        </is>
      </c>
      <c r="L97" s="2" t="inlineStr">
        <is>
          <t>2026-08-25</t>
        </is>
      </c>
      <c r="M97" s="2" t="inlineStr">
        <is>
          <t>94036001</t>
        </is>
      </c>
      <c r="N97" s="2" t="inlineStr">
        <is>
          <t>MYS</t>
        </is>
      </c>
      <c r="O97" s="2" t="inlineStr">
        <is>
          <t>Plastic dining chair</t>
        </is>
      </c>
      <c r="P97" s="2" t="n">
        <v>36</v>
      </c>
      <c r="Q97" s="36">
        <f>IF(E97=1,F97,"")</f>
        <v/>
      </c>
    </row>
    <row r="98">
      <c r="A98" s="2" t="inlineStr">
        <is>
          <t>V3</t>
        </is>
      </c>
      <c r="B98" s="2" t="n">
        <v>25</v>
      </c>
      <c r="C98" s="2" t="inlineStr">
        <is>
          <t>L0250201</t>
        </is>
      </c>
      <c r="D98" s="22" t="n">
        <v>0.869</v>
      </c>
      <c r="E98" s="2" t="n">
        <v>1</v>
      </c>
      <c r="F98" s="35" t="n">
        <v>60.45</v>
      </c>
      <c r="G98" s="35" t="n">
        <v>65.29000000000001</v>
      </c>
      <c r="H98" s="2" t="inlineStr">
        <is>
          <t>USD</t>
        </is>
      </c>
      <c r="I98" s="2" t="inlineStr">
        <is>
          <t>CIF</t>
        </is>
      </c>
      <c r="J98" s="2" t="n">
        <v>192</v>
      </c>
      <c r="K98" s="2" t="inlineStr">
        <is>
          <t>pieces</t>
        </is>
      </c>
      <c r="L98" s="2" t="inlineStr">
        <is>
          <t>2026-08-19</t>
        </is>
      </c>
      <c r="M98" s="2" t="inlineStr">
        <is>
          <t>94036001</t>
        </is>
      </c>
      <c r="N98" s="2" t="inlineStr">
        <is>
          <t>MYS</t>
        </is>
      </c>
      <c r="O98" s="2" t="inlineStr">
        <is>
          <t>Wooden dining table, rubberwood</t>
        </is>
      </c>
      <c r="P98" s="2" t="n">
        <v>42</v>
      </c>
      <c r="Q98" s="36">
        <f>IF(E98=1,F98,"")</f>
        <v/>
      </c>
    </row>
    <row r="99">
      <c r="A99" s="2" t="inlineStr">
        <is>
          <t>V3</t>
        </is>
      </c>
      <c r="B99" s="2" t="n">
        <v>26</v>
      </c>
      <c r="C99" s="2" t="inlineStr">
        <is>
          <t>L0250185</t>
        </is>
      </c>
      <c r="D99" s="22" t="n">
        <v>0.869</v>
      </c>
      <c r="E99" s="2" t="n">
        <v>1</v>
      </c>
      <c r="F99" s="35" t="n">
        <v>60.39</v>
      </c>
      <c r="G99" s="35" t="n">
        <v>60.39</v>
      </c>
      <c r="H99" s="2" t="inlineStr">
        <is>
          <t>USD</t>
        </is>
      </c>
      <c r="I99" s="2" t="inlineStr">
        <is>
          <t>FOB</t>
        </is>
      </c>
      <c r="J99" s="2" t="n">
        <v>99</v>
      </c>
      <c r="K99" s="2" t="inlineStr">
        <is>
          <t>pieces</t>
        </is>
      </c>
      <c r="L99" s="2" t="inlineStr">
        <is>
          <t>2026-09-21</t>
        </is>
      </c>
      <c r="M99" s="2" t="inlineStr">
        <is>
          <t>94036001</t>
        </is>
      </c>
      <c r="N99" s="2" t="inlineStr">
        <is>
          <t>MYS</t>
        </is>
      </c>
      <c r="O99" s="2" t="inlineStr">
        <is>
          <t>Wooden dining table, rubberwood</t>
        </is>
      </c>
      <c r="P99" s="2" t="n">
        <v>9</v>
      </c>
      <c r="Q99" s="36">
        <f>IF(E99=1,F99,"")</f>
        <v/>
      </c>
    </row>
    <row r="100">
      <c r="A100" s="2" t="inlineStr">
        <is>
          <t>V3</t>
        </is>
      </c>
      <c r="B100" s="2" t="n">
        <v>27</v>
      </c>
      <c r="C100" s="2" t="inlineStr">
        <is>
          <t>L0250193</t>
        </is>
      </c>
      <c r="D100" s="22" t="n">
        <v>0.869</v>
      </c>
      <c r="E100" s="2" t="n">
        <v>1</v>
      </c>
      <c r="F100" s="35" t="n">
        <v>58.96</v>
      </c>
      <c r="G100" s="35" t="n">
        <v>58.96</v>
      </c>
      <c r="H100" s="2" t="inlineStr">
        <is>
          <t>USD</t>
        </is>
      </c>
      <c r="I100" s="2" t="inlineStr">
        <is>
          <t>FOB</t>
        </is>
      </c>
      <c r="J100" s="2" t="n">
        <v>152</v>
      </c>
      <c r="K100" s="2" t="inlineStr">
        <is>
          <t>pieces</t>
        </is>
      </c>
      <c r="L100" s="2" t="inlineStr">
        <is>
          <t>2026-09-30</t>
        </is>
      </c>
      <c r="M100" s="2" t="inlineStr">
        <is>
          <t>94036001</t>
        </is>
      </c>
      <c r="N100" s="2" t="inlineStr">
        <is>
          <t>MYS</t>
        </is>
      </c>
      <c r="O100" s="2" t="inlineStr">
        <is>
          <t>Wooden dining table, rubberwood</t>
        </is>
      </c>
      <c r="P100" s="2" t="n">
        <v>0</v>
      </c>
      <c r="Q100" s="36">
        <f>IF(E100=1,F100,"")</f>
        <v/>
      </c>
    </row>
    <row r="101">
      <c r="A101" s="2" t="inlineStr">
        <is>
          <t>V3</t>
        </is>
      </c>
      <c r="B101" s="2" t="n">
        <v>28</v>
      </c>
      <c r="C101" s="2" t="inlineStr">
        <is>
          <t>L0250186</t>
        </is>
      </c>
      <c r="D101" s="22" t="n">
        <v>0.855</v>
      </c>
      <c r="E101" s="2" t="n">
        <v>1</v>
      </c>
      <c r="F101" s="35" t="n">
        <v>36.95</v>
      </c>
      <c r="G101" s="35" t="n">
        <v>36.95</v>
      </c>
      <c r="H101" s="2" t="inlineStr">
        <is>
          <t>USD</t>
        </is>
      </c>
      <c r="I101" s="2" t="inlineStr">
        <is>
          <t>FOB</t>
        </is>
      </c>
      <c r="J101" s="2" t="n">
        <v>115</v>
      </c>
      <c r="K101" s="2" t="inlineStr">
        <is>
          <t>pieces</t>
        </is>
      </c>
      <c r="L101" s="2" t="inlineStr">
        <is>
          <t>2026-07-26</t>
        </is>
      </c>
      <c r="M101" s="2" t="inlineStr">
        <is>
          <t>94036001</t>
        </is>
      </c>
      <c r="N101" s="2" t="inlineStr">
        <is>
          <t>MYS</t>
        </is>
      </c>
      <c r="O101" s="2" t="inlineStr">
        <is>
          <t>Upholstered dining chair, wooden legs</t>
        </is>
      </c>
      <c r="P101" s="2" t="n">
        <v>66</v>
      </c>
      <c r="Q101" s="36">
        <f>IF(E101=1,F101,"")</f>
        <v/>
      </c>
    </row>
    <row r="102">
      <c r="A102" s="2" t="inlineStr">
        <is>
          <t>V3</t>
        </is>
      </c>
      <c r="B102" s="2" t="n">
        <v>29</v>
      </c>
      <c r="C102" s="2" t="inlineStr">
        <is>
          <t>L0250202</t>
        </is>
      </c>
      <c r="D102" s="22" t="n">
        <v>0.855</v>
      </c>
      <c r="E102" s="2" t="n">
        <v>1</v>
      </c>
      <c r="F102" s="35" t="n">
        <v>34.4</v>
      </c>
      <c r="G102" s="35" t="n">
        <v>34.4</v>
      </c>
      <c r="H102" s="2" t="inlineStr">
        <is>
          <t>USD</t>
        </is>
      </c>
      <c r="I102" s="2" t="inlineStr">
        <is>
          <t>FOB</t>
        </is>
      </c>
      <c r="J102" s="2" t="n">
        <v>39</v>
      </c>
      <c r="K102" s="2" t="inlineStr">
        <is>
          <t>pieces</t>
        </is>
      </c>
      <c r="L102" s="2" t="inlineStr">
        <is>
          <t>2026-09-19</t>
        </is>
      </c>
      <c r="M102" s="2" t="inlineStr">
        <is>
          <t>94036001</t>
        </is>
      </c>
      <c r="N102" s="2" t="inlineStr">
        <is>
          <t>MYS</t>
        </is>
      </c>
      <c r="O102" s="2" t="inlineStr">
        <is>
          <t>Upholstered dining chair, wooden legs</t>
        </is>
      </c>
      <c r="P102" s="2" t="n">
        <v>11</v>
      </c>
      <c r="Q102" s="36">
        <f>IF(E102=1,F102,"")</f>
        <v/>
      </c>
    </row>
    <row r="103">
      <c r="A103" s="2" t="inlineStr">
        <is>
          <t>V3</t>
        </is>
      </c>
      <c r="B103" s="2" t="n">
        <v>30</v>
      </c>
      <c r="C103" s="2" t="inlineStr">
        <is>
          <t>L0250194</t>
        </is>
      </c>
      <c r="D103" s="22" t="n">
        <v>0.855</v>
      </c>
      <c r="E103" s="2" t="n">
        <v>1</v>
      </c>
      <c r="F103" s="35" t="n">
        <v>38.48</v>
      </c>
      <c r="G103" s="35" t="n">
        <v>38.48</v>
      </c>
      <c r="H103" s="2" t="inlineStr">
        <is>
          <t>USD</t>
        </is>
      </c>
      <c r="I103" s="2" t="inlineStr">
        <is>
          <t>FOB</t>
        </is>
      </c>
      <c r="J103" s="2" t="n">
        <v>184</v>
      </c>
      <c r="K103" s="2" t="inlineStr">
        <is>
          <t>pieces</t>
        </is>
      </c>
      <c r="L103" s="2" t="inlineStr">
        <is>
          <t>2026-09-20</t>
        </is>
      </c>
      <c r="M103" s="2" t="inlineStr">
        <is>
          <t>94036001</t>
        </is>
      </c>
      <c r="N103" s="2" t="inlineStr">
        <is>
          <t>MYS</t>
        </is>
      </c>
      <c r="O103" s="2" t="inlineStr">
        <is>
          <t>Upholstered dining chair, wooden legs</t>
        </is>
      </c>
      <c r="P103" s="2" t="n">
        <v>10</v>
      </c>
      <c r="Q103" s="36">
        <f>IF(E103=1,F103,"")</f>
        <v/>
      </c>
    </row>
    <row r="104">
      <c r="A104" s="2" t="inlineStr">
        <is>
          <t>V4</t>
        </is>
      </c>
      <c r="B104" s="2" t="n">
        <v>1</v>
      </c>
      <c r="C104" s="2" t="inlineStr">
        <is>
          <t>L0250214</t>
        </is>
      </c>
      <c r="D104" s="22" t="n">
        <v>0.984</v>
      </c>
      <c r="E104" s="2" t="n">
        <v>1</v>
      </c>
      <c r="F104" s="35" t="n">
        <v>16.3</v>
      </c>
      <c r="G104" s="35" t="n">
        <v>16.79</v>
      </c>
      <c r="H104" s="2" t="inlineStr">
        <is>
          <t>USD</t>
        </is>
      </c>
      <c r="I104" s="2" t="inlineStr">
        <is>
          <t>CIF</t>
        </is>
      </c>
      <c r="J104" s="2" t="n">
        <v>1796</v>
      </c>
      <c r="K104" s="2" t="inlineStr">
        <is>
          <t>pieces</t>
        </is>
      </c>
      <c r="L104" s="2" t="inlineStr">
        <is>
          <t>2026-07-06</t>
        </is>
      </c>
      <c r="M104" s="2" t="inlineStr">
        <is>
          <t>90181901</t>
        </is>
      </c>
      <c r="N104" s="2" t="inlineStr">
        <is>
          <t>CHN</t>
        </is>
      </c>
      <c r="O104" s="2" t="inlineStr">
        <is>
          <t>Automatic upper arm blood pressure monitor</t>
        </is>
      </c>
      <c r="P104" s="2" t="n">
        <v>86</v>
      </c>
      <c r="Q104" s="36">
        <f>IF(E104=1,F104,"")</f>
        <v/>
      </c>
    </row>
    <row r="105">
      <c r="A105" s="2" t="inlineStr">
        <is>
          <t>V4</t>
        </is>
      </c>
      <c r="B105" s="2" t="n">
        <v>2</v>
      </c>
      <c r="C105" s="2" t="inlineStr">
        <is>
          <t>L0250218</t>
        </is>
      </c>
      <c r="D105" s="22" t="n">
        <v>0.984</v>
      </c>
      <c r="E105" s="2" t="n">
        <v>1</v>
      </c>
      <c r="F105" s="35" t="n">
        <v>18.11</v>
      </c>
      <c r="G105" s="35" t="n">
        <v>18.11</v>
      </c>
      <c r="H105" s="2" t="inlineStr">
        <is>
          <t>USD</t>
        </is>
      </c>
      <c r="I105" s="2" t="inlineStr">
        <is>
          <t>FOB</t>
        </is>
      </c>
      <c r="J105" s="2" t="n">
        <v>1091</v>
      </c>
      <c r="K105" s="2" t="inlineStr">
        <is>
          <t>pieces</t>
        </is>
      </c>
      <c r="L105" s="2" t="inlineStr">
        <is>
          <t>2026-07-23</t>
        </is>
      </c>
      <c r="M105" s="2" t="inlineStr">
        <is>
          <t>90181901</t>
        </is>
      </c>
      <c r="N105" s="2" t="inlineStr">
        <is>
          <t>CHN</t>
        </is>
      </c>
      <c r="O105" s="2" t="inlineStr">
        <is>
          <t>Automatic upper arm blood pressure monitor</t>
        </is>
      </c>
      <c r="P105" s="2" t="n">
        <v>69</v>
      </c>
      <c r="Q105" s="36">
        <f>IF(E105=1,F105,"")</f>
        <v/>
      </c>
    </row>
    <row r="106">
      <c r="A106" s="2" t="inlineStr">
        <is>
          <t>V4</t>
        </is>
      </c>
      <c r="B106" s="2" t="n">
        <v>3</v>
      </c>
      <c r="C106" s="2" t="inlineStr">
        <is>
          <t>L0250210</t>
        </is>
      </c>
      <c r="D106" s="22" t="n">
        <v>0.984</v>
      </c>
      <c r="E106" s="2" t="n">
        <v>1</v>
      </c>
      <c r="F106" s="35" t="n">
        <v>16.33</v>
      </c>
      <c r="G106" s="35" t="n">
        <v>114.89</v>
      </c>
      <c r="H106" s="2" t="inlineStr">
        <is>
          <t>CNY</t>
        </is>
      </c>
      <c r="I106" s="2" t="inlineStr">
        <is>
          <t>EXW</t>
        </is>
      </c>
      <c r="J106" s="2" t="n">
        <v>678</v>
      </c>
      <c r="K106" s="2" t="inlineStr">
        <is>
          <t>pieces</t>
        </is>
      </c>
      <c r="L106" s="2" t="inlineStr">
        <is>
          <t>2026-08-04</t>
        </is>
      </c>
      <c r="M106" s="2" t="inlineStr">
        <is>
          <t>90181901</t>
        </is>
      </c>
      <c r="N106" s="2" t="inlineStr">
        <is>
          <t>CHN</t>
        </is>
      </c>
      <c r="O106" s="2" t="inlineStr">
        <is>
          <t>Automatic upper arm blood pressure monitor</t>
        </is>
      </c>
      <c r="P106" s="2" t="n">
        <v>57</v>
      </c>
      <c r="Q106" s="36">
        <f>IF(E106=1,F106,"")</f>
        <v/>
      </c>
    </row>
    <row r="107">
      <c r="A107" s="2" t="inlineStr">
        <is>
          <t>V4</t>
        </is>
      </c>
      <c r="B107" s="2" t="n">
        <v>4</v>
      </c>
      <c r="C107" s="2" t="inlineStr">
        <is>
          <t>L0250230</t>
        </is>
      </c>
      <c r="D107" s="22" t="n">
        <v>0.984</v>
      </c>
      <c r="E107" s="2" t="n">
        <v>1</v>
      </c>
      <c r="F107" s="35" t="n">
        <v>16.44</v>
      </c>
      <c r="G107" s="35" t="n">
        <v>16.44</v>
      </c>
      <c r="H107" s="2" t="inlineStr">
        <is>
          <t>USD</t>
        </is>
      </c>
      <c r="I107" s="2" t="inlineStr">
        <is>
          <t>FOB</t>
        </is>
      </c>
      <c r="J107" s="2" t="n">
        <v>618</v>
      </c>
      <c r="K107" s="2" t="inlineStr">
        <is>
          <t>pieces</t>
        </is>
      </c>
      <c r="L107" s="2" t="inlineStr">
        <is>
          <t>2026-08-06</t>
        </is>
      </c>
      <c r="M107" s="2" t="inlineStr">
        <is>
          <t>90181901</t>
        </is>
      </c>
      <c r="N107" s="2" t="inlineStr">
        <is>
          <t>CHN</t>
        </is>
      </c>
      <c r="O107" s="2" t="inlineStr">
        <is>
          <t>Automatic upper arm blood pressure monitor</t>
        </is>
      </c>
      <c r="P107" s="2" t="n">
        <v>55</v>
      </c>
      <c r="Q107" s="36">
        <f>IF(E107=1,F107,"")</f>
        <v/>
      </c>
    </row>
    <row r="108">
      <c r="A108" s="2" t="inlineStr">
        <is>
          <t>V4</t>
        </is>
      </c>
      <c r="B108" s="2" t="n">
        <v>5</v>
      </c>
      <c r="C108" s="2" t="inlineStr">
        <is>
          <t>L0250226</t>
        </is>
      </c>
      <c r="D108" s="22" t="n">
        <v>0.984</v>
      </c>
      <c r="E108" s="2" t="n">
        <v>1</v>
      </c>
      <c r="F108" s="35" t="n">
        <v>15.36</v>
      </c>
      <c r="G108" s="35" t="n">
        <v>14.91</v>
      </c>
      <c r="H108" s="2" t="inlineStr">
        <is>
          <t>USD</t>
        </is>
      </c>
      <c r="I108" s="2" t="inlineStr">
        <is>
          <t>EXW</t>
        </is>
      </c>
      <c r="J108" s="2" t="n">
        <v>1315</v>
      </c>
      <c r="K108" s="2" t="inlineStr">
        <is>
          <t>pieces</t>
        </is>
      </c>
      <c r="L108" s="2" t="inlineStr">
        <is>
          <t>2026-08-21</t>
        </is>
      </c>
      <c r="M108" s="2" t="inlineStr">
        <is>
          <t>90181901</t>
        </is>
      </c>
      <c r="N108" s="2" t="inlineStr">
        <is>
          <t>CHN</t>
        </is>
      </c>
      <c r="O108" s="2" t="inlineStr">
        <is>
          <t>Automatic upper arm blood pressure monitor</t>
        </is>
      </c>
      <c r="P108" s="2" t="n">
        <v>40</v>
      </c>
      <c r="Q108" s="36">
        <f>IF(E108=1,F108,"")</f>
        <v/>
      </c>
    </row>
    <row r="109">
      <c r="A109" s="2" t="inlineStr">
        <is>
          <t>V4</t>
        </is>
      </c>
      <c r="B109" s="2" t="n">
        <v>6</v>
      </c>
      <c r="C109" s="2" t="inlineStr">
        <is>
          <t>L0250234</t>
        </is>
      </c>
      <c r="D109" s="22" t="n">
        <v>0.984</v>
      </c>
      <c r="E109" s="2" t="n">
        <v>1</v>
      </c>
      <c r="F109" s="35" t="n">
        <v>15.59</v>
      </c>
      <c r="G109" s="35" t="n">
        <v>16.06</v>
      </c>
      <c r="H109" s="2" t="inlineStr">
        <is>
          <t>USD</t>
        </is>
      </c>
      <c r="I109" s="2" t="inlineStr">
        <is>
          <t>CIF</t>
        </is>
      </c>
      <c r="J109" s="2" t="n">
        <v>1202</v>
      </c>
      <c r="K109" s="2" t="inlineStr">
        <is>
          <t>pieces</t>
        </is>
      </c>
      <c r="L109" s="2" t="inlineStr">
        <is>
          <t>2026-09-09</t>
        </is>
      </c>
      <c r="M109" s="2" t="inlineStr">
        <is>
          <t>90181901</t>
        </is>
      </c>
      <c r="N109" s="2" t="inlineStr">
        <is>
          <t>CHN</t>
        </is>
      </c>
      <c r="O109" s="2" t="inlineStr">
        <is>
          <t>Automatic upper arm blood pressure monitor</t>
        </is>
      </c>
      <c r="P109" s="2" t="n">
        <v>21</v>
      </c>
      <c r="Q109" s="36">
        <f>IF(E109=1,F109,"")</f>
        <v/>
      </c>
    </row>
    <row r="110">
      <c r="A110" s="2" t="inlineStr">
        <is>
          <t>V4</t>
        </is>
      </c>
      <c r="B110" s="2" t="n">
        <v>7</v>
      </c>
      <c r="C110" s="2" t="inlineStr">
        <is>
          <t>L0250222</t>
        </is>
      </c>
      <c r="D110" s="22" t="n">
        <v>0.984</v>
      </c>
      <c r="E110" s="2" t="n">
        <v>1</v>
      </c>
      <c r="F110" s="35" t="n">
        <v>15</v>
      </c>
      <c r="G110" s="35" t="n">
        <v>15</v>
      </c>
      <c r="H110" s="2" t="inlineStr">
        <is>
          <t>USD</t>
        </is>
      </c>
      <c r="I110" s="2" t="inlineStr">
        <is>
          <t>FOB</t>
        </is>
      </c>
      <c r="J110" s="2" t="n">
        <v>533</v>
      </c>
      <c r="K110" s="2" t="inlineStr">
        <is>
          <t>pieces</t>
        </is>
      </c>
      <c r="L110" s="2" t="inlineStr">
        <is>
          <t>2026-09-14</t>
        </is>
      </c>
      <c r="M110" s="2" t="inlineStr">
        <is>
          <t>90181901</t>
        </is>
      </c>
      <c r="N110" s="2" t="inlineStr">
        <is>
          <t>CHN</t>
        </is>
      </c>
      <c r="O110" s="2" t="inlineStr">
        <is>
          <t>Automatic upper arm blood pressure monitor</t>
        </is>
      </c>
      <c r="P110" s="2" t="n">
        <v>16</v>
      </c>
      <c r="Q110" s="36">
        <f>IF(E110=1,F110,"")</f>
        <v/>
      </c>
    </row>
    <row r="111">
      <c r="A111" s="2" t="inlineStr">
        <is>
          <t>V4</t>
        </is>
      </c>
      <c r="B111" s="2" t="n">
        <v>8</v>
      </c>
      <c r="C111" s="2" t="inlineStr">
        <is>
          <t>L0250211</t>
        </is>
      </c>
      <c r="D111" s="22" t="n">
        <v>0.969</v>
      </c>
      <c r="E111" s="2" t="n">
        <v>1</v>
      </c>
      <c r="F111" s="35" t="n">
        <v>15.99</v>
      </c>
      <c r="G111" s="35" t="n">
        <v>112.49</v>
      </c>
      <c r="H111" s="2" t="inlineStr">
        <is>
          <t>CNY</t>
        </is>
      </c>
      <c r="I111" s="2" t="inlineStr">
        <is>
          <t>EXW</t>
        </is>
      </c>
      <c r="J111" s="2" t="n">
        <v>740</v>
      </c>
      <c r="K111" s="2" t="inlineStr">
        <is>
          <t>pieces</t>
        </is>
      </c>
      <c r="L111" s="2" t="inlineStr">
        <is>
          <t>2026-07-31</t>
        </is>
      </c>
      <c r="M111" s="2" t="inlineStr">
        <is>
          <t>90181901</t>
        </is>
      </c>
      <c r="N111" s="2" t="inlineStr">
        <is>
          <t>CHN</t>
        </is>
      </c>
      <c r="O111" s="2" t="inlineStr">
        <is>
          <t>Blood pressure monitor, upper arm, automatic</t>
        </is>
      </c>
      <c r="P111" s="2" t="n">
        <v>61</v>
      </c>
      <c r="Q111" s="36">
        <f>IF(E111=1,F111,"")</f>
        <v/>
      </c>
    </row>
    <row r="112">
      <c r="A112" s="2" t="inlineStr">
        <is>
          <t>V4</t>
        </is>
      </c>
      <c r="B112" s="2" t="n">
        <v>9</v>
      </c>
      <c r="C112" s="2" t="inlineStr">
        <is>
          <t>L0250223</t>
        </is>
      </c>
      <c r="D112" s="22" t="n">
        <v>0.969</v>
      </c>
      <c r="E112" s="2" t="n">
        <v>1</v>
      </c>
      <c r="F112" s="35" t="n">
        <v>13.69</v>
      </c>
      <c r="G112" s="35" t="n">
        <v>102.18</v>
      </c>
      <c r="H112" s="2" t="inlineStr">
        <is>
          <t>CNY</t>
        </is>
      </c>
      <c r="I112" s="2" t="inlineStr">
        <is>
          <t>CIF</t>
        </is>
      </c>
      <c r="J112" s="2" t="n">
        <v>1015</v>
      </c>
      <c r="K112" s="2" t="inlineStr">
        <is>
          <t>pieces</t>
        </is>
      </c>
      <c r="L112" s="2" t="inlineStr">
        <is>
          <t>2026-08-03</t>
        </is>
      </c>
      <c r="M112" s="2" t="inlineStr">
        <is>
          <t>90181901</t>
        </is>
      </c>
      <c r="N112" s="2" t="inlineStr">
        <is>
          <t>CHN</t>
        </is>
      </c>
      <c r="O112" s="2" t="inlineStr">
        <is>
          <t>Blood pressure monitor, upper arm, automatic</t>
        </is>
      </c>
      <c r="P112" s="2" t="n">
        <v>58</v>
      </c>
      <c r="Q112" s="36">
        <f>IF(E112=1,F112,"")</f>
        <v/>
      </c>
    </row>
    <row r="113">
      <c r="A113" s="2" t="inlineStr">
        <is>
          <t>V4</t>
        </is>
      </c>
      <c r="B113" s="2" t="n">
        <v>10</v>
      </c>
      <c r="C113" s="2" t="inlineStr">
        <is>
          <t>L0250219</t>
        </is>
      </c>
      <c r="D113" s="22" t="n">
        <v>0.969</v>
      </c>
      <c r="E113" s="2" t="n">
        <v>1</v>
      </c>
      <c r="F113" s="35" t="n">
        <v>14.42</v>
      </c>
      <c r="G113" s="35" t="n">
        <v>14.79</v>
      </c>
      <c r="H113" s="2" t="inlineStr">
        <is>
          <t>USD</t>
        </is>
      </c>
      <c r="I113" s="2" t="inlineStr">
        <is>
          <t>CFR</t>
        </is>
      </c>
      <c r="J113" s="2" t="n">
        <v>692</v>
      </c>
      <c r="K113" s="2" t="inlineStr">
        <is>
          <t>pieces</t>
        </is>
      </c>
      <c r="L113" s="2" t="inlineStr">
        <is>
          <t>2026-08-04</t>
        </is>
      </c>
      <c r="M113" s="2" t="inlineStr">
        <is>
          <t>90181901</t>
        </is>
      </c>
      <c r="N113" s="2" t="inlineStr">
        <is>
          <t>CHN</t>
        </is>
      </c>
      <c r="O113" s="2" t="inlineStr">
        <is>
          <t>Blood pressure monitor, upper arm, automatic</t>
        </is>
      </c>
      <c r="P113" s="2" t="n">
        <v>57</v>
      </c>
      <c r="Q113" s="36">
        <f>IF(E113=1,F113,"")</f>
        <v/>
      </c>
    </row>
    <row r="114">
      <c r="A114" s="2" t="inlineStr">
        <is>
          <t>V4</t>
        </is>
      </c>
      <c r="B114" s="2" t="n">
        <v>11</v>
      </c>
      <c r="C114" s="2" t="inlineStr">
        <is>
          <t>L0250235</t>
        </is>
      </c>
      <c r="D114" s="22" t="n">
        <v>0.969</v>
      </c>
      <c r="E114" s="2" t="n">
        <v>1</v>
      </c>
      <c r="F114" s="35" t="n">
        <v>15.47</v>
      </c>
      <c r="G114" s="35" t="n">
        <v>15.47</v>
      </c>
      <c r="H114" s="2" t="inlineStr">
        <is>
          <t>USD</t>
        </is>
      </c>
      <c r="I114" s="2" t="inlineStr">
        <is>
          <t>FOB</t>
        </is>
      </c>
      <c r="J114" s="2" t="n">
        <v>317</v>
      </c>
      <c r="K114" s="2" t="inlineStr">
        <is>
          <t>pieces</t>
        </is>
      </c>
      <c r="L114" s="2" t="inlineStr">
        <is>
          <t>2026-08-13</t>
        </is>
      </c>
      <c r="M114" s="2" t="inlineStr">
        <is>
          <t>90181901</t>
        </is>
      </c>
      <c r="N114" s="2" t="inlineStr">
        <is>
          <t>CHN</t>
        </is>
      </c>
      <c r="O114" s="2" t="inlineStr">
        <is>
          <t>Blood pressure monitor, upper arm, automatic</t>
        </is>
      </c>
      <c r="P114" s="2" t="n">
        <v>48</v>
      </c>
      <c r="Q114" s="36">
        <f>IF(E114=1,F114,"")</f>
        <v/>
      </c>
    </row>
    <row r="115">
      <c r="A115" s="2" t="inlineStr">
        <is>
          <t>V4</t>
        </is>
      </c>
      <c r="B115" s="2" t="n">
        <v>12</v>
      </c>
      <c r="C115" s="2" t="inlineStr">
        <is>
          <t>L0250215</t>
        </is>
      </c>
      <c r="D115" s="22" t="n">
        <v>0.969</v>
      </c>
      <c r="E115" s="2" t="n">
        <v>1</v>
      </c>
      <c r="F115" s="35" t="n">
        <v>18.36</v>
      </c>
      <c r="G115" s="35" t="n">
        <v>137.03</v>
      </c>
      <c r="H115" s="2" t="inlineStr">
        <is>
          <t>CNY</t>
        </is>
      </c>
      <c r="I115" s="2" t="inlineStr">
        <is>
          <t>CIF</t>
        </is>
      </c>
      <c r="J115" s="2" t="n">
        <v>1236</v>
      </c>
      <c r="K115" s="2" t="inlineStr">
        <is>
          <t>pieces</t>
        </is>
      </c>
      <c r="L115" s="2" t="inlineStr">
        <is>
          <t>2026-08-23</t>
        </is>
      </c>
      <c r="M115" s="2" t="inlineStr">
        <is>
          <t>90181901</t>
        </is>
      </c>
      <c r="N115" s="2" t="inlineStr">
        <is>
          <t>CHN</t>
        </is>
      </c>
      <c r="O115" s="2" t="inlineStr">
        <is>
          <t>Blood pressure monitor, upper arm, automatic</t>
        </is>
      </c>
      <c r="P115" s="2" t="n">
        <v>38</v>
      </c>
      <c r="Q115" s="36">
        <f>IF(E115=1,F115,"")</f>
        <v/>
      </c>
    </row>
    <row r="116">
      <c r="A116" s="2" t="inlineStr">
        <is>
          <t>V4</t>
        </is>
      </c>
      <c r="B116" s="2" t="n">
        <v>13</v>
      </c>
      <c r="C116" s="2" t="inlineStr">
        <is>
          <t>L0250231</t>
        </is>
      </c>
      <c r="D116" s="22" t="n">
        <v>0.969</v>
      </c>
      <c r="E116" s="2" t="n">
        <v>1</v>
      </c>
      <c r="F116" s="35" t="n">
        <v>16.69</v>
      </c>
      <c r="G116" s="35" t="n">
        <v>120.94</v>
      </c>
      <c r="H116" s="2" t="inlineStr">
        <is>
          <t>CNY</t>
        </is>
      </c>
      <c r="I116" s="2" t="inlineStr">
        <is>
          <t>FOB</t>
        </is>
      </c>
      <c r="J116" s="2" t="n">
        <v>1085</v>
      </c>
      <c r="K116" s="2" t="inlineStr">
        <is>
          <t>pieces</t>
        </is>
      </c>
      <c r="L116" s="2" t="inlineStr">
        <is>
          <t>2026-09-02</t>
        </is>
      </c>
      <c r="M116" s="2" t="inlineStr">
        <is>
          <t>90181901</t>
        </is>
      </c>
      <c r="N116" s="2" t="inlineStr">
        <is>
          <t>CHN</t>
        </is>
      </c>
      <c r="O116" s="2" t="inlineStr">
        <is>
          <t>Blood pressure monitor, upper arm, automatic</t>
        </is>
      </c>
      <c r="P116" s="2" t="n">
        <v>28</v>
      </c>
      <c r="Q116" s="36">
        <f>IF(E116=1,F116,"")</f>
        <v/>
      </c>
    </row>
    <row r="117">
      <c r="A117" s="2" t="inlineStr">
        <is>
          <t>V4</t>
        </is>
      </c>
      <c r="B117" s="2" t="n">
        <v>14</v>
      </c>
      <c r="C117" s="2" t="inlineStr">
        <is>
          <t>L0250227</t>
        </is>
      </c>
      <c r="D117" s="22" t="n">
        <v>0.969</v>
      </c>
      <c r="E117" s="2" t="n">
        <v>1</v>
      </c>
      <c r="F117" s="35" t="n">
        <v>15.63</v>
      </c>
      <c r="G117" s="35" t="n">
        <v>116.66</v>
      </c>
      <c r="H117" s="2" t="inlineStr">
        <is>
          <t>CNY</t>
        </is>
      </c>
      <c r="I117" s="2" t="inlineStr">
        <is>
          <t>CIF</t>
        </is>
      </c>
      <c r="J117" s="2" t="n">
        <v>973</v>
      </c>
      <c r="K117" s="2" t="inlineStr">
        <is>
          <t>pieces</t>
        </is>
      </c>
      <c r="L117" s="2" t="inlineStr">
        <is>
          <t>2026-09-24</t>
        </is>
      </c>
      <c r="M117" s="2" t="inlineStr">
        <is>
          <t>90181901</t>
        </is>
      </c>
      <c r="N117" s="2" t="inlineStr">
        <is>
          <t>CHN</t>
        </is>
      </c>
      <c r="O117" s="2" t="inlineStr">
        <is>
          <t>Blood pressure monitor, upper arm, automatic</t>
        </is>
      </c>
      <c r="P117" s="2" t="n">
        <v>6</v>
      </c>
      <c r="Q117" s="36">
        <f>IF(E117=1,F117,"")</f>
        <v/>
      </c>
    </row>
    <row r="118">
      <c r="A118" s="2" t="inlineStr">
        <is>
          <t>V4</t>
        </is>
      </c>
      <c r="B118" s="2" t="n">
        <v>15</v>
      </c>
      <c r="C118" s="2" t="inlineStr">
        <is>
          <t>L0250216</t>
        </is>
      </c>
      <c r="D118" s="22" t="n">
        <v>0.927</v>
      </c>
      <c r="E118" s="2" t="n">
        <v>1</v>
      </c>
      <c r="F118" s="35" t="n">
        <v>15.75</v>
      </c>
      <c r="G118" s="35" t="n">
        <v>114.13</v>
      </c>
      <c r="H118" s="2" t="inlineStr">
        <is>
          <t>CNY</t>
        </is>
      </c>
      <c r="I118" s="2" t="inlineStr">
        <is>
          <t>FOB</t>
        </is>
      </c>
      <c r="J118" s="2" t="n">
        <v>953</v>
      </c>
      <c r="K118" s="2" t="inlineStr">
        <is>
          <t>pieces</t>
        </is>
      </c>
      <c r="L118" s="2" t="inlineStr">
        <is>
          <t>2026-08-19</t>
        </is>
      </c>
      <c r="M118" s="2" t="inlineStr">
        <is>
          <t>90181901</t>
        </is>
      </c>
      <c r="N118" s="2" t="inlineStr">
        <is>
          <t>CHN</t>
        </is>
      </c>
      <c r="O118" s="2" t="inlineStr">
        <is>
          <t>Digital blood pressure monitor (upper arm)</t>
        </is>
      </c>
      <c r="P118" s="2" t="n">
        <v>42</v>
      </c>
      <c r="Q118" s="36">
        <f>IF(E118=1,F118,"")</f>
        <v/>
      </c>
    </row>
    <row r="119">
      <c r="A119" s="2" t="inlineStr">
        <is>
          <t>V4</t>
        </is>
      </c>
      <c r="B119" s="2" t="n">
        <v>16</v>
      </c>
      <c r="C119" s="2" t="inlineStr">
        <is>
          <t>L0250220</t>
        </is>
      </c>
      <c r="D119" s="22" t="n">
        <v>0.927</v>
      </c>
      <c r="E119" s="2" t="n">
        <v>1</v>
      </c>
      <c r="F119" s="35" t="n">
        <v>17.11</v>
      </c>
      <c r="G119" s="35" t="n">
        <v>123.99</v>
      </c>
      <c r="H119" s="2" t="inlineStr">
        <is>
          <t>CNY</t>
        </is>
      </c>
      <c r="I119" s="2" t="inlineStr">
        <is>
          <t>FOB</t>
        </is>
      </c>
      <c r="J119" s="2" t="n">
        <v>1840</v>
      </c>
      <c r="K119" s="2" t="inlineStr">
        <is>
          <t>pieces</t>
        </is>
      </c>
      <c r="L119" s="2" t="inlineStr">
        <is>
          <t>2026-08-21</t>
        </is>
      </c>
      <c r="M119" s="2" t="inlineStr">
        <is>
          <t>90181901</t>
        </is>
      </c>
      <c r="N119" s="2" t="inlineStr">
        <is>
          <t>CHN</t>
        </is>
      </c>
      <c r="O119" s="2" t="inlineStr">
        <is>
          <t>Digital blood pressure monitor (upper arm)</t>
        </is>
      </c>
      <c r="P119" s="2" t="n">
        <v>40</v>
      </c>
      <c r="Q119" s="36">
        <f>IF(E119=1,F119,"")</f>
        <v/>
      </c>
    </row>
    <row r="120">
      <c r="A120" s="2" t="inlineStr">
        <is>
          <t>V4</t>
        </is>
      </c>
      <c r="B120" s="2" t="n">
        <v>17</v>
      </c>
      <c r="C120" s="2" t="inlineStr">
        <is>
          <t>L0250212</t>
        </is>
      </c>
      <c r="D120" s="22" t="n">
        <v>0.927</v>
      </c>
      <c r="E120" s="2" t="n">
        <v>1</v>
      </c>
      <c r="F120" s="35" t="n">
        <v>15.63</v>
      </c>
      <c r="G120" s="35" t="n">
        <v>113.26</v>
      </c>
      <c r="H120" s="2" t="inlineStr">
        <is>
          <t>CNY</t>
        </is>
      </c>
      <c r="I120" s="2" t="inlineStr">
        <is>
          <t>FOB</t>
        </is>
      </c>
      <c r="J120" s="2" t="n">
        <v>661</v>
      </c>
      <c r="K120" s="2" t="inlineStr">
        <is>
          <t>pieces</t>
        </is>
      </c>
      <c r="L120" s="2" t="inlineStr">
        <is>
          <t>2026-08-29</t>
        </is>
      </c>
      <c r="M120" s="2" t="inlineStr">
        <is>
          <t>90181901</t>
        </is>
      </c>
      <c r="N120" s="2" t="inlineStr">
        <is>
          <t>CHN</t>
        </is>
      </c>
      <c r="O120" s="2" t="inlineStr">
        <is>
          <t>Digital blood pressure monitor (upper arm)</t>
        </is>
      </c>
      <c r="P120" s="2" t="n">
        <v>32</v>
      </c>
      <c r="Q120" s="36">
        <f>IF(E120=1,F120,"")</f>
        <v/>
      </c>
    </row>
    <row r="121">
      <c r="A121" s="2" t="inlineStr">
        <is>
          <t>V4</t>
        </is>
      </c>
      <c r="B121" s="2" t="n">
        <v>18</v>
      </c>
      <c r="C121" s="2" t="inlineStr">
        <is>
          <t>L0250224</t>
        </is>
      </c>
      <c r="D121" s="22" t="n">
        <v>0.927</v>
      </c>
      <c r="E121" s="2" t="n">
        <v>1</v>
      </c>
      <c r="F121" s="35" t="n">
        <v>17.38</v>
      </c>
      <c r="G121" s="35" t="n">
        <v>129.72</v>
      </c>
      <c r="H121" s="2" t="inlineStr">
        <is>
          <t>CNY</t>
        </is>
      </c>
      <c r="I121" s="2" t="inlineStr">
        <is>
          <t>CIF</t>
        </is>
      </c>
      <c r="J121" s="2" t="n">
        <v>442</v>
      </c>
      <c r="K121" s="2" t="inlineStr">
        <is>
          <t>pieces</t>
        </is>
      </c>
      <c r="L121" s="2" t="inlineStr">
        <is>
          <t>2026-08-29</t>
        </is>
      </c>
      <c r="M121" s="2" t="inlineStr">
        <is>
          <t>90181901</t>
        </is>
      </c>
      <c r="N121" s="2" t="inlineStr">
        <is>
          <t>CHN</t>
        </is>
      </c>
      <c r="O121" s="2" t="inlineStr">
        <is>
          <t>Digital blood pressure monitor (upper arm)</t>
        </is>
      </c>
      <c r="P121" s="2" t="n">
        <v>32</v>
      </c>
      <c r="Q121" s="36">
        <f>IF(E121=1,F121,"")</f>
        <v/>
      </c>
    </row>
    <row r="122">
      <c r="A122" s="2" t="inlineStr">
        <is>
          <t>V4</t>
        </is>
      </c>
      <c r="B122" s="2" t="n">
        <v>19</v>
      </c>
      <c r="C122" s="2" t="inlineStr">
        <is>
          <t>L0250228</t>
        </is>
      </c>
      <c r="D122" s="22" t="n">
        <v>0.927</v>
      </c>
      <c r="E122" s="2" t="n">
        <v>1</v>
      </c>
      <c r="F122" s="35" t="n">
        <v>14.28</v>
      </c>
      <c r="G122" s="35" t="n">
        <v>100.46</v>
      </c>
      <c r="H122" s="2" t="inlineStr">
        <is>
          <t>CNY</t>
        </is>
      </c>
      <c r="I122" s="2" t="inlineStr">
        <is>
          <t>EXW</t>
        </is>
      </c>
      <c r="J122" s="2" t="n">
        <v>737</v>
      </c>
      <c r="K122" s="2" t="inlineStr">
        <is>
          <t>pieces</t>
        </is>
      </c>
      <c r="L122" s="2" t="inlineStr">
        <is>
          <t>2026-09-12</t>
        </is>
      </c>
      <c r="M122" s="2" t="inlineStr">
        <is>
          <t>90181901</t>
        </is>
      </c>
      <c r="N122" s="2" t="inlineStr">
        <is>
          <t>CHN</t>
        </is>
      </c>
      <c r="O122" s="2" t="inlineStr">
        <is>
          <t>Digital blood pressure monitor (upper arm)</t>
        </is>
      </c>
      <c r="P122" s="2" t="n">
        <v>18</v>
      </c>
      <c r="Q122" s="36">
        <f>IF(E122=1,F122,"")</f>
        <v/>
      </c>
    </row>
    <row r="123">
      <c r="A123" s="2" t="inlineStr">
        <is>
          <t>V4</t>
        </is>
      </c>
      <c r="B123" s="2" t="n">
        <v>20</v>
      </c>
      <c r="C123" s="2" t="inlineStr">
        <is>
          <t>L0250232</t>
        </is>
      </c>
      <c r="D123" s="22" t="n">
        <v>0.927</v>
      </c>
      <c r="E123" s="2" t="n">
        <v>1</v>
      </c>
      <c r="F123" s="35" t="n">
        <v>14.57</v>
      </c>
      <c r="G123" s="35" t="n">
        <v>14.15</v>
      </c>
      <c r="H123" s="2" t="inlineStr">
        <is>
          <t>USD</t>
        </is>
      </c>
      <c r="I123" s="2" t="inlineStr">
        <is>
          <t>EXW</t>
        </is>
      </c>
      <c r="J123" s="2" t="n">
        <v>627</v>
      </c>
      <c r="K123" s="2" t="inlineStr">
        <is>
          <t>pieces</t>
        </is>
      </c>
      <c r="L123" s="2" t="inlineStr">
        <is>
          <t>2026-09-20</t>
        </is>
      </c>
      <c r="M123" s="2" t="inlineStr">
        <is>
          <t>90181901</t>
        </is>
      </c>
      <c r="N123" s="2" t="inlineStr">
        <is>
          <t>CHN</t>
        </is>
      </c>
      <c r="O123" s="2" t="inlineStr">
        <is>
          <t>Digital blood pressure monitor (upper arm)</t>
        </is>
      </c>
      <c r="P123" s="2" t="n">
        <v>10</v>
      </c>
      <c r="Q123" s="36">
        <f>IF(E123=1,F123,"")</f>
        <v/>
      </c>
    </row>
    <row r="124">
      <c r="A124" s="2" t="inlineStr">
        <is>
          <t>V4</t>
        </is>
      </c>
      <c r="B124" s="2" t="n">
        <v>21</v>
      </c>
      <c r="C124" s="2" t="inlineStr">
        <is>
          <t>L0250229</t>
        </is>
      </c>
      <c r="D124" s="22" t="n">
        <v>0.901</v>
      </c>
      <c r="E124" s="2" t="n">
        <v>1</v>
      </c>
      <c r="F124" s="35" t="n">
        <v>12.9</v>
      </c>
      <c r="G124" s="35" t="n">
        <v>12.9</v>
      </c>
      <c r="H124" s="2" t="inlineStr">
        <is>
          <t>USD</t>
        </is>
      </c>
      <c r="I124" s="2" t="inlineStr">
        <is>
          <t>FOB</t>
        </is>
      </c>
      <c r="J124" s="2" t="n">
        <v>720</v>
      </c>
      <c r="K124" s="2" t="inlineStr">
        <is>
          <t>pieces</t>
        </is>
      </c>
      <c r="L124" s="2" t="inlineStr">
        <is>
          <t>2026-08-05</t>
        </is>
      </c>
      <c r="M124" s="2" t="inlineStr">
        <is>
          <t>90181901</t>
        </is>
      </c>
      <c r="N124" s="2" t="inlineStr">
        <is>
          <t>CHN</t>
        </is>
      </c>
      <c r="O124" s="2" t="inlineStr">
        <is>
          <t>Wrist blood pressure monitor, automatic</t>
        </is>
      </c>
      <c r="P124" s="2" t="n">
        <v>56</v>
      </c>
      <c r="Q124" s="36">
        <f>IF(E124=1,F124,"")</f>
        <v/>
      </c>
    </row>
    <row r="125">
      <c r="A125" s="2" t="inlineStr">
        <is>
          <t>V4</t>
        </is>
      </c>
      <c r="B125" s="2" t="n">
        <v>22</v>
      </c>
      <c r="C125" s="2" t="inlineStr">
        <is>
          <t>L0250213</t>
        </is>
      </c>
      <c r="D125" s="22" t="n">
        <v>0.901</v>
      </c>
      <c r="E125" s="2" t="n">
        <v>1</v>
      </c>
      <c r="F125" s="35" t="n">
        <v>12.34</v>
      </c>
      <c r="G125" s="35" t="n">
        <v>86.81999999999999</v>
      </c>
      <c r="H125" s="2" t="inlineStr">
        <is>
          <t>CNY</t>
        </is>
      </c>
      <c r="I125" s="2" t="inlineStr">
        <is>
          <t>EXW</t>
        </is>
      </c>
      <c r="J125" s="2" t="n">
        <v>922</v>
      </c>
      <c r="K125" s="2" t="inlineStr">
        <is>
          <t>pieces</t>
        </is>
      </c>
      <c r="L125" s="2" t="inlineStr">
        <is>
          <t>2026-08-07</t>
        </is>
      </c>
      <c r="M125" s="2" t="inlineStr">
        <is>
          <t>90181901</t>
        </is>
      </c>
      <c r="N125" s="2" t="inlineStr">
        <is>
          <t>CHN</t>
        </is>
      </c>
      <c r="O125" s="2" t="inlineStr">
        <is>
          <t>Wrist blood pressure monitor, automatic</t>
        </is>
      </c>
      <c r="P125" s="2" t="n">
        <v>54</v>
      </c>
      <c r="Q125" s="36">
        <f>IF(E125=1,F125,"")</f>
        <v/>
      </c>
    </row>
    <row r="126">
      <c r="A126" s="2" t="inlineStr">
        <is>
          <t>V4</t>
        </is>
      </c>
      <c r="B126" s="2" t="n">
        <v>23</v>
      </c>
      <c r="C126" s="2" t="inlineStr">
        <is>
          <t>L0250217</t>
        </is>
      </c>
      <c r="D126" s="22" t="n">
        <v>0.901</v>
      </c>
      <c r="E126" s="2" t="n">
        <v>1</v>
      </c>
      <c r="F126" s="35" t="n">
        <v>9.82</v>
      </c>
      <c r="G126" s="35" t="n">
        <v>9.82</v>
      </c>
      <c r="H126" s="2" t="inlineStr">
        <is>
          <t>USD</t>
        </is>
      </c>
      <c r="I126" s="2" t="inlineStr">
        <is>
          <t>FOB</t>
        </is>
      </c>
      <c r="J126" s="2" t="n">
        <v>793</v>
      </c>
      <c r="K126" s="2" t="inlineStr">
        <is>
          <t>pieces</t>
        </is>
      </c>
      <c r="L126" s="2" t="inlineStr">
        <is>
          <t>2026-08-15</t>
        </is>
      </c>
      <c r="M126" s="2" t="inlineStr">
        <is>
          <t>90181901</t>
        </is>
      </c>
      <c r="N126" s="2" t="inlineStr">
        <is>
          <t>CHN</t>
        </is>
      </c>
      <c r="O126" s="2" t="inlineStr">
        <is>
          <t>Wrist blood pressure monitor, automatic</t>
        </is>
      </c>
      <c r="P126" s="2" t="n">
        <v>46</v>
      </c>
      <c r="Q126" s="36">
        <f>IF(E126=1,F126,"")</f>
        <v/>
      </c>
    </row>
    <row r="127">
      <c r="A127" s="2" t="inlineStr">
        <is>
          <t>V4</t>
        </is>
      </c>
      <c r="B127" s="2" t="n">
        <v>24</v>
      </c>
      <c r="C127" s="2" t="inlineStr">
        <is>
          <t>L0250225</t>
        </is>
      </c>
      <c r="D127" s="22" t="n">
        <v>0.901</v>
      </c>
      <c r="E127" s="2" t="n">
        <v>1</v>
      </c>
      <c r="F127" s="35" t="n">
        <v>11.4</v>
      </c>
      <c r="G127" s="35" t="n">
        <v>11.4</v>
      </c>
      <c r="H127" s="2" t="inlineStr">
        <is>
          <t>USD</t>
        </is>
      </c>
      <c r="I127" s="2" t="inlineStr">
        <is>
          <t>FOB</t>
        </is>
      </c>
      <c r="J127" s="2" t="n">
        <v>456</v>
      </c>
      <c r="K127" s="2" t="inlineStr">
        <is>
          <t>pieces</t>
        </is>
      </c>
      <c r="L127" s="2" t="inlineStr">
        <is>
          <t>2026-09-07</t>
        </is>
      </c>
      <c r="M127" s="2" t="inlineStr">
        <is>
          <t>90181901</t>
        </is>
      </c>
      <c r="N127" s="2" t="inlineStr">
        <is>
          <t>CHN</t>
        </is>
      </c>
      <c r="O127" s="2" t="inlineStr">
        <is>
          <t>Wrist blood pressure monitor, automatic</t>
        </is>
      </c>
      <c r="P127" s="2" t="n">
        <v>23</v>
      </c>
      <c r="Q127" s="36">
        <f>IF(E127=1,F127,"")</f>
        <v/>
      </c>
    </row>
    <row r="128">
      <c r="A128" s="2" t="inlineStr">
        <is>
          <t>V4</t>
        </is>
      </c>
      <c r="B128" s="2" t="n">
        <v>25</v>
      </c>
      <c r="C128" s="2" t="inlineStr">
        <is>
          <t>L0250221</t>
        </is>
      </c>
      <c r="D128" s="22" t="n">
        <v>0.901</v>
      </c>
      <c r="E128" s="2" t="n">
        <v>1</v>
      </c>
      <c r="F128" s="35" t="n">
        <v>11.59</v>
      </c>
      <c r="G128" s="35" t="n">
        <v>83.98999999999999</v>
      </c>
      <c r="H128" s="2" t="inlineStr">
        <is>
          <t>CNY</t>
        </is>
      </c>
      <c r="I128" s="2" t="inlineStr">
        <is>
          <t>FOB</t>
        </is>
      </c>
      <c r="J128" s="2" t="n">
        <v>1349</v>
      </c>
      <c r="K128" s="2" t="inlineStr">
        <is>
          <t>pieces</t>
        </is>
      </c>
      <c r="L128" s="2" t="inlineStr">
        <is>
          <t>2026-09-18</t>
        </is>
      </c>
      <c r="M128" s="2" t="inlineStr">
        <is>
          <t>90181901</t>
        </is>
      </c>
      <c r="N128" s="2" t="inlineStr">
        <is>
          <t>CHN</t>
        </is>
      </c>
      <c r="O128" s="2" t="inlineStr">
        <is>
          <t>Wrist blood pressure monitor, automatic</t>
        </is>
      </c>
      <c r="P128" s="2" t="n">
        <v>12</v>
      </c>
      <c r="Q128" s="36">
        <f>IF(E128=1,F128,"")</f>
        <v/>
      </c>
    </row>
    <row r="129">
      <c r="A129" s="2" t="inlineStr">
        <is>
          <t>V4</t>
        </is>
      </c>
      <c r="B129" s="2" t="n">
        <v>26</v>
      </c>
      <c r="C129" s="2" t="inlineStr">
        <is>
          <t>L0250233</t>
        </is>
      </c>
      <c r="D129" s="22" t="n">
        <v>0.901</v>
      </c>
      <c r="E129" s="2" t="n">
        <v>1</v>
      </c>
      <c r="F129" s="35" t="n">
        <v>10.12</v>
      </c>
      <c r="G129" s="35" t="n">
        <v>75.2</v>
      </c>
      <c r="H129" s="2" t="inlineStr">
        <is>
          <t>CNY</t>
        </is>
      </c>
      <c r="I129" s="2" t="inlineStr">
        <is>
          <t>CFR</t>
        </is>
      </c>
      <c r="J129" s="2" t="n">
        <v>1246</v>
      </c>
      <c r="K129" s="2" t="inlineStr">
        <is>
          <t>pieces</t>
        </is>
      </c>
      <c r="L129" s="2" t="inlineStr">
        <is>
          <t>2026-09-23</t>
        </is>
      </c>
      <c r="M129" s="2" t="inlineStr">
        <is>
          <t>90181901</t>
        </is>
      </c>
      <c r="N129" s="2" t="inlineStr">
        <is>
          <t>CHN</t>
        </is>
      </c>
      <c r="O129" s="2" t="inlineStr">
        <is>
          <t>Wrist blood pressure monitor, automatic</t>
        </is>
      </c>
      <c r="P129" s="2" t="n">
        <v>7</v>
      </c>
      <c r="Q129" s="36">
        <f>IF(E129=1,F129,"")</f>
        <v/>
      </c>
    </row>
    <row r="130">
      <c r="A130" s="2" t="inlineStr">
        <is>
          <t>V4</t>
        </is>
      </c>
      <c r="B130" s="2" t="n">
        <v>27</v>
      </c>
      <c r="C130" s="2" t="inlineStr">
        <is>
          <t>L0250237</t>
        </is>
      </c>
      <c r="D130" s="22" t="n">
        <v>0.831</v>
      </c>
      <c r="E130" s="2" t="n">
        <v>0</v>
      </c>
      <c r="F130" s="35" t="n">
        <v>21.53</v>
      </c>
      <c r="G130" s="35" t="n">
        <v>21.53</v>
      </c>
      <c r="H130" s="2" t="inlineStr">
        <is>
          <t>USD</t>
        </is>
      </c>
      <c r="I130" s="2" t="inlineStr">
        <is>
          <t>FOB</t>
        </is>
      </c>
      <c r="J130" s="2" t="n">
        <v>711</v>
      </c>
      <c r="K130" s="2" t="inlineStr">
        <is>
          <t>pieces</t>
        </is>
      </c>
      <c r="L130" s="2" t="inlineStr">
        <is>
          <t>2026-07-15</t>
        </is>
      </c>
      <c r="M130" s="2" t="inlineStr">
        <is>
          <t>90181901</t>
        </is>
      </c>
      <c r="N130" s="2" t="inlineStr">
        <is>
          <t>CHN</t>
        </is>
      </c>
      <c r="O130" s="2" t="inlineStr">
        <is>
          <t>Upper-arm blood pressure monitor with Bluetooth</t>
        </is>
      </c>
      <c r="P130" s="2" t="n">
        <v>77</v>
      </c>
      <c r="Q130" s="36">
        <f>IF(E130=1,F130,"")</f>
        <v/>
      </c>
    </row>
    <row r="131">
      <c r="A131" s="2" t="inlineStr">
        <is>
          <t>V4</t>
        </is>
      </c>
      <c r="B131" s="2" t="n">
        <v>28</v>
      </c>
      <c r="C131" s="2" t="inlineStr">
        <is>
          <t>L0250236</t>
        </is>
      </c>
      <c r="D131" s="22" t="n">
        <v>0.831</v>
      </c>
      <c r="E131" s="2" t="n">
        <v>0</v>
      </c>
      <c r="F131" s="35" t="n">
        <v>19.89</v>
      </c>
      <c r="G131" s="35" t="n">
        <v>19.89</v>
      </c>
      <c r="H131" s="2" t="inlineStr">
        <is>
          <t>USD</t>
        </is>
      </c>
      <c r="I131" s="2" t="inlineStr">
        <is>
          <t>FOB</t>
        </is>
      </c>
      <c r="J131" s="2" t="n">
        <v>666</v>
      </c>
      <c r="K131" s="2" t="inlineStr">
        <is>
          <t>pieces</t>
        </is>
      </c>
      <c r="L131" s="2" t="inlineStr">
        <is>
          <t>2026-07-20</t>
        </is>
      </c>
      <c r="M131" s="2" t="inlineStr">
        <is>
          <t>90181901</t>
        </is>
      </c>
      <c r="N131" s="2" t="inlineStr">
        <is>
          <t>CHN</t>
        </is>
      </c>
      <c r="O131" s="2" t="inlineStr">
        <is>
          <t>Upper-arm blood pressure monitor with Bluetooth</t>
        </is>
      </c>
      <c r="P131" s="2" t="n">
        <v>72</v>
      </c>
      <c r="Q131" s="36">
        <f>IF(E131=1,F131,"")</f>
        <v/>
      </c>
    </row>
    <row r="132">
      <c r="A132" s="2" t="inlineStr">
        <is>
          <t>V4</t>
        </is>
      </c>
      <c r="B132" s="2" t="n">
        <v>29</v>
      </c>
      <c r="C132" s="2" t="inlineStr">
        <is>
          <t>L0250238</t>
        </is>
      </c>
      <c r="D132" s="22" t="n">
        <v>0.831</v>
      </c>
      <c r="E132" s="2" t="n">
        <v>0</v>
      </c>
      <c r="F132" s="35" t="n">
        <v>19.49</v>
      </c>
      <c r="G132" s="35" t="n">
        <v>141.23</v>
      </c>
      <c r="H132" s="2" t="inlineStr">
        <is>
          <t>CNY</t>
        </is>
      </c>
      <c r="I132" s="2" t="inlineStr">
        <is>
          <t>FOB</t>
        </is>
      </c>
      <c r="J132" s="2" t="n">
        <v>1097</v>
      </c>
      <c r="K132" s="2" t="inlineStr">
        <is>
          <t>pieces</t>
        </is>
      </c>
      <c r="L132" s="2" t="inlineStr">
        <is>
          <t>2026-08-24</t>
        </is>
      </c>
      <c r="M132" s="2" t="inlineStr">
        <is>
          <t>90181901</t>
        </is>
      </c>
      <c r="N132" s="2" t="inlineStr">
        <is>
          <t>CHN</t>
        </is>
      </c>
      <c r="O132" s="2" t="inlineStr">
        <is>
          <t>Upper-arm blood pressure monitor with Bluetooth</t>
        </is>
      </c>
      <c r="P132" s="2" t="n">
        <v>37</v>
      </c>
      <c r="Q132" s="36">
        <f>IF(E132=1,F132,"")</f>
        <v/>
      </c>
    </row>
    <row r="133">
      <c r="A133" s="2" t="inlineStr">
        <is>
          <t>V4</t>
        </is>
      </c>
      <c r="B133" s="2" t="n">
        <v>30</v>
      </c>
      <c r="C133" s="2" t="inlineStr">
        <is>
          <t>L0250240</t>
        </is>
      </c>
      <c r="D133" s="22" t="n">
        <v>0.756</v>
      </c>
      <c r="E133" s="2" t="n">
        <v>0</v>
      </c>
      <c r="F133" s="35" t="n">
        <v>14.71</v>
      </c>
      <c r="G133" s="35" t="n">
        <v>109.79</v>
      </c>
      <c r="H133" s="2" t="inlineStr">
        <is>
          <t>CNY</t>
        </is>
      </c>
      <c r="I133" s="2" t="inlineStr">
        <is>
          <t>CIF</t>
        </is>
      </c>
      <c r="J133" s="2" t="n">
        <v>2047</v>
      </c>
      <c r="K133" s="2" t="inlineStr">
        <is>
          <t>pieces</t>
        </is>
      </c>
      <c r="L133" s="2" t="inlineStr">
        <is>
          <t>2026-07-20</t>
        </is>
      </c>
      <c r="M133" s="2" t="inlineStr">
        <is>
          <t>90181901</t>
        </is>
      </c>
      <c r="N133" s="2" t="inlineStr">
        <is>
          <t>CHN</t>
        </is>
      </c>
      <c r="O133" s="2" t="inlineStr">
        <is>
          <t>Upper arm automatic BP monitor</t>
        </is>
      </c>
      <c r="P133" s="2" t="n">
        <v>72</v>
      </c>
      <c r="Q133" s="36">
        <f>IF(E133=1,F133,"")</f>
        <v/>
      </c>
    </row>
    <row r="134">
      <c r="A134" s="2" t="inlineStr">
        <is>
          <t>V5</t>
        </is>
      </c>
      <c r="B134" s="2" t="n">
        <v>1</v>
      </c>
      <c r="C134" s="2" t="inlineStr">
        <is>
          <t>L0250247</t>
        </is>
      </c>
      <c r="D134" s="22" t="n">
        <v>0.976</v>
      </c>
      <c r="E134" s="2" t="n">
        <v>1</v>
      </c>
      <c r="F134" s="35" t="n">
        <v>7971.83</v>
      </c>
      <c r="G134" s="35" t="n">
        <v>7971.83</v>
      </c>
      <c r="H134" s="2" t="inlineStr">
        <is>
          <t>USD</t>
        </is>
      </c>
      <c r="I134" s="2" t="inlineStr">
        <is>
          <t>FOB</t>
        </is>
      </c>
      <c r="J134" s="2" t="n">
        <v>1</v>
      </c>
      <c r="K134" s="2" t="inlineStr">
        <is>
          <t>pieces</t>
        </is>
      </c>
      <c r="L134" s="2" t="inlineStr">
        <is>
          <t>2026-08-23</t>
        </is>
      </c>
      <c r="M134" s="2" t="inlineStr">
        <is>
          <t>90221401</t>
        </is>
      </c>
      <c r="N134" s="2" t="inlineStr">
        <is>
          <t>DEU</t>
        </is>
      </c>
      <c r="O134" s="2" t="inlineStr">
        <is>
          <t>Handheld dental X-ray unit</t>
        </is>
      </c>
      <c r="P134" s="2" t="n">
        <v>38</v>
      </c>
      <c r="Q134" s="36">
        <f>IF(E134=1,F134,"")</f>
        <v/>
      </c>
    </row>
    <row r="135">
      <c r="A135" s="2" t="inlineStr">
        <is>
          <t>V5</t>
        </is>
      </c>
      <c r="B135" s="2" t="n">
        <v>2</v>
      </c>
      <c r="C135" s="2" t="inlineStr">
        <is>
          <t>L0250248</t>
        </is>
      </c>
      <c r="D135" s="22" t="n">
        <v>0.969</v>
      </c>
      <c r="E135" s="2" t="n">
        <v>1</v>
      </c>
      <c r="F135" s="35" t="n">
        <v>8460.25</v>
      </c>
      <c r="G135" s="35" t="n">
        <v>7804.66</v>
      </c>
      <c r="H135" s="2" t="inlineStr">
        <is>
          <t>EUR</t>
        </is>
      </c>
      <c r="I135" s="2" t="inlineStr">
        <is>
          <t>FOB</t>
        </is>
      </c>
      <c r="J135" s="2" t="n">
        <v>1</v>
      </c>
      <c r="K135" s="2" t="inlineStr">
        <is>
          <t>pieces</t>
        </is>
      </c>
      <c r="L135" s="2" t="inlineStr">
        <is>
          <t>2026-08-18</t>
        </is>
      </c>
      <c r="M135" s="2" t="inlineStr">
        <is>
          <t>90221401</t>
        </is>
      </c>
      <c r="N135" s="2" t="inlineStr">
        <is>
          <t>DEU</t>
        </is>
      </c>
      <c r="O135" s="2" t="inlineStr">
        <is>
          <t>Dental X-ray unit, portable</t>
        </is>
      </c>
      <c r="P135" s="2" t="n">
        <v>43</v>
      </c>
      <c r="Q135" s="36">
        <f>IF(E135=1,F135,"")</f>
        <v/>
      </c>
    </row>
    <row r="136">
      <c r="A136" s="2" t="inlineStr">
        <is>
          <t>V5</t>
        </is>
      </c>
      <c r="B136" s="2" t="n">
        <v>3</v>
      </c>
      <c r="C136" s="2" t="inlineStr">
        <is>
          <t>L0250246</t>
        </is>
      </c>
      <c r="D136" s="22" t="n">
        <v>0.958</v>
      </c>
      <c r="E136" s="2" t="n">
        <v>1</v>
      </c>
      <c r="F136" s="35" t="n">
        <v>8833.6</v>
      </c>
      <c r="G136" s="35" t="n">
        <v>8356.879999999999</v>
      </c>
      <c r="H136" s="2" t="inlineStr">
        <is>
          <t>EUR</t>
        </is>
      </c>
      <c r="I136" s="2" t="inlineStr">
        <is>
          <t>CFR</t>
        </is>
      </c>
      <c r="J136" s="2" t="n">
        <v>1</v>
      </c>
      <c r="K136" s="2" t="inlineStr">
        <is>
          <t>pieces</t>
        </is>
      </c>
      <c r="L136" s="2" t="inlineStr">
        <is>
          <t>2026-09-27</t>
        </is>
      </c>
      <c r="M136" s="2" t="inlineStr">
        <is>
          <t>90221401</t>
        </is>
      </c>
      <c r="N136" s="2" t="inlineStr">
        <is>
          <t>DEU</t>
        </is>
      </c>
      <c r="O136" s="2" t="inlineStr">
        <is>
          <t>Portable dental x-ray device</t>
        </is>
      </c>
      <c r="P136" s="2" t="n">
        <v>3</v>
      </c>
      <c r="Q136" s="36">
        <f>IF(E136=1,F136,"")</f>
        <v/>
      </c>
    </row>
    <row r="137">
      <c r="A137" s="2" t="inlineStr">
        <is>
          <t>V5</t>
        </is>
      </c>
      <c r="B137" s="2" t="n">
        <v>4</v>
      </c>
      <c r="C137" s="2" t="inlineStr">
        <is>
          <t>L0250249</t>
        </is>
      </c>
      <c r="D137" s="22" t="n">
        <v>0.861</v>
      </c>
      <c r="E137" s="2" t="n">
        <v>1</v>
      </c>
      <c r="F137" s="35" t="n">
        <v>22868.06</v>
      </c>
      <c r="G137" s="35" t="n">
        <v>22202</v>
      </c>
      <c r="H137" s="2" t="inlineStr">
        <is>
          <t>USD</t>
        </is>
      </c>
      <c r="I137" s="2" t="inlineStr">
        <is>
          <t>EXW</t>
        </is>
      </c>
      <c r="J137" s="2" t="n">
        <v>1</v>
      </c>
      <c r="K137" s="2" t="inlineStr">
        <is>
          <t>pieces</t>
        </is>
      </c>
      <c r="L137" s="2" t="inlineStr">
        <is>
          <t>2026-09-18</t>
        </is>
      </c>
      <c r="M137" s="2" t="inlineStr">
        <is>
          <t>90221401</t>
        </is>
      </c>
      <c r="N137" s="2" t="inlineStr">
        <is>
          <t>DEU</t>
        </is>
      </c>
      <c r="O137" s="2" t="inlineStr">
        <is>
          <t>Panoramic dental X-ray system</t>
        </is>
      </c>
      <c r="P137" s="2" t="n">
        <v>12</v>
      </c>
      <c r="Q137" s="36">
        <f>IF(E137=1,F137,"")</f>
        <v/>
      </c>
    </row>
    <row r="138">
      <c r="A138" s="2" t="inlineStr">
        <is>
          <t>V5</t>
        </is>
      </c>
      <c r="B138" s="2" t="n">
        <v>5</v>
      </c>
      <c r="C138" s="2" t="inlineStr">
        <is>
          <t>L0250250</t>
        </is>
      </c>
      <c r="D138" s="22" t="n">
        <v>0.751</v>
      </c>
      <c r="E138" s="2" t="n">
        <v>0</v>
      </c>
      <c r="F138" s="35" t="n">
        <v>8595.65</v>
      </c>
      <c r="G138" s="35" t="n">
        <v>8853.52</v>
      </c>
      <c r="H138" s="2" t="inlineStr">
        <is>
          <t>USD</t>
        </is>
      </c>
      <c r="I138" s="2" t="inlineStr">
        <is>
          <t>CIF</t>
        </is>
      </c>
      <c r="J138" s="2" t="n">
        <v>1</v>
      </c>
      <c r="K138" s="2" t="inlineStr">
        <is>
          <t>pieces</t>
        </is>
      </c>
      <c r="L138" s="2" t="inlineStr">
        <is>
          <t>2026-09-15</t>
        </is>
      </c>
      <c r="M138" s="2" t="inlineStr">
        <is>
          <t>90221401</t>
        </is>
      </c>
      <c r="N138" s="2" t="inlineStr">
        <is>
          <t>DEU</t>
        </is>
      </c>
      <c r="O138" s="2" t="inlineStr">
        <is>
          <t>Tragbares Dental-Röntgengerät</t>
        </is>
      </c>
      <c r="P138" s="2" t="n">
        <v>15</v>
      </c>
      <c r="Q138" s="36">
        <f>IF(E138=1,F138,"")</f>
        <v/>
      </c>
    </row>
    <row r="139">
      <c r="A139" s="2" t="inlineStr">
        <is>
          <t>V5</t>
        </is>
      </c>
      <c r="B139" s="2" t="n">
        <v>6</v>
      </c>
      <c r="C139" s="2" t="inlineStr">
        <is>
          <t>L0250251</t>
        </is>
      </c>
      <c r="D139" s="22" t="n">
        <v>0.71</v>
      </c>
      <c r="E139" s="2" t="n">
        <v>0</v>
      </c>
      <c r="F139" s="35" t="n">
        <v>55182.13</v>
      </c>
      <c r="G139" s="35" t="n">
        <v>56837.59</v>
      </c>
      <c r="H139" s="2" t="inlineStr">
        <is>
          <t>USD</t>
        </is>
      </c>
      <c r="I139" s="2" t="inlineStr">
        <is>
          <t>CIF</t>
        </is>
      </c>
      <c r="J139" s="2" t="n">
        <v>1</v>
      </c>
      <c r="K139" s="2" t="inlineStr">
        <is>
          <t>pieces</t>
        </is>
      </c>
      <c r="L139" s="2" t="inlineStr">
        <is>
          <t>2026-09-09</t>
        </is>
      </c>
      <c r="M139" s="2" t="inlineStr">
        <is>
          <t>90221401</t>
        </is>
      </c>
      <c r="N139" s="2" t="inlineStr">
        <is>
          <t>DEU</t>
        </is>
      </c>
      <c r="O139" s="2" t="inlineStr">
        <is>
          <t>Medical X-ray apparatus, fixed</t>
        </is>
      </c>
      <c r="P139" s="2" t="n">
        <v>21</v>
      </c>
      <c r="Q139" s="36">
        <f>IF(E139=1,F139,"")</f>
        <v/>
      </c>
    </row>
    <row r="140">
      <c r="A140" s="2" t="inlineStr">
        <is>
          <t>V5</t>
        </is>
      </c>
      <c r="B140" s="2" t="n">
        <v>7</v>
      </c>
      <c r="C140" s="2" t="inlineStr">
        <is>
          <t>L0250254</t>
        </is>
      </c>
      <c r="D140" s="22" t="n">
        <v>0.6820000000000001</v>
      </c>
      <c r="E140" s="2" t="n">
        <v>0</v>
      </c>
      <c r="F140" s="35" t="n">
        <v>1840.53</v>
      </c>
      <c r="G140" s="35" t="n">
        <v>1697.91</v>
      </c>
      <c r="H140" s="2" t="inlineStr">
        <is>
          <t>EUR</t>
        </is>
      </c>
      <c r="I140" s="2" t="inlineStr">
        <is>
          <t>FOB</t>
        </is>
      </c>
      <c r="J140" s="2" t="n">
        <v>1</v>
      </c>
      <c r="K140" s="2" t="inlineStr">
        <is>
          <t>pieces</t>
        </is>
      </c>
      <c r="L140" s="2" t="inlineStr">
        <is>
          <t>2026-07-09</t>
        </is>
      </c>
      <c r="M140" s="2" t="inlineStr">
        <is>
          <t>90221401</t>
        </is>
      </c>
      <c r="N140" s="2" t="inlineStr">
        <is>
          <t>DEU</t>
        </is>
      </c>
      <c r="O140" s="2" t="inlineStr">
        <is>
          <t>X-ray tube</t>
        </is>
      </c>
      <c r="P140" s="2" t="n">
        <v>83</v>
      </c>
      <c r="Q140" s="36">
        <f>IF(E140=1,F140,"")</f>
        <v/>
      </c>
    </row>
    <row r="141">
      <c r="A141" s="2" t="inlineStr">
        <is>
          <t>V5</t>
        </is>
      </c>
      <c r="B141" s="2" t="n">
        <v>8</v>
      </c>
      <c r="C141" s="2" t="inlineStr">
        <is>
          <t>L0250252</t>
        </is>
      </c>
      <c r="D141" s="22" t="n">
        <v>0.6820000000000001</v>
      </c>
      <c r="E141" s="2" t="n">
        <v>0</v>
      </c>
      <c r="F141" s="35" t="n">
        <v>2099.41</v>
      </c>
      <c r="G141" s="35" t="n">
        <v>1994.83</v>
      </c>
      <c r="H141" s="2" t="inlineStr">
        <is>
          <t>EUR</t>
        </is>
      </c>
      <c r="I141" s="2" t="inlineStr">
        <is>
          <t>CIF</t>
        </is>
      </c>
      <c r="J141" s="2" t="n">
        <v>1</v>
      </c>
      <c r="K141" s="2" t="inlineStr">
        <is>
          <t>pieces</t>
        </is>
      </c>
      <c r="L141" s="2" t="inlineStr">
        <is>
          <t>2026-08-03</t>
        </is>
      </c>
      <c r="M141" s="2" t="inlineStr">
        <is>
          <t>90221401</t>
        </is>
      </c>
      <c r="N141" s="2" t="inlineStr">
        <is>
          <t>DEU</t>
        </is>
      </c>
      <c r="O141" s="2" t="inlineStr">
        <is>
          <t>X-ray tube</t>
        </is>
      </c>
      <c r="P141" s="2" t="n">
        <v>58</v>
      </c>
      <c r="Q141" s="36">
        <f>IF(E141=1,F141,"")</f>
        <v/>
      </c>
    </row>
    <row r="142">
      <c r="A142" s="2" t="inlineStr">
        <is>
          <t>V5</t>
        </is>
      </c>
      <c r="B142" s="2" t="n">
        <v>9</v>
      </c>
      <c r="C142" s="2" t="inlineStr">
        <is>
          <t>L0250253</t>
        </is>
      </c>
      <c r="D142" s="22" t="n">
        <v>0.6820000000000001</v>
      </c>
      <c r="E142" s="2" t="n">
        <v>0</v>
      </c>
      <c r="F142" s="35" t="n">
        <v>2302.41</v>
      </c>
      <c r="G142" s="35" t="n">
        <v>2302.41</v>
      </c>
      <c r="H142" s="2" t="inlineStr">
        <is>
          <t>USD</t>
        </is>
      </c>
      <c r="I142" s="2" t="inlineStr">
        <is>
          <t>FOB</t>
        </is>
      </c>
      <c r="J142" s="2" t="n">
        <v>1</v>
      </c>
      <c r="K142" s="2" t="inlineStr">
        <is>
          <t>pieces</t>
        </is>
      </c>
      <c r="L142" s="2" t="inlineStr">
        <is>
          <t>2026-09-03</t>
        </is>
      </c>
      <c r="M142" s="2" t="inlineStr">
        <is>
          <t>90221401</t>
        </is>
      </c>
      <c r="N142" s="2" t="inlineStr">
        <is>
          <t>DEU</t>
        </is>
      </c>
      <c r="O142" s="2" t="inlineStr">
        <is>
          <t>X-ray tube</t>
        </is>
      </c>
      <c r="P142" s="2" t="n">
        <v>27</v>
      </c>
      <c r="Q142" s="36">
        <f>IF(E142=1,F142,"")</f>
        <v/>
      </c>
    </row>
    <row r="143">
      <c r="A143" s="2" t="inlineStr">
        <is>
          <t>V5</t>
        </is>
      </c>
      <c r="B143" s="2" t="n">
        <v>10</v>
      </c>
      <c r="C143" s="2" t="inlineStr">
        <is>
          <t>L0250255</t>
        </is>
      </c>
      <c r="D143" s="22" t="n">
        <v>0.512</v>
      </c>
      <c r="E143" s="2" t="n">
        <v>0</v>
      </c>
      <c r="F143" s="35" t="n">
        <v>29031.17</v>
      </c>
      <c r="G143" s="35" t="n">
        <v>29031.17</v>
      </c>
      <c r="H143" s="2" t="inlineStr">
        <is>
          <t>USD</t>
        </is>
      </c>
      <c r="I143" s="2" t="inlineStr">
        <is>
          <t>FOB</t>
        </is>
      </c>
      <c r="J143" s="2" t="n">
        <v>1</v>
      </c>
      <c r="K143" s="2" t="inlineStr">
        <is>
          <t>pieces</t>
        </is>
      </c>
      <c r="L143" s="2" t="inlineStr">
        <is>
          <t>2026-08-09</t>
        </is>
      </c>
      <c r="M143" s="2" t="inlineStr">
        <is>
          <t>90221401</t>
        </is>
      </c>
      <c r="N143" s="2" t="inlineStr">
        <is>
          <t>DEU</t>
        </is>
      </c>
      <c r="O143" s="2" t="inlineStr">
        <is>
          <t>Mobile radiography unit</t>
        </is>
      </c>
      <c r="P143" s="2" t="n">
        <v>52</v>
      </c>
      <c r="Q143" s="36">
        <f>IF(E143=1,F143,"")</f>
        <v/>
      </c>
    </row>
    <row r="144">
      <c r="A144" s="2" t="inlineStr">
        <is>
          <t>V5</t>
        </is>
      </c>
      <c r="B144" s="2" t="n">
        <v>11</v>
      </c>
      <c r="C144" s="2" t="inlineStr">
        <is>
          <t>L0250256</t>
        </is>
      </c>
      <c r="D144" s="22" t="n">
        <v>0.512</v>
      </c>
      <c r="E144" s="2" t="n">
        <v>0</v>
      </c>
      <c r="F144" s="35" t="n">
        <v>31128.45</v>
      </c>
      <c r="G144" s="35" t="n">
        <v>29448.55</v>
      </c>
      <c r="H144" s="2" t="inlineStr">
        <is>
          <t>EUR</t>
        </is>
      </c>
      <c r="I144" s="2" t="inlineStr">
        <is>
          <t>CFR</t>
        </is>
      </c>
      <c r="J144" s="2" t="n">
        <v>1</v>
      </c>
      <c r="K144" s="2" t="inlineStr">
        <is>
          <t>pieces</t>
        </is>
      </c>
      <c r="L144" s="2" t="inlineStr">
        <is>
          <t>2026-08-22</t>
        </is>
      </c>
      <c r="M144" s="2" t="inlineStr">
        <is>
          <t>90221401</t>
        </is>
      </c>
      <c r="N144" s="2" t="inlineStr">
        <is>
          <t>DEU</t>
        </is>
      </c>
      <c r="O144" s="2" t="inlineStr">
        <is>
          <t>Mobile radiography unit</t>
        </is>
      </c>
      <c r="P144" s="2" t="n">
        <v>39</v>
      </c>
      <c r="Q144" s="36">
        <f>IF(E144=1,F144,"")</f>
        <v/>
      </c>
    </row>
    <row r="145">
      <c r="A145" s="2" t="inlineStr">
        <is>
          <t>V5</t>
        </is>
      </c>
      <c r="B145" s="2" t="n">
        <v>12</v>
      </c>
      <c r="C145" s="2" t="inlineStr">
        <is>
          <t>L0250259</t>
        </is>
      </c>
      <c r="D145" s="22" t="n">
        <v>0.503</v>
      </c>
      <c r="E145" s="2" t="n">
        <v>0</v>
      </c>
      <c r="F145" s="35" t="n">
        <v>10061.07</v>
      </c>
      <c r="G145" s="35" t="n">
        <v>9559.870000000001</v>
      </c>
      <c r="H145" s="2" t="inlineStr">
        <is>
          <t>EUR</t>
        </is>
      </c>
      <c r="I145" s="2" t="inlineStr">
        <is>
          <t>CIF</t>
        </is>
      </c>
      <c r="J145" s="2" t="n">
        <v>1</v>
      </c>
      <c r="K145" s="2" t="inlineStr">
        <is>
          <t>pieces</t>
        </is>
      </c>
      <c r="L145" s="2" t="inlineStr">
        <is>
          <t>2026-07-20</t>
        </is>
      </c>
      <c r="M145" s="2" t="inlineStr">
        <is>
          <t>90221401</t>
        </is>
      </c>
      <c r="N145" s="2" t="inlineStr">
        <is>
          <t>DEU</t>
        </is>
      </c>
      <c r="O145" s="2" t="inlineStr">
        <is>
          <t>Dental chair unit</t>
        </is>
      </c>
      <c r="P145" s="2" t="n">
        <v>72</v>
      </c>
      <c r="Q145" s="36">
        <f>IF(E145=1,F145,"")</f>
        <v/>
      </c>
    </row>
    <row r="146">
      <c r="A146" s="2" t="inlineStr">
        <is>
          <t>V5</t>
        </is>
      </c>
      <c r="B146" s="2" t="n">
        <v>13</v>
      </c>
      <c r="C146" s="2" t="inlineStr">
        <is>
          <t>L0250257</t>
        </is>
      </c>
      <c r="D146" s="22" t="n">
        <v>0.503</v>
      </c>
      <c r="E146" s="2" t="n">
        <v>0</v>
      </c>
      <c r="F146" s="35" t="n">
        <v>10835.71</v>
      </c>
      <c r="G146" s="35" t="n">
        <v>10295.92</v>
      </c>
      <c r="H146" s="2" t="inlineStr">
        <is>
          <t>EUR</t>
        </is>
      </c>
      <c r="I146" s="2" t="inlineStr">
        <is>
          <t>CIF</t>
        </is>
      </c>
      <c r="J146" s="2" t="n">
        <v>1</v>
      </c>
      <c r="K146" s="2" t="inlineStr">
        <is>
          <t>pieces</t>
        </is>
      </c>
      <c r="L146" s="2" t="inlineStr">
        <is>
          <t>2026-08-05</t>
        </is>
      </c>
      <c r="M146" s="2" t="inlineStr">
        <is>
          <t>90221401</t>
        </is>
      </c>
      <c r="N146" s="2" t="inlineStr">
        <is>
          <t>DEU</t>
        </is>
      </c>
      <c r="O146" s="2" t="inlineStr">
        <is>
          <t>Dental chair unit</t>
        </is>
      </c>
      <c r="P146" s="2" t="n">
        <v>56</v>
      </c>
      <c r="Q146" s="36">
        <f>IF(E146=1,F146,"")</f>
        <v/>
      </c>
    </row>
    <row r="147">
      <c r="A147" s="2" t="inlineStr">
        <is>
          <t>V5</t>
        </is>
      </c>
      <c r="B147" s="2" t="n">
        <v>14</v>
      </c>
      <c r="C147" s="2" t="inlineStr">
        <is>
          <t>L0250258</t>
        </is>
      </c>
      <c r="D147" s="22" t="n">
        <v>0.503</v>
      </c>
      <c r="E147" s="2" t="n">
        <v>0</v>
      </c>
      <c r="F147" s="35" t="n">
        <v>10292.27</v>
      </c>
      <c r="G147" s="35" t="n">
        <v>9779.559999999999</v>
      </c>
      <c r="H147" s="2" t="inlineStr">
        <is>
          <t>EUR</t>
        </is>
      </c>
      <c r="I147" s="2" t="inlineStr">
        <is>
          <t>CIF</t>
        </is>
      </c>
      <c r="J147" s="2" t="n">
        <v>1</v>
      </c>
      <c r="K147" s="2" t="inlineStr">
        <is>
          <t>pieces</t>
        </is>
      </c>
      <c r="L147" s="2" t="inlineStr">
        <is>
          <t>2026-08-08</t>
        </is>
      </c>
      <c r="M147" s="2" t="inlineStr">
        <is>
          <t>90221401</t>
        </is>
      </c>
      <c r="N147" s="2" t="inlineStr">
        <is>
          <t>DEU</t>
        </is>
      </c>
      <c r="O147" s="2" t="inlineStr">
        <is>
          <t>Dental chair unit</t>
        </is>
      </c>
      <c r="P147" s="2" t="n">
        <v>53</v>
      </c>
      <c r="Q147" s="36">
        <f>IF(E147=1,F147,"")</f>
        <v/>
      </c>
    </row>
  </sheetData>
  <pageMargins left="0.75" right="0.75" top="1" bottom="1" header="0.5" footer="0.5"/>
  <pageSetup orientation="landscape" fitToWidth="1"/>
  <headerFooter>
    <oddHeader/>
    <oddFooter>&amp;LIMF · Data and AI for Customs&amp;R&amp;P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C26"/>
  <sheetViews>
    <sheetView workbookViewId="0">
      <pane ySplit="5" topLeftCell="A6" activePane="bottomLeft" state="frozen"/>
      <selection pane="bottomLeft" activeCell="A1" sqref="A1"/>
    </sheetView>
  </sheetViews>
  <sheetFormatPr baseColWidth="8" defaultRowHeight="15"/>
  <cols>
    <col width="24" customWidth="1" min="1" max="1"/>
    <col width="90" customWidth="1" min="2" max="2"/>
    <col width="40" customWidth="1" min="3" max="3"/>
  </cols>
  <sheetData>
    <row r="1">
      <c r="A1" s="1" t="inlineStr">
        <is>
          <t>Glossary · plain words and what your analysts call them</t>
        </is>
      </c>
      <c r="B1" s="2" t="n"/>
      <c r="C1" s="2" t="n"/>
    </row>
    <row r="2">
      <c r="A2" s="15" t="inlineStr">
        <is>
          <t>The same rows as the decks and the printed glossary.</t>
        </is>
      </c>
      <c r="B2" s="2" t="n"/>
      <c r="C2" s="2" t="n"/>
    </row>
    <row r="3">
      <c r="A3" s="2" t="n"/>
      <c r="B3" s="2" t="n"/>
      <c r="C3" s="2" t="n"/>
    </row>
    <row r="4" ht="32" customHeight="1">
      <c r="A4" s="16" t="inlineStr">
        <is>
          <t>Plain words</t>
        </is>
      </c>
      <c r="B4" s="16" t="inlineStr">
        <is>
          <t>What it means</t>
        </is>
      </c>
      <c r="C4" s="16" t="inlineStr">
        <is>
          <t>Technical name</t>
        </is>
      </c>
    </row>
    <row r="5">
      <c r="A5" s="17" t="inlineStr">
        <is>
          <t>plain</t>
        </is>
      </c>
      <c r="B5" s="17" t="inlineStr">
        <is>
          <t>meaning</t>
        </is>
      </c>
      <c r="C5" s="17" t="inlineStr">
        <is>
          <t>technical</t>
        </is>
      </c>
    </row>
    <row r="6">
      <c r="A6" s="8" t="inlineStr">
        <is>
          <t>Signal</t>
        </is>
      </c>
      <c r="B6" s="38" t="inlineStr">
        <is>
          <t>One thing that looks unusual about a declaration line</t>
        </is>
      </c>
      <c r="C6" s="2" t="inlineStr">
        <is>
          <t>Feature</t>
        </is>
      </c>
    </row>
    <row r="7">
      <c r="A7" s="8" t="inlineStr">
        <is>
          <t>Peer group</t>
        </is>
      </c>
      <c r="B7" s="38" t="inlineStr">
        <is>
          <t>The lines we compare a line with: same goods, same origin, last 12 months, widened when there are too few</t>
        </is>
      </c>
      <c r="C7" s="2" t="inlineStr">
        <is>
          <t>Reference class with a fallback hierarchy</t>
        </is>
      </c>
    </row>
    <row r="8">
      <c r="A8" s="8" t="inlineStr">
        <is>
          <t>Typical value</t>
        </is>
      </c>
      <c r="B8" s="38" t="inlineStr">
        <is>
          <t>The middle value per kilo of the peer group</t>
        </is>
      </c>
      <c r="C8" s="2" t="inlineStr">
        <is>
          <t>Median unit value</t>
        </is>
      </c>
    </row>
    <row r="9">
      <c r="A9" s="8" t="inlineStr">
        <is>
          <t>Typical spread</t>
        </is>
      </c>
      <c r="B9" s="38" t="inlineStr">
        <is>
          <t>How far values usually sit from the typical value</t>
        </is>
      </c>
      <c r="C9" s="2" t="inlineStr">
        <is>
          <t>Median absolute deviation (MAD) × 1.4826, a robust standard deviation</t>
        </is>
      </c>
    </row>
    <row r="10">
      <c r="A10" s="8" t="inlineStr">
        <is>
          <t>Distance from normal</t>
        </is>
      </c>
      <c r="B10" s="38" t="inlineStr">
        <is>
          <t>How many typical spreads a line sits from the typical value</t>
        </is>
      </c>
      <c r="C10" s="2" t="inlineStr">
        <is>
          <t>Robust z-score</t>
        </is>
      </c>
    </row>
    <row r="11">
      <c r="A11" s="8" t="inlineStr">
        <is>
          <t>Own history</t>
        </is>
      </c>
      <c r="B11" s="38" t="inlineStr">
        <is>
          <t>The same importer's earlier lines in the same goods</t>
        </is>
      </c>
      <c r="C11" s="2" t="inlineStr">
        <is>
          <t>Within-entity baseline</t>
        </is>
      </c>
    </row>
    <row r="12">
      <c r="A12" s="8" t="inlineStr">
        <is>
          <t>Oddness score</t>
        </is>
      </c>
      <c r="B12" s="38" t="inlineStr">
        <is>
          <t>How few lines look like this one, on all signals together</t>
        </is>
      </c>
      <c r="C12" s="2" t="inlineStr">
        <is>
          <t>Anomaly score (isolation forest)</t>
        </is>
      </c>
    </row>
    <row r="13">
      <c r="A13" s="8" t="inlineStr">
        <is>
          <t>Learning score</t>
        </is>
      </c>
      <c r="B13" s="38" t="inlineStr">
        <is>
          <t>A score learned from past inspection results</t>
        </is>
      </c>
      <c r="C13" s="2" t="inlineStr">
        <is>
          <t>Supervised model (gradient boosting)</t>
        </is>
      </c>
    </row>
    <row r="14">
      <c r="A14" s="8" t="inlineStr">
        <is>
          <t>The three reasons</t>
        </is>
      </c>
      <c r="B14" s="38" t="inlineStr">
        <is>
          <t>The signals that pushed a line's score up</t>
        </is>
      </c>
      <c r="C14" s="2" t="inlineStr">
        <is>
          <t>Feature contributions</t>
        </is>
      </c>
    </row>
    <row r="15">
      <c r="A15" s="8" t="inlineStr">
        <is>
          <t>Outcome record</t>
        </is>
      </c>
      <c r="B15" s="38" t="inlineStr">
        <is>
          <t>What an inspection found, written down every time</t>
        </is>
      </c>
      <c r="C15" s="2" t="inlineStr">
        <is>
          <t>Label</t>
        </is>
      </c>
    </row>
    <row r="16">
      <c r="A16" s="8" t="inlineStr">
        <is>
          <t>Random draw</t>
        </is>
      </c>
      <c r="B16" s="38" t="inlineStr">
        <is>
          <t>A share of inspections chosen at random, before the rules run</t>
        </is>
      </c>
      <c r="C16" s="2" t="inlineStr">
        <is>
          <t>Exploration sample, control group</t>
        </is>
      </c>
    </row>
    <row r="17">
      <c r="A17" s="8" t="inlineStr">
        <is>
          <t>Mirror ratio</t>
        </is>
      </c>
      <c r="B17" s="38" t="inlineStr">
        <is>
          <t>What the home country recorded against what the partner says it shipped</t>
        </is>
      </c>
      <c r="C17" s="2" t="inlineStr">
        <is>
          <t>Mirror statistics, discrepancy ratio</t>
        </is>
      </c>
    </row>
    <row r="18">
      <c r="A18" s="8" t="inlineStr">
        <is>
          <t>Shipping and insurance</t>
        </is>
      </c>
      <c r="B18" s="38" t="inlineStr">
        <is>
          <t>Why the home country's imports (CIF) sit above the partner's exports (FOB)</t>
        </is>
      </c>
      <c r="C18" s="2" t="inlineStr">
        <is>
          <t>CIF/FOB margin</t>
        </is>
      </c>
    </row>
    <row r="19">
      <c r="A19" s="8" t="inlineStr">
        <is>
          <t>Residual</t>
        </is>
      </c>
      <c r="B19" s="38" t="inlineStr">
        <is>
          <t>The part of a gap left after every known explanation</t>
        </is>
      </c>
      <c r="C19" s="2" t="inlineStr">
        <is>
          <t>Unexplained discrepancy</t>
        </is>
      </c>
    </row>
    <row r="20">
      <c r="A20" s="8" t="inlineStr">
        <is>
          <t>Weight coverage</t>
        </is>
      </c>
      <c r="B20" s="38" t="inlineStr">
        <is>
          <t>The share of value that comes with a real weight</t>
        </is>
      </c>
      <c r="C20" s="2" t="inlineStr">
        <is>
          <t>Quantity coverage</t>
        </is>
      </c>
    </row>
    <row r="21">
      <c r="A21" s="8" t="inlineStr">
        <is>
          <t>Matching records</t>
        </is>
      </c>
      <c r="B21" s="38" t="inlineStr">
        <is>
          <t>Finding the same taxpayer in customs and tax files</t>
        </is>
      </c>
      <c r="C21" s="2" t="inlineStr">
        <is>
          <t>Record linkage</t>
        </is>
      </c>
    </row>
    <row r="22">
      <c r="A22" s="8" t="inlineStr">
        <is>
          <t>The dial</t>
        </is>
      </c>
      <c r="B22" s="38" t="inlineStr">
        <is>
          <t>How sure a match must be before we act on it</t>
        </is>
      </c>
      <c r="C22" s="2" t="inlineStr">
        <is>
          <t>Match threshold (precision and recall)</t>
        </is>
      </c>
    </row>
    <row r="23">
      <c r="A23" s="8" t="inlineStr">
        <is>
          <t>The four lists</t>
        </is>
      </c>
      <c r="B23" s="38" t="inlineStr">
        <is>
          <t>Where an importer lands when it fails one of four questions asked in order: not known to tax, not filing, import not in its books, sells below what it imports</t>
        </is>
      </c>
      <c r="C23" s="2" t="inlineStr">
        <is>
          <t>Rule-based segmentation</t>
        </is>
      </c>
    </row>
    <row r="24">
      <c r="A24" s="8" t="inlineStr">
        <is>
          <t>Borrowed name</t>
        </is>
      </c>
      <c r="B24" s="38" t="inlineStr">
        <is>
          <t>A tax ID used to clear goods for many unrelated consignees</t>
        </is>
      </c>
      <c r="C24" s="2" t="inlineStr">
        <is>
          <t>Nominee importing</t>
        </is>
      </c>
    </row>
    <row r="25">
      <c r="A25" s="8" t="inlineStr">
        <is>
          <t>Replica</t>
        </is>
      </c>
      <c r="B25" s="38" t="inlineStr">
        <is>
          <t>A read-only copy of the clearance system's tables, refreshed on a schedule, that analysts query instead of the live system</t>
        </is>
      </c>
      <c r="C25" s="2" t="inlineStr">
        <is>
          <t>Read replica, reporting database</t>
        </is>
      </c>
    </row>
    <row r="26">
      <c r="A26" s="8" t="inlineStr">
        <is>
          <t>Catalogue and lineage</t>
        </is>
      </c>
      <c r="B26" s="38" t="inlineStr">
        <is>
          <t>The list of every table and column with its meaning, source system and refresh; and, for every computed number, the inputs and the time window it came from</t>
        </is>
      </c>
      <c r="C26" s="2" t="inlineStr">
        <is>
          <t>Data catalogue, data lineage</t>
        </is>
      </c>
    </row>
  </sheetData>
  <pageMargins left="0.75" right="0.75" top="1" bottom="1" header="0.5" footer="0.5"/>
  <pageSetup orientation="landscape" fitToWidth="1"/>
  <headerFooter>
    <oddHeader/>
    <oddFooter>&amp;LIMF · Data and AI for Customs&amp;R&amp;P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IMF - Data and AI for Customs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IMF - Data and AI for Customs</cp:lastModifiedBy>
</cp:coreProperties>
</file>