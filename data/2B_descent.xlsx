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Invoices" sheetId="5" state="visible" r:id="rId5"/>
    <sheet xmlns:r="http://schemas.openxmlformats.org/officeDocument/2006/relationships" name="Neighbours" sheetId="6" state="visible" r:id="rId6"/>
    <sheet xmlns:r="http://schemas.openxmlformats.org/officeDocument/2006/relationships" name="Glossary"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0" fontId="5" fillId="3" borderId="0" pivotButton="0" quotePrefix="0" xfId="0"/>
    <xf numFmtId="0" fontId="7" fillId="5" borderId="0" pivotButton="0" quotePrefix="0" xfId="0"/>
    <xf numFmtId="164" fontId="7" fillId="5" borderId="0" pivotButton="0" quotePrefix="0" xfId="0"/>
    <xf numFmtId="2" fontId="7" fillId="5"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4" fontId="7" fillId="5" borderId="0" pivotButton="0" quotePrefix="0" xfId="0"/>
    <xf numFmtId="9" fontId="7" fillId="5" borderId="0" pivotButton="0" quotePrefix="0" xfId="0"/>
    <xf numFmtId="4" fontId="7" fillId="0" borderId="0" pivotButton="0" quotePrefix="0" xfId="0"/>
    <xf numFmtId="9" fontId="7" fillId="0" borderId="0" pivotButton="0" quotePrefix="0" xfId="0"/>
    <xf numFmtId="0" fontId="3" fillId="4"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the invoices with their extracts, on the Data page.</t>
        </is>
      </c>
      <c r="B6" s="2" t="n"/>
    </row>
    <row r="7">
      <c r="A7" s="2" t="n"/>
      <c r="B7" s="2" t="n"/>
    </row>
    <row r="8">
      <c r="A8" s="5" t="inlineStr">
        <is>
          <t>Sprint 1 · Macro: the corridor</t>
        </is>
      </c>
      <c r="B8" s="6" t="n"/>
    </row>
    <row r="9">
      <c r="A9" s="7" t="inlineStr">
        <is>
          <t>What you do</t>
        </is>
      </c>
      <c r="B9" s="4" t="inlineStr">
        <is>
          <t>Remove shipping, timing and the hub from each of the 24 corridors, and name the one worth descending into.</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until the known explanations are taken out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by expected to read it as a share. Read the weight ratio beside it: far from 1 means a data question first. Where: Corridors.</t>
        </is>
      </c>
    </row>
    <row r="13" ht="45" customHeight="1">
      <c r="A13" s="7" t="inlineStr">
        <is>
          <t>Step 2 · Read the 24 residual shares</t>
        </is>
      </c>
      <c r="B13" s="4" t="inlineStr">
        <is>
          <t>Sorted, the table shows which corridors keep a gap after every known explanation. The grey columns recompute the bridge for every corridor. Read the series shape: persistent, growing, a spike, or new. Read the flags: a partner that does not report, estimated weights, a hub, a recode. Where: Corridors.</t>
        </is>
      </c>
    </row>
    <row r="14" ht="60" customHeight="1">
      <c r="A14" s="7" t="inlineStr">
        <is>
          <t>Step 3 · Bin every corridor and name one</t>
        </is>
      </c>
      <c r="B14" s="4" t="inlineStr">
        <is>
          <t>Only an unexplained residual is worth an officer's time; the rest is explained or is a data question. Explained: the known explanations close the gap, or the goods are duty-free. Needs better data: the partner does not report, the weights are estimated, the chapter was recoded. Investigate: a residual that survives, with a first check named. Name one corridor to descend into. Never an importer at this gate. Where: Corridors.</t>
        </is>
      </c>
    </row>
    <row r="15" ht="60" customHeight="1">
      <c r="A15" s="7" t="inlineStr">
        <is>
          <t>The worked case, talked through</t>
        </is>
      </c>
      <c r="B15" s="4" t="inlineStr">
        <is>
          <t>Take the plastics corridor. The partner says it exported 120 million dollars; shipping and insurance add 8 %, so we should see 129.6 at home. We recorded 70. Goods in transit at the year end explain 6 more, and 12 more were recorded under the hub: 70 + 6 + 12 = 88 accounted for. 129.6 − 88 = 41.6 is left unexplained: 41.6 ÷ 129.6 = 32 %. The weight ratio is 1.0, so the weights agree: this is a price question.</t>
        </is>
      </c>
    </row>
    <row r="16">
      <c r="A16" s="7" t="inlineStr">
        <is>
          <t>Lock · what the data says</t>
        </is>
      </c>
      <c r="B16" s="4" t="inlineStr">
        <is>
          <t>The 24 residual shares after shipping, timing and the hub.</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Naming an importer at this gate. Forgetting the weight ratio.</t>
        </is>
      </c>
    </row>
    <row r="20">
      <c r="A20" s="2" t="n"/>
      <c r="B20" s="2" t="n"/>
    </row>
    <row r="21">
      <c r="A21" s="5" t="inlineStr">
        <is>
          <t>Sprint 2 · Micro: the importers</t>
        </is>
      </c>
      <c r="B21" s="6" t="n"/>
    </row>
    <row r="22">
      <c r="A22" s="7" t="inlineStr">
        <is>
          <t>What you do</t>
        </is>
      </c>
      <c r="B22" s="4" t="inlineStr">
        <is>
          <t>Rank the corridor's importers by what explains the residual,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and the importer who looks cheapest is sometimes the honest one.</t>
        </is>
      </c>
    </row>
    <row r="25" ht="45" customHeight="1">
      <c r="A25" s="7" t="inlineStr">
        <is>
          <t>Step 1 · Compute the five largest contributors' share by hand</t>
        </is>
      </c>
      <c r="B25" s="4" t="inlineStr">
        <is>
          <t>If five names carry most of the residual, five files are where the work is. Each importer's contribution = the sum over its lines of (typical value − value per kilo) × kilos, counting only lines below the typical value. Its residual share = its contribution ÷ the corridor's total. Add the shares of ranks 1 to 5. Where: Importers.</t>
        </is>
      </c>
    </row>
    <row r="26" ht="75" customHeight="1">
      <c r="A26" s="7" t="inlineStr">
        <is>
          <t>Step 2 · Read the six fingerprints</t>
        </is>
      </c>
      <c r="B26" s="4" t="inlineStr">
        <is>
          <t>A price alone is a weak reason; a price with a broker, an office or a pattern of months is a case. New: first line less than twelve months old. Broker: the main broker is shared with another importer of the corridor. Bunching: half or more of the lines priced just under the old reference threshold. Alternating: the monthly price swings above and below its own middle, month after month. Office: most lines pass an office that rarely controls. Price: the value-weighted price sits more than 15 % below the peers. Where: Importers.</t>
        </is>
      </c>
    </row>
    <row r="27" ht="45" customHeight="1">
      <c r="A27" s="7" t="inlineStr">
        <is>
          <t>Step 3 · Pick five, and the one never to open</t>
        </is>
      </c>
      <c r="B27" s="4" t="inlineStr">
        <is>
          <t>A reason code is what an officer can say to the trader; a rank is not. Five importers, a reason code each: new, broker, bunching, alternating, office, price. The one never to open: low on price alone, steady against itself, nothing else firing: a lower grade or a contracted discount. Where: Importers.</t>
        </is>
      </c>
    </row>
    <row r="28" ht="60" customHeight="1">
      <c r="A28" s="7" t="inlineStr">
        <is>
          <t>The worked case, talked through</t>
        </is>
      </c>
      <c r="B28" s="4" t="inlineStr">
        <is>
          <t>Sort the Importers sheet by residual share; it already is. Rank 1 carries 22.6 %, rank 2 11.9 %, then 7.9, 7.9 and 6.2. Added up, the five largest carry 56 % of the corridor's residual. (The deck's example reads about three quarters; in this world the residual is spread wider.) Rank 1 shares its broker with another importer of the corridor: that is its reason code, not its price.</t>
        </is>
      </c>
    </row>
    <row r="29">
      <c r="A29" s="7" t="inlineStr">
        <is>
          <t>Lock · what the data says</t>
        </is>
      </c>
      <c r="B29" s="4" t="inlineStr">
        <is>
          <t>The ranked table of importers with their six fingerprints.</t>
        </is>
      </c>
    </row>
    <row r="30">
      <c r="A30" s="7" t="inlineStr">
        <is>
          <t>Lock · what we decide</t>
        </is>
      </c>
      <c r="B30" s="4" t="inlineStr">
        <is>
          <t>Five importer ids with a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only: it misses the office and the broker. Putting the honest lower-grade importer among the five.</t>
        </is>
      </c>
    </row>
    <row r="33">
      <c r="A33" s="2" t="n"/>
      <c r="B33" s="2" t="n"/>
    </row>
    <row r="34">
      <c r="A34" s="5" t="inlineStr">
        <is>
          <t>Sprint 3 · Document: the invoice line</t>
        </is>
      </c>
      <c r="B34" s="6" t="n"/>
    </row>
    <row r="35">
      <c r="A35" s="7" t="inlineStr">
        <is>
          <t>What you do</t>
        </is>
      </c>
      <c r="B35" s="4" t="inlineStr">
        <is>
          <t>Read one invoice line against its neighbours' range and the invoice's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60" customHeight="1">
      <c r="A38" s="7" t="inlineStr">
        <is>
          <t>Step 1 · Compute the range by hand</t>
        </is>
      </c>
      <c r="B38" s="4" t="inlineStr">
        <is>
          <t>Thirty similar accepted lines give a range; the declared price sits somewhere against it.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60" customHeight="1">
      <c r="A39" s="7" t="inlineStr">
        <is>
          <t>Step 2 · Read what the document reader found</t>
        </is>
      </c>
      <c r="B39" s="4" t="inlineStr">
        <is>
          <t>The perimeter of a price (who sells, what is included, on what basis) changes what the price means. Related party: a price between associated companies is not a market price by itself. Royalty clause: a payment outside the invoice belongs in the value. Discount: what was taken off, and why. Incoterm on the invoice against the one declared: EXW declared as FOB moves the basis. Where: Invoices.</t>
        </is>
      </c>
    </row>
    <row r="40" ht="60" customHeight="1">
      <c r="A40" s="7" t="inlineStr">
        <is>
          <t>Step 3 · Decide the step</t>
        </is>
      </c>
      <c r="B40" s="4" t="inlineStr">
        <is>
          <t>The procedure gives three honest answers; the field that decided is what you write to the importer. Question through the valuation procedure: when the price sits under the middle half and a perimeter field explains why. Indicator only: when the price is low but nothing on the perimeter speaks. Nothing: inside the range, or too few neighbours to carry a question. Where: Invoices.</t>
        </is>
      </c>
    </row>
    <row r="41" ht="75" customHeight="1">
      <c r="A41" s="7" t="inlineStr">
        <is>
          <t>The worked case, talked through</t>
        </is>
      </c>
      <c r="B41" s="4" t="inlineStr">
        <is>
          <t>Take the solar panels: declared at 61 dollars a piece, FOB. Of the 30 nearest accepted lines, 27 pass the floor of 0.85. Their median is 74; the middle half runs from 66 to 83. 61 ÷ 74 = 82 % of the median, and 1.6 spreads below it: under the middle half. The reader found a related party (0.93 sure), a royalty clause (0.88), a 12 % discount (0.97) and EXW on the invoice where FOB was declared (0.95). That is a question through the procedure, and the field that decides is the related party.</t>
        </is>
      </c>
    </row>
    <row r="42">
      <c r="A42" s="7" t="inlineStr">
        <is>
          <t>Lock · what the data says</t>
        </is>
      </c>
      <c r="B42" s="4" t="inlineStr">
        <is>
          <t>The range of the 30 neighbours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against FOB.</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table of what is left unexplained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for each corridor, and a first check for each one marked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look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(one sentence)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new / broker / bunching / alternating / office / price</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importer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One sentence saying the range is never a value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U34"/>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2" customWidth="1" min="6" max="6"/>
    <col width="7" customWidth="1" min="7" max="7"/>
    <col width="12" customWidth="1" min="8" max="8"/>
    <col width="12" customWidth="1" min="9" max="9"/>
    <col width="8" customWidth="1" min="10" max="10"/>
    <col width="8" customWidth="1" min="11" max="11"/>
    <col width="12" customWidth="1" min="12" max="12"/>
    <col width="10" customWidth="1" min="13" max="13"/>
    <col width="10" customWidth="1" min="14" max="14"/>
    <col width="9" customWidth="1" min="15" max="15"/>
    <col width="8" customWidth="1" min="16" max="16"/>
    <col width="11" customWidth="1" min="17" max="17"/>
    <col width="36" customWidth="1" min="18" max="18"/>
    <col width="40" customWidth="1" min="19" max="19"/>
    <col width="16" customWidth="1" min="20" max="20"/>
    <col width="30" customWidth="1" min="21" max="21"/>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row>
    <row r="2">
      <c r="A2" s="3" t="inlineStr">
        <is>
          <t>A gap is a question, not a verdict. Yellow: your bin and your first check. Grey: the bridge, recomputed for every corridor.</t>
        </is>
      </c>
      <c r="B2" s="2" t="n"/>
      <c r="C2" s="2" t="n"/>
      <c r="D2" s="2" t="n"/>
      <c r="E2" s="2" t="n"/>
      <c r="F2" s="2" t="n"/>
      <c r="G2" s="2" t="n"/>
      <c r="H2" s="2" t="n"/>
      <c r="I2" s="2" t="n"/>
      <c r="J2" s="2" t="n"/>
      <c r="K2" s="2" t="n"/>
      <c r="L2" s="2" t="n"/>
      <c r="M2" s="2" t="n"/>
      <c r="N2" s="2" t="n"/>
      <c r="O2" s="2" t="n"/>
      <c r="P2" s="2" t="n"/>
      <c r="Q2" s="2" t="n"/>
      <c r="R2" s="2" t="n"/>
      <c r="S2" s="2" t="n"/>
      <c r="T2" s="2" t="n"/>
      <c r="U2" s="2" t="n"/>
    </row>
    <row r="3">
      <c r="A3" s="2" t="n"/>
      <c r="B3" s="2" t="n"/>
      <c r="C3" s="2" t="n"/>
      <c r="D3" s="2" t="n"/>
      <c r="E3" s="2" t="n"/>
      <c r="F3" s="2" t="n"/>
      <c r="G3" s="2" t="n"/>
      <c r="H3" s="2" t="n"/>
      <c r="I3" s="2" t="n"/>
      <c r="J3" s="2" t="n"/>
      <c r="K3" s="2" t="n"/>
      <c r="L3" s="2" t="n"/>
      <c r="M3" s="2" t="n"/>
      <c r="N3" s="2" t="n"/>
      <c r="O3" s="2" t="n"/>
      <c r="P3" s="2" t="n"/>
      <c r="Q3" s="2" t="n"/>
      <c r="R3" s="2" t="n"/>
      <c r="S3" s="2" t="n"/>
      <c r="T3" s="2" t="n"/>
      <c r="U3" s="2" t="n"/>
    </row>
    <row r="4" ht="46" customHeight="1">
      <c r="A4" s="4" t="inlineStr">
        <is>
          <t>How the bridge was computed: expected at home = the partner's exports × (1 + the shipping and insurance wedge). Accounted for = recorded at home + timing (goods in transit at the year end) + what we recorded under the hub. What is left unexplained (the residual) = expected − accounted for; its share = residual ÷ expected.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row>
    <row r="5">
      <c r="A5" s="2" t="n"/>
      <c r="B5" s="2" t="n"/>
      <c r="C5" s="2" t="n"/>
      <c r="D5" s="2" t="n"/>
      <c r="E5" s="2" t="n"/>
      <c r="F5" s="2" t="n"/>
      <c r="G5" s="2" t="n"/>
      <c r="H5" s="2" t="n"/>
      <c r="I5" s="2" t="n"/>
      <c r="J5" s="2" t="n"/>
      <c r="K5" s="2" t="n"/>
      <c r="L5" s="2" t="n"/>
      <c r="M5" s="2" t="n"/>
      <c r="N5" s="2" t="n"/>
      <c r="O5" s="2" t="n"/>
      <c r="P5" s="2" t="n"/>
      <c r="Q5" s="2" t="n"/>
      <c r="R5" s="2" t="n"/>
      <c r="S5" s="2" t="n"/>
      <c r="T5" s="2" t="n"/>
      <c r="U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t>
        </is>
      </c>
      <c r="J6" s="15" t="inlineStr">
        <is>
          <t>timing</t>
        </is>
      </c>
      <c r="K6" s="15" t="inlineStr">
        <is>
          <t>hub</t>
        </is>
      </c>
      <c r="L6" s="15" t="inlineStr">
        <is>
          <t>accounted for</t>
        </is>
      </c>
      <c r="M6" s="15" t="inlineStr">
        <is>
          <t>left unexplained</t>
        </is>
      </c>
      <c r="N6" s="15" t="inlineStr">
        <is>
          <t>share unexplained</t>
        </is>
      </c>
      <c r="O6" s="15" t="inlineStr">
        <is>
          <t>weight ratio</t>
        </is>
      </c>
      <c r="P6" s="15" t="inlineStr">
        <is>
          <t>partner reports</t>
        </is>
      </c>
      <c r="Q6" s="15" t="inlineStr">
        <is>
          <t>series shape</t>
        </is>
      </c>
      <c r="R6" s="15" t="inlineStr">
        <is>
          <t>pre-checks (flags)</t>
        </is>
      </c>
      <c r="S6" s="15" t="inlineStr">
        <is>
          <t>note</t>
        </is>
      </c>
      <c r="T6" s="15" t="inlineStr">
        <is>
          <t>bin</t>
        </is>
      </c>
      <c r="U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residual_share</t>
        </is>
      </c>
      <c r="O7" s="16" t="inlineStr">
        <is>
          <t>weight_ratio</t>
        </is>
      </c>
      <c r="P7" s="16" t="inlineStr">
        <is>
          <t>partner_reports</t>
        </is>
      </c>
      <c r="Q7" s="16" t="inlineStr">
        <is>
          <t>series_shape</t>
        </is>
      </c>
      <c r="R7" s="16" t="inlineStr">
        <is>
          <t>flags</t>
        </is>
      </c>
      <c r="S7" s="16" t="inlineStr">
        <is>
          <t>note</t>
        </is>
      </c>
      <c r="T7" s="16" t="inlineStr">
        <is>
          <t>bin</t>
        </is>
      </c>
      <c r="U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1</v>
      </c>
      <c r="P8" s="2" t="n">
        <v>1</v>
      </c>
      <c r="Q8" s="2" t="inlineStr">
        <is>
          <t>persistent</t>
        </is>
      </c>
      <c r="R8" s="2" t="inlineStr"/>
      <c r="S8" s="2" t="inlineStr"/>
      <c r="T8" s="22" t="n"/>
      <c r="U8" s="22"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v>
      </c>
      <c r="P9" s="2" t="n">
        <v>1</v>
      </c>
      <c r="Q9" s="2" t="inlineStr">
        <is>
          <t>growing</t>
        </is>
      </c>
      <c r="R9" s="2" t="inlineStr"/>
      <c r="S9" s="2" t="inlineStr"/>
      <c r="T9" s="22" t="n"/>
      <c r="U9" s="22"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1</v>
      </c>
      <c r="P10" s="2" t="n">
        <v>1</v>
      </c>
      <c r="Q10" s="2" t="inlineStr">
        <is>
          <t>persistent</t>
        </is>
      </c>
      <c r="R10" s="2" t="inlineStr"/>
      <c r="S10" s="2" t="inlineStr"/>
      <c r="T10" s="22" t="n"/>
      <c r="U10" s="22" t="n"/>
    </row>
    <row r="11">
      <c r="A11" s="23" t="inlineStr">
        <is>
          <t>CHN-39</t>
        </is>
      </c>
      <c r="B11" s="2" t="inlineStr">
        <is>
          <t>CHN</t>
        </is>
      </c>
      <c r="C11" s="2" t="inlineStr">
        <is>
          <t>39</t>
        </is>
      </c>
      <c r="D11" s="2" t="inlineStr">
        <is>
          <t>Plastics</t>
        </is>
      </c>
      <c r="E11" s="2" t="n">
        <v>2025</v>
      </c>
      <c r="F11" s="24" t="n">
        <v>120</v>
      </c>
      <c r="G11" s="25" t="n">
        <v>0.08</v>
      </c>
      <c r="H11" s="19">
        <f>IF(F11="","",F11*(1+G11))</f>
        <v/>
      </c>
      <c r="I11" s="24" t="n">
        <v>70</v>
      </c>
      <c r="J11" s="24" t="n">
        <v>6</v>
      </c>
      <c r="K11" s="24" t="n">
        <v>12</v>
      </c>
      <c r="L11" s="19">
        <f>IF(F11="","",I11+N(J11)+N(K11))</f>
        <v/>
      </c>
      <c r="M11" s="19">
        <f>IF(F11="","",H11-L11)</f>
        <v/>
      </c>
      <c r="N11" s="20">
        <f>IF(F11="","",M11/H11)</f>
        <v/>
      </c>
      <c r="O11" s="21" t="n">
        <v>1</v>
      </c>
      <c r="P11" s="2" t="n">
        <v>1</v>
      </c>
      <c r="Q11" s="2" t="inlineStr">
        <is>
          <t>spike</t>
        </is>
      </c>
      <c r="R11" s="2" t="inlineStr"/>
      <c r="S11" s="2" t="inlineStr">
        <is>
          <t>no FOB field on the home side: use the chapter wedge</t>
        </is>
      </c>
      <c r="T11" s="22" t="n"/>
      <c r="U11" s="22" t="n"/>
    </row>
    <row r="12">
      <c r="A12" s="2" t="inlineStr">
        <is>
          <t>MYS-87</t>
        </is>
      </c>
      <c r="B12" s="2" t="inlineStr">
        <is>
          <t>MYS</t>
        </is>
      </c>
      <c r="C12" s="2" t="inlineStr">
        <is>
          <t>87</t>
        </is>
      </c>
      <c r="D12" s="2" t="inlineStr">
        <is>
          <t>Vehicles and parts</t>
        </is>
      </c>
      <c r="E12" s="2" t="n">
        <v>2025</v>
      </c>
      <c r="F12" s="17" t="n">
        <v>27</v>
      </c>
      <c r="G12" s="18" t="n">
        <v>0.06</v>
      </c>
      <c r="H12" s="19">
        <f>IF(F12="","",F12*(1+G12))</f>
        <v/>
      </c>
      <c r="I12" s="17" t="n">
        <v>27.5</v>
      </c>
      <c r="J12" s="17" t="n">
        <v>0.1</v>
      </c>
      <c r="K12" s="17" t="n">
        <v>0</v>
      </c>
      <c r="L12" s="19">
        <f>IF(F12="","",I12+N(J12)+N(K12))</f>
        <v/>
      </c>
      <c r="M12" s="19">
        <f>IF(F12="","",H12-L12)</f>
        <v/>
      </c>
      <c r="N12" s="20">
        <f>IF(F12="","",M12/H12)</f>
        <v/>
      </c>
      <c r="O12" s="21" t="n">
        <v>1</v>
      </c>
      <c r="P12" s="2" t="n">
        <v>1</v>
      </c>
      <c r="Q12" s="2" t="inlineStr">
        <is>
          <t>new</t>
        </is>
      </c>
      <c r="R12" s="2" t="inlineStr"/>
      <c r="S12" s="2" t="inlineStr">
        <is>
          <t>corridor appears in the last two years; no history to compare</t>
        </is>
      </c>
      <c r="T12" s="22" t="n"/>
      <c r="U12" s="22"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1</v>
      </c>
      <c r="P13" s="2" t="n">
        <v>1</v>
      </c>
      <c r="Q13" s="2" t="inlineStr">
        <is>
          <t>normal</t>
        </is>
      </c>
      <c r="R13" s="2" t="inlineStr"/>
      <c r="S13" s="2" t="inlineStr"/>
      <c r="T13" s="22" t="n"/>
      <c r="U13" s="22"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1</v>
      </c>
      <c r="P14" s="2" t="n">
        <v>1</v>
      </c>
      <c r="Q14" s="2" t="inlineStr">
        <is>
          <t>normal</t>
        </is>
      </c>
      <c r="R14" s="2" t="inlineStr"/>
      <c r="S14" s="2" t="inlineStr"/>
      <c r="T14" s="22" t="n"/>
      <c r="U14" s="22" t="n"/>
    </row>
    <row r="15">
      <c r="A15" s="2" t="inlineStr">
        <is>
          <t>MYS-72</t>
        </is>
      </c>
      <c r="B15" s="2" t="inlineStr">
        <is>
          <t>MYS</t>
        </is>
      </c>
      <c r="C15" s="2" t="inlineStr">
        <is>
          <t>72</t>
        </is>
      </c>
      <c r="D15" s="2" t="inlineStr">
        <is>
          <t>Iron and steel</t>
        </is>
      </c>
      <c r="E15" s="2" t="n">
        <v>2025</v>
      </c>
      <c r="F15" s="17" t="n">
        <v>37.3</v>
      </c>
      <c r="G15" s="18" t="n">
        <v>0.11</v>
      </c>
      <c r="H15" s="19">
        <f>IF(F15="","",F15*(1+G15))</f>
        <v/>
      </c>
      <c r="I15" s="17" t="n">
        <v>41.2</v>
      </c>
      <c r="J15" s="17" t="n">
        <v>0</v>
      </c>
      <c r="K15" s="17" t="n">
        <v>0</v>
      </c>
      <c r="L15" s="19">
        <f>IF(F15="","",I15+N(J15)+N(K15))</f>
        <v/>
      </c>
      <c r="M15" s="19">
        <f>IF(F15="","",H15-L15)</f>
        <v/>
      </c>
      <c r="N15" s="20">
        <f>IF(F15="","",M15/H15)</f>
        <v/>
      </c>
      <c r="O15" s="21" t="n">
        <v>0.825</v>
      </c>
      <c r="P15" s="2" t="n">
        <v>1</v>
      </c>
      <c r="Q15" s="2" t="inlineStr">
        <is>
          <t>normal</t>
        </is>
      </c>
      <c r="R15" s="2" t="inlineStr">
        <is>
          <t>the weights are missing or the weight ratio is far from 1</t>
        </is>
      </c>
      <c r="S15" s="2" t="inlineStr">
        <is>
          <t>partner weights estimated from value (Comtrade convention)</t>
        </is>
      </c>
      <c r="T15" s="22" t="n"/>
      <c r="U15" s="22" t="n"/>
    </row>
    <row r="16">
      <c r="A16" s="2" t="inlineStr">
        <is>
          <t>MYS-85</t>
        </is>
      </c>
      <c r="B16" s="2" t="inlineStr">
        <is>
          <t>MYS</t>
        </is>
      </c>
      <c r="C16" s="2" t="inlineStr">
        <is>
          <t>85</t>
        </is>
      </c>
      <c r="D16" s="2" t="inlineStr">
        <is>
          <t>Electrical machinery</t>
        </is>
      </c>
      <c r="E16" s="2" t="n">
        <v>2025</v>
      </c>
      <c r="F16" s="17" t="n">
        <v>87.3</v>
      </c>
      <c r="G16" s="18" t="n">
        <v>0.03</v>
      </c>
      <c r="H16" s="19">
        <f>IF(F16="","",F16*(1+G16))</f>
        <v/>
      </c>
      <c r="I16" s="17" t="n">
        <v>90.2</v>
      </c>
      <c r="J16" s="17" t="n">
        <v>0.2</v>
      </c>
      <c r="K16" s="17" t="n">
        <v>0</v>
      </c>
      <c r="L16" s="19">
        <f>IF(F16="","",I16+N(J16)+N(K16))</f>
        <v/>
      </c>
      <c r="M16" s="19">
        <f>IF(F16="","",H16-L16)</f>
        <v/>
      </c>
      <c r="N16" s="20">
        <f>IF(F16="","",M16/H16)</f>
        <v/>
      </c>
      <c r="O16" s="21" t="n">
        <v>1</v>
      </c>
      <c r="P16" s="2" t="n">
        <v>1</v>
      </c>
      <c r="Q16" s="2" t="inlineStr">
        <is>
          <t>normal</t>
        </is>
      </c>
      <c r="R16" s="2" t="inlineStr"/>
      <c r="S16" s="2" t="inlineStr">
        <is>
          <t>chapter totals agree; within the chapter, value moves between headings</t>
        </is>
      </c>
      <c r="T16" s="22" t="n"/>
      <c r="U16" s="22" t="n"/>
    </row>
    <row r="17">
      <c r="A17" s="2" t="inlineStr">
        <is>
          <t>MYS-33</t>
        </is>
      </c>
      <c r="B17" s="2" t="inlineStr">
        <is>
          <t>MYS</t>
        </is>
      </c>
      <c r="C17" s="2" t="inlineStr">
        <is>
          <t>33</t>
        </is>
      </c>
      <c r="D17" s="2" t="inlineStr">
        <is>
          <t>Cosmetics and perfumery</t>
        </is>
      </c>
      <c r="E17" s="2" t="n">
        <v>2025</v>
      </c>
      <c r="F17" s="17" t="n">
        <v>11.8</v>
      </c>
      <c r="G17" s="18" t="n">
        <v>0.05</v>
      </c>
      <c r="H17" s="19">
        <f>IF(F17="","",F17*(1+G17))</f>
        <v/>
      </c>
      <c r="I17" s="17" t="n">
        <v>12.6</v>
      </c>
      <c r="J17" s="17" t="n">
        <v>0.1</v>
      </c>
      <c r="K17" s="17" t="n">
        <v>0</v>
      </c>
      <c r="L17" s="19">
        <f>IF(F17="","",I17+N(J17)+N(K17))</f>
        <v/>
      </c>
      <c r="M17" s="19">
        <f>IF(F17="","",H17-L17)</f>
        <v/>
      </c>
      <c r="N17" s="20">
        <f>IF(F17="","",M17/H17)</f>
        <v/>
      </c>
      <c r="O17" s="21" t="n">
        <v>1</v>
      </c>
      <c r="P17" s="2" t="n">
        <v>1</v>
      </c>
      <c r="Q17" s="2" t="inlineStr">
        <is>
          <t>normal</t>
        </is>
      </c>
      <c r="R17" s="2" t="inlineStr">
        <is>
          <t>the series is broken by a recode</t>
        </is>
      </c>
      <c r="S17" s="2" t="inlineStr"/>
      <c r="T17" s="22" t="n"/>
      <c r="U17" s="22" t="n"/>
    </row>
    <row r="18">
      <c r="A18" s="2" t="inlineStr">
        <is>
          <t>MYS-61</t>
        </is>
      </c>
      <c r="B18" s="2" t="inlineStr">
        <is>
          <t>MYS</t>
        </is>
      </c>
      <c r="C18" s="2" t="inlineStr">
        <is>
          <t>61</t>
        </is>
      </c>
      <c r="D18" s="2" t="inlineStr">
        <is>
          <t>Apparel, knitted</t>
        </is>
      </c>
      <c r="E18" s="2" t="n">
        <v>2025</v>
      </c>
      <c r="F18" s="17" t="n">
        <v>2</v>
      </c>
      <c r="G18" s="18" t="n">
        <v>0.05</v>
      </c>
      <c r="H18" s="19">
        <f>IF(F18="","",F18*(1+G18))</f>
        <v/>
      </c>
      <c r="I18" s="17" t="n">
        <v>2.2</v>
      </c>
      <c r="J18" s="17" t="n">
        <v>0</v>
      </c>
      <c r="K18" s="17" t="n">
        <v>0</v>
      </c>
      <c r="L18" s="19">
        <f>IF(F18="","",I18+N(J18)+N(K18))</f>
        <v/>
      </c>
      <c r="M18" s="19">
        <f>IF(F18="","",H18-L18)</f>
        <v/>
      </c>
      <c r="N18" s="20">
        <f>IF(F18="","",M18/H18)</f>
        <v/>
      </c>
      <c r="O18" s="21" t="n">
        <v>1</v>
      </c>
      <c r="P18" s="2" t="n">
        <v>1</v>
      </c>
      <c r="Q18" s="2" t="inlineStr">
        <is>
          <t>normal</t>
        </is>
      </c>
      <c r="R18" s="2" t="inlineStr"/>
      <c r="S18" s="2" t="inlineStr"/>
      <c r="T18" s="22" t="n"/>
      <c r="U18" s="22" t="n"/>
    </row>
    <row r="19">
      <c r="A19" s="2" t="inlineStr">
        <is>
          <t>CHN-87</t>
        </is>
      </c>
      <c r="B19" s="2" t="inlineStr">
        <is>
          <t>CHN</t>
        </is>
      </c>
      <c r="C19" s="2" t="inlineStr">
        <is>
          <t>87</t>
        </is>
      </c>
      <c r="D19" s="2" t="inlineStr">
        <is>
          <t>Vehicles and parts</t>
        </is>
      </c>
      <c r="E19" s="2" t="n">
        <v>2025</v>
      </c>
      <c r="F19" s="17" t="n">
        <v>10.1</v>
      </c>
      <c r="G19" s="18" t="n">
        <v>0.06</v>
      </c>
      <c r="H19" s="19">
        <f>IF(F19="","",F19*(1+G19))</f>
        <v/>
      </c>
      <c r="I19" s="17" t="n">
        <v>11.1</v>
      </c>
      <c r="J19" s="17" t="n">
        <v>0</v>
      </c>
      <c r="K19" s="17" t="n">
        <v>0</v>
      </c>
      <c r="L19" s="19">
        <f>IF(F19="","",I19+N(J19)+N(K19))</f>
        <v/>
      </c>
      <c r="M19" s="19">
        <f>IF(F19="","",H19-L19)</f>
        <v/>
      </c>
      <c r="N19" s="20">
        <f>IF(F19="","",M19/H19)</f>
        <v/>
      </c>
      <c r="O19" s="21" t="n">
        <v>1</v>
      </c>
      <c r="P19" s="2" t="n">
        <v>1</v>
      </c>
      <c r="Q19" s="2" t="inlineStr">
        <is>
          <t>normal</t>
        </is>
      </c>
      <c r="R19" s="2" t="inlineStr"/>
      <c r="S19" s="2" t="inlineStr"/>
      <c r="T19" s="22" t="n"/>
      <c r="U19" s="22" t="n"/>
    </row>
    <row r="20">
      <c r="A20" s="2" t="inlineStr">
        <is>
          <t>CHN-61</t>
        </is>
      </c>
      <c r="B20" s="2" t="inlineStr">
        <is>
          <t>CHN</t>
        </is>
      </c>
      <c r="C20" s="2" t="inlineStr">
        <is>
          <t>61</t>
        </is>
      </c>
      <c r="D20" s="2" t="inlineStr">
        <is>
          <t>Apparel, knitted</t>
        </is>
      </c>
      <c r="E20" s="2" t="n">
        <v>2025</v>
      </c>
      <c r="F20" s="17" t="n">
        <v>18.1</v>
      </c>
      <c r="G20" s="18" t="n">
        <v>0.05</v>
      </c>
      <c r="H20" s="19">
        <f>IF(F20="","",F20*(1+G20))</f>
        <v/>
      </c>
      <c r="I20" s="17" t="n">
        <v>20.4</v>
      </c>
      <c r="J20" s="17" t="n">
        <v>0.1</v>
      </c>
      <c r="K20" s="17" t="n">
        <v>0</v>
      </c>
      <c r="L20" s="19">
        <f>IF(F20="","",I20+N(J20)+N(K20))</f>
        <v/>
      </c>
      <c r="M20" s="19">
        <f>IF(F20="","",H20-L20)</f>
        <v/>
      </c>
      <c r="N20" s="20">
        <f>IF(F20="","",M20/H20)</f>
        <v/>
      </c>
      <c r="O20" s="21" t="n">
        <v>1</v>
      </c>
      <c r="P20" s="2" t="n">
        <v>1</v>
      </c>
      <c r="Q20" s="2" t="inlineStr">
        <is>
          <t>normal</t>
        </is>
      </c>
      <c r="R20" s="2" t="inlineStr"/>
      <c r="S20" s="2" t="inlineStr"/>
      <c r="T20" s="22" t="n"/>
      <c r="U20" s="22" t="n"/>
    </row>
    <row r="21">
      <c r="A21" s="2" t="inlineStr">
        <is>
          <t>CHN-85</t>
        </is>
      </c>
      <c r="B21" s="2" t="inlineStr">
        <is>
          <t>CHN</t>
        </is>
      </c>
      <c r="C21" s="2" t="inlineStr">
        <is>
          <t>85</t>
        </is>
      </c>
      <c r="D21" s="2" t="inlineStr">
        <is>
          <t>Electrical machinery</t>
        </is>
      </c>
      <c r="E21" s="2" t="n">
        <v>2025</v>
      </c>
      <c r="F21" s="17" t="n">
        <v>87.09999999999999</v>
      </c>
      <c r="G21" s="18" t="n">
        <v>0.03</v>
      </c>
      <c r="H21" s="19">
        <f>IF(F21="","",F21*(1+G21))</f>
        <v/>
      </c>
      <c r="I21" s="17" t="n">
        <v>98.90000000000001</v>
      </c>
      <c r="J21" s="17" t="n">
        <v>0.1</v>
      </c>
      <c r="K21" s="17" t="n">
        <v>0</v>
      </c>
      <c r="L21" s="19">
        <f>IF(F21="","",I21+N(J21)+N(K21))</f>
        <v/>
      </c>
      <c r="M21" s="19">
        <f>IF(F21="","",H21-L21)</f>
        <v/>
      </c>
      <c r="N21" s="20">
        <f>IF(F21="","",M21/H21)</f>
        <v/>
      </c>
      <c r="O21" s="21" t="n">
        <v>1</v>
      </c>
      <c r="P21" s="2" t="n">
        <v>1</v>
      </c>
      <c r="Q21" s="2" t="inlineStr">
        <is>
          <t>normal</t>
        </is>
      </c>
      <c r="R21" s="2" t="inlineStr"/>
      <c r="S21" s="2" t="inlineStr"/>
      <c r="T21" s="22" t="n"/>
      <c r="U21" s="22"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1</v>
      </c>
      <c r="P22" s="2" t="n">
        <v>1</v>
      </c>
      <c r="Q22" s="2" t="inlineStr">
        <is>
          <t>normal</t>
        </is>
      </c>
      <c r="R22" s="2" t="inlineStr"/>
      <c r="S22" s="2" t="inlineStr"/>
      <c r="T22" s="22" t="n"/>
      <c r="U22" s="22" t="n"/>
    </row>
    <row r="23">
      <c r="A23" s="2" t="inlineStr">
        <is>
          <t>CHN-33</t>
        </is>
      </c>
      <c r="B23" s="2" t="inlineStr">
        <is>
          <t>CHN</t>
        </is>
      </c>
      <c r="C23" s="2" t="inlineStr">
        <is>
          <t>33</t>
        </is>
      </c>
      <c r="D23" s="2" t="inlineStr">
        <is>
          <t>Cosmetics and perfumery</t>
        </is>
      </c>
      <c r="E23" s="2" t="n">
        <v>2025</v>
      </c>
      <c r="F23" s="17" t="n">
        <v>9.699999999999999</v>
      </c>
      <c r="G23" s="18" t="n">
        <v>0.05</v>
      </c>
      <c r="H23" s="19">
        <f>IF(F23="","",F23*(1+G23))</f>
        <v/>
      </c>
      <c r="I23" s="17" t="n">
        <v>11.2</v>
      </c>
      <c r="J23" s="17" t="n">
        <v>0.1</v>
      </c>
      <c r="K23" s="17" t="n">
        <v>0</v>
      </c>
      <c r="L23" s="19">
        <f>IF(F23="","",I23+N(J23)+N(K23))</f>
        <v/>
      </c>
      <c r="M23" s="19">
        <f>IF(F23="","",H23-L23)</f>
        <v/>
      </c>
      <c r="N23" s="20">
        <f>IF(F23="","",M23/H23)</f>
        <v/>
      </c>
      <c r="O23" s="21" t="n">
        <v>1</v>
      </c>
      <c r="P23" s="2" t="n">
        <v>1</v>
      </c>
      <c r="Q23" s="2" t="inlineStr">
        <is>
          <t>normal</t>
        </is>
      </c>
      <c r="R23" s="2" t="inlineStr"/>
      <c r="S23" s="2" t="inlineStr"/>
      <c r="T23" s="22" t="n"/>
      <c r="U23" s="22" t="n"/>
    </row>
    <row r="24">
      <c r="A24" s="2" t="inlineStr">
        <is>
          <t>IND-87</t>
        </is>
      </c>
      <c r="B24" s="2" t="inlineStr">
        <is>
          <t>IND</t>
        </is>
      </c>
      <c r="C24" s="2" t="inlineStr">
        <is>
          <t>87</t>
        </is>
      </c>
      <c r="D24" s="2" t="inlineStr">
        <is>
          <t>Vehicles and parts</t>
        </is>
      </c>
      <c r="E24" s="2" t="n">
        <v>2025</v>
      </c>
      <c r="F24" s="17" t="n">
        <v>5.3</v>
      </c>
      <c r="G24" s="18" t="n">
        <v>0.06</v>
      </c>
      <c r="H24" s="19">
        <f>IF(F24="","",F24*(1+G24))</f>
        <v/>
      </c>
      <c r="I24" s="17" t="n">
        <v>6.3</v>
      </c>
      <c r="J24" s="17" t="n">
        <v>0</v>
      </c>
      <c r="K24" s="17" t="n">
        <v>0</v>
      </c>
      <c r="L24" s="19">
        <f>IF(F24="","",I24+N(J24)+N(K24))</f>
        <v/>
      </c>
      <c r="M24" s="19">
        <f>IF(F24="","",H24-L24)</f>
        <v/>
      </c>
      <c r="N24" s="20">
        <f>IF(F24="","",M24/H24)</f>
        <v/>
      </c>
      <c r="O24" s="21" t="n">
        <v>1.035</v>
      </c>
      <c r="P24" s="2" t="n">
        <v>1</v>
      </c>
      <c r="Q24" s="2" t="inlineStr">
        <is>
          <t>normal</t>
        </is>
      </c>
      <c r="R24" s="2" t="inlineStr"/>
      <c r="S24" s="2" t="inlineStr"/>
      <c r="T24" s="22" t="n"/>
      <c r="U24" s="22" t="n"/>
    </row>
    <row r="25">
      <c r="A25" s="2" t="inlineStr">
        <is>
          <t>IND-72</t>
        </is>
      </c>
      <c r="B25" s="2" t="inlineStr">
        <is>
          <t>IND</t>
        </is>
      </c>
      <c r="C25" s="2" t="inlineStr">
        <is>
          <t>72</t>
        </is>
      </c>
      <c r="D25" s="2" t="inlineStr">
        <is>
          <t>Iron and steel</t>
        </is>
      </c>
      <c r="E25" s="2" t="n">
        <v>2025</v>
      </c>
      <c r="F25" s="17" t="n">
        <v>41.4</v>
      </c>
      <c r="G25" s="18" t="n">
        <v>0.11</v>
      </c>
      <c r="H25" s="19">
        <f>IF(F25="","",F25*(1+G25))</f>
        <v/>
      </c>
      <c r="I25" s="17" t="n">
        <v>51.8</v>
      </c>
      <c r="J25" s="17" t="n">
        <v>0.1</v>
      </c>
      <c r="K25" s="17" t="n">
        <v>0</v>
      </c>
      <c r="L25" s="19">
        <f>IF(F25="","",I25+N(J25)+N(K25))</f>
        <v/>
      </c>
      <c r="M25" s="19">
        <f>IF(F25="","",H25-L25)</f>
        <v/>
      </c>
      <c r="N25" s="20">
        <f>IF(F25="","",M25/H25)</f>
        <v/>
      </c>
      <c r="O25" s="21" t="n">
        <v>1</v>
      </c>
      <c r="P25" s="2" t="n">
        <v>1</v>
      </c>
      <c r="Q25" s="2" t="inlineStr">
        <is>
          <t>normal</t>
        </is>
      </c>
      <c r="R25" s="2" t="inlineStr"/>
      <c r="S25" s="2" t="inlineStr"/>
      <c r="T25" s="22" t="n"/>
      <c r="U25" s="22" t="n"/>
    </row>
    <row r="26">
      <c r="A26" s="2" t="inlineStr">
        <is>
          <t>CHN-72</t>
        </is>
      </c>
      <c r="B26" s="2" t="inlineStr">
        <is>
          <t>CHN</t>
        </is>
      </c>
      <c r="C26" s="2" t="inlineStr">
        <is>
          <t>72</t>
        </is>
      </c>
      <c r="D26" s="2" t="inlineStr">
        <is>
          <t>Iron and steel</t>
        </is>
      </c>
      <c r="E26" s="2" t="n">
        <v>2025</v>
      </c>
      <c r="F26" s="17" t="n">
        <v>33.1</v>
      </c>
      <c r="G26" s="18" t="n">
        <v>0.11</v>
      </c>
      <c r="H26" s="19">
        <f>IF(F26="","",F26*(1+G26))</f>
        <v/>
      </c>
      <c r="I26" s="17" t="n">
        <v>42</v>
      </c>
      <c r="J26" s="17" t="n">
        <v>0.2</v>
      </c>
      <c r="K26" s="17" t="n">
        <v>0</v>
      </c>
      <c r="L26" s="19">
        <f>IF(F26="","",I26+N(J26)+N(K26))</f>
        <v/>
      </c>
      <c r="M26" s="19">
        <f>IF(F26="","",H26-L26)</f>
        <v/>
      </c>
      <c r="N26" s="20">
        <f>IF(F26="","",M26/H26)</f>
        <v/>
      </c>
      <c r="O26" s="21" t="n">
        <v>1</v>
      </c>
      <c r="P26" s="2" t="n">
        <v>1</v>
      </c>
      <c r="Q26" s="2" t="inlineStr">
        <is>
          <t>spike</t>
        </is>
      </c>
      <c r="R26" s="2" t="inlineStr"/>
      <c r="S26" s="2" t="inlineStr"/>
      <c r="T26" s="22" t="n"/>
      <c r="U26" s="22" t="n"/>
    </row>
    <row r="27">
      <c r="A27" s="2" t="inlineStr">
        <is>
          <t>IND-17</t>
        </is>
      </c>
      <c r="B27" s="2" t="inlineStr">
        <is>
          <t>IND</t>
        </is>
      </c>
      <c r="C27" s="2" t="inlineStr">
        <is>
          <t>17</t>
        </is>
      </c>
      <c r="D27" s="2" t="inlineStr">
        <is>
          <t>Sugar and confectionery</t>
        </is>
      </c>
      <c r="E27" s="2" t="n">
        <v>2025</v>
      </c>
      <c r="F27" s="17" t="n">
        <v>0.4</v>
      </c>
      <c r="G27" s="18" t="n">
        <v>0.08</v>
      </c>
      <c r="H27" s="19">
        <f>IF(F27="","",F27*(1+G27))</f>
        <v/>
      </c>
      <c r="I27" s="17" t="n">
        <v>0.5</v>
      </c>
      <c r="J27" s="17" t="n">
        <v>0</v>
      </c>
      <c r="K27" s="17" t="n">
        <v>0</v>
      </c>
      <c r="L27" s="19">
        <f>IF(F27="","",I27+N(J27)+N(K27))</f>
        <v/>
      </c>
      <c r="M27" s="19">
        <f>IF(F27="","",H27-L27)</f>
        <v/>
      </c>
      <c r="N27" s="20">
        <f>IF(F27="","",M27/H27)</f>
        <v/>
      </c>
      <c r="O27" s="21" t="n">
        <v>1</v>
      </c>
      <c r="P27" s="2" t="n">
        <v>1</v>
      </c>
      <c r="Q27" s="2" t="inlineStr">
        <is>
          <t>normal</t>
        </is>
      </c>
      <c r="R27" s="2" t="inlineStr"/>
      <c r="S27" s="2" t="inlineStr"/>
      <c r="T27" s="22" t="n"/>
      <c r="U27" s="22"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1</v>
      </c>
      <c r="P28" s="2" t="n">
        <v>1</v>
      </c>
      <c r="Q28" s="2" t="inlineStr">
        <is>
          <t>normal</t>
        </is>
      </c>
      <c r="R28" s="2" t="inlineStr"/>
      <c r="S28" s="2" t="inlineStr"/>
      <c r="T28" s="22" t="n"/>
      <c r="U28" s="22"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0.99</v>
      </c>
      <c r="P29" s="2" t="n">
        <v>1</v>
      </c>
      <c r="Q29" s="2" t="inlineStr">
        <is>
          <t>normal</t>
        </is>
      </c>
      <c r="R29" s="2" t="inlineStr"/>
      <c r="S29" s="2" t="inlineStr">
        <is>
          <t>goods are duty-free at home: no incentive to under-declare</t>
        </is>
      </c>
      <c r="T29" s="22" t="n"/>
      <c r="U29" s="22"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1</v>
      </c>
      <c r="P30" s="2" t="n">
        <v>1</v>
      </c>
      <c r="Q30" s="2" t="inlineStr">
        <is>
          <t>normal</t>
        </is>
      </c>
      <c r="R30" s="2" t="inlineStr"/>
      <c r="S30" s="2" t="inlineStr">
        <is>
          <t>home records origin; the partner records its exports to the hub that re-ships the goods, not to home</t>
        </is>
      </c>
      <c r="T30" s="22" t="n"/>
      <c r="U30" s="22"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v>
      </c>
      <c r="P31" s="2" t="n">
        <v>0</v>
      </c>
      <c r="Q31" s="2" t="inlineStr">
        <is>
          <t>too few years</t>
        </is>
      </c>
      <c r="R31" s="2" t="inlineStr">
        <is>
          <t>the partner does not report this chapter</t>
        </is>
      </c>
      <c r="S31" s="2" t="inlineStr">
        <is>
          <t>partner does not publish exports of this chapter</t>
        </is>
      </c>
      <c r="T31" s="22" t="n"/>
      <c r="U31" s="2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row>
    <row r="33">
      <c r="A33" s="8" t="inlineStr">
        <is>
          <t>The worked case is the highlighted corridor: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row>
    <row r="34">
      <c r="A34" s="8" t="inlineStr">
        <is>
          <t>Bin on what is left after every known explanation, never on the raw ratio. Name a corridor, never an importer, at this gate. A weight ratio far from 1 is a data question first.</t>
        </is>
      </c>
      <c r="B34" s="2" t="n"/>
      <c r="C34" s="2" t="n"/>
      <c r="D34" s="2" t="n"/>
      <c r="E34" s="2" t="n"/>
      <c r="F34" s="2" t="n"/>
      <c r="G34" s="2" t="n"/>
      <c r="H34" s="2" t="n"/>
      <c r="I34" s="2" t="n"/>
      <c r="J34" s="2" t="n"/>
      <c r="K34" s="2" t="n"/>
      <c r="L34" s="2" t="n"/>
      <c r="M34" s="2" t="n"/>
      <c r="N34" s="2" t="n"/>
      <c r="O34" s="2" t="n"/>
      <c r="P34" s="2" t="n"/>
      <c r="Q34" s="2" t="n"/>
      <c r="R34" s="2" t="n"/>
      <c r="S34" s="2" t="n"/>
      <c r="T34" s="2" t="n"/>
      <c r="U34" s="2" t="n"/>
    </row>
  </sheetData>
  <mergeCells count="1">
    <mergeCell ref="A4:U4"/>
  </mergeCells>
  <conditionalFormatting sqref="N8:N31">
    <cfRule type="dataBar" priority="1">
      <dataBar>
        <cfvo type="num" val="0"/>
        <cfvo type="num" val="0.5"/>
        <color rgb="001F6FC2"/>
      </dataBar>
    </cfRule>
  </conditionalFormatting>
  <dataValidations count="1">
    <dataValidation sqref="T8:T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F45"/>
  <sheetViews>
    <sheetView workbookViewId="0">
      <pane ySplit="7" topLeftCell="A8" activePane="bottomLeft" state="frozen"/>
      <selection pane="bottomLeft" activeCell="A1" sqref="A1"/>
    </sheetView>
  </sheetViews>
  <sheetFormatPr baseColWidth="8" defaultRowHeight="15"/>
  <cols>
    <col width="6" customWidth="1" min="1" max="1"/>
    <col width="10" customWidth="1" min="2" max="2"/>
    <col width="28" customWidth="1" min="3" max="3"/>
    <col width="6" customWidth="1" min="4" max="4"/>
    <col width="13" customWidth="1" min="5" max="5"/>
    <col width="9" customWidth="1" min="6" max="6"/>
    <col width="9" customWidth="1" min="7" max="7"/>
    <col width="11" customWidth="1" min="8" max="8"/>
    <col width="5" customWidth="1" min="9" max="9"/>
    <col width="6" customWidth="1" min="10" max="10"/>
    <col width="7" customWidth="1" min="11" max="11"/>
    <col width="7" customWidth="1" min="12" max="12"/>
    <col width="8" customWidth="1" min="13" max="13"/>
    <col width="6" customWidth="1" min="14" max="14"/>
    <col width="20" customWidth="1" min="15" max="15"/>
    <col width="9" customWidth="1" min="16" max="16"/>
    <col width="9" customWidth="1" min="17" max="17"/>
    <col width="8"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2" customWidth="1" min="31" max="31"/>
    <col width="12" customWidth="1" min="32" max="32"/>
  </cols>
  <sheetData>
    <row r="1">
      <c r="A1" s="1" t="inlineStr">
        <is>
          <t>Sprint 2 · the importers of the plastics corridor (CHN-39), ranked by their share of what is left unexplained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c r="A2" s="3" t="inlineStr">
        <is>
          <t>Six fingerprints, 1 when it fires. Twelve monthly declared values (LCU). Yellow: your five picks and the one never to open.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row>
    <row r="4" ht="60" customHeight="1">
      <c r="A4" s="4" t="inlineStr">
        <is>
          <t>How each number was computed: an importer's contribution = the sum over its lines of (typical value − value per kilo) × kilos, counting only lines below the typical value; its residual share = contribution ÷ the corridor's total. Price distance = the value-weighted share of the typical value, minus 1 (negative = below the peers). New: first line under 12 months old. Broker: the main broker is shared with another importer here. Bunching: half or more of the lines priced just under the old reference threshold. Alternating: the monthly price swings above and below its own middle month after month. Office: most lines pass an office that rarely controls.</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c r="AA5" s="2" t="n"/>
      <c r="AB5" s="2" t="n"/>
      <c r="AC5" s="2" t="n"/>
      <c r="AD5" s="2" t="n"/>
      <c r="AE5" s="2" t="n"/>
      <c r="AF5" s="2" t="n"/>
    </row>
    <row r="6" ht="32" customHeight="1">
      <c r="A6" s="15" t="inlineStr">
        <is>
          <t>rank</t>
        </is>
      </c>
      <c r="B6" s="15" t="inlineStr">
        <is>
          <t>importer</t>
        </is>
      </c>
      <c r="C6" s="15" t="inlineStr">
        <is>
          <t>name</t>
        </is>
      </c>
      <c r="D6" s="15" t="inlineStr">
        <is>
          <t>lines</t>
        </is>
      </c>
      <c r="E6" s="15" t="inlineStr">
        <is>
          <t>declared value (LCU)</t>
        </is>
      </c>
      <c r="F6" s="15" t="inlineStr">
        <is>
          <t>share of the corridor</t>
        </is>
      </c>
      <c r="G6" s="15" t="inlineStr">
        <is>
          <t>price distance</t>
        </is>
      </c>
      <c r="H6" s="15" t="inlineStr">
        <is>
          <t>share of what is left unexplained</t>
        </is>
      </c>
      <c r="I6" s="15" t="inlineStr">
        <is>
          <t>new</t>
        </is>
      </c>
      <c r="J6" s="15" t="inlineStr">
        <is>
          <t>broker</t>
        </is>
      </c>
      <c r="K6" s="15" t="inlineStr">
        <is>
          <t>shared address</t>
        </is>
      </c>
      <c r="L6" s="15" t="inlineStr">
        <is>
          <t>bunching</t>
        </is>
      </c>
      <c r="M6" s="15" t="inlineStr">
        <is>
          <t>alternating</t>
        </is>
      </c>
      <c r="N6" s="15" t="inlineStr">
        <is>
          <t>office</t>
        </is>
      </c>
      <c r="O6" s="15" t="inlineStr">
        <is>
          <t>codes</t>
        </is>
      </c>
      <c r="P6" s="15" t="inlineStr">
        <is>
          <t>main broker</t>
        </is>
      </c>
      <c r="Q6" s="15" t="inlineStr">
        <is>
          <t>main office</t>
        </is>
      </c>
      <c r="R6" s="15" t="inlineStr">
        <is>
          <t>tenure (months)</t>
        </is>
      </c>
      <c r="S6" s="15" t="inlineStr">
        <is>
          <t>month 1</t>
        </is>
      </c>
      <c r="T6" s="15" t="inlineStr">
        <is>
          <t>month 2</t>
        </is>
      </c>
      <c r="U6" s="15" t="inlineStr">
        <is>
          <t>month 3</t>
        </is>
      </c>
      <c r="V6" s="15" t="inlineStr">
        <is>
          <t>month 4</t>
        </is>
      </c>
      <c r="W6" s="15" t="inlineStr">
        <is>
          <t>month 5</t>
        </is>
      </c>
      <c r="X6" s="15" t="inlineStr">
        <is>
          <t>month 6</t>
        </is>
      </c>
      <c r="Y6" s="15" t="inlineStr">
        <is>
          <t>month 7</t>
        </is>
      </c>
      <c r="Z6" s="15" t="inlineStr">
        <is>
          <t>month 8</t>
        </is>
      </c>
      <c r="AA6" s="15" t="inlineStr">
        <is>
          <t>month 9</t>
        </is>
      </c>
      <c r="AB6" s="15" t="inlineStr">
        <is>
          <t>month 10</t>
        </is>
      </c>
      <c r="AC6" s="15" t="inlineStr">
        <is>
          <t>month 11</t>
        </is>
      </c>
      <c r="AD6" s="15" t="inlineStr">
        <is>
          <t>month 12</t>
        </is>
      </c>
      <c r="AE6" s="26" t="inlineStr">
        <is>
          <t>pick (1-5)</t>
        </is>
      </c>
      <c r="AF6" s="26" t="inlineStr">
        <is>
          <t>never open (x)</t>
        </is>
      </c>
    </row>
    <row r="7">
      <c r="A7" s="16" t="inlineStr">
        <is>
          <t>rank</t>
        </is>
      </c>
      <c r="B7" s="16" t="inlineStr">
        <is>
          <t>importer_id</t>
        </is>
      </c>
      <c r="C7" s="16" t="inlineStr">
        <is>
          <t>name</t>
        </is>
      </c>
      <c r="D7" s="16" t="inlineStr">
        <is>
          <t>lines</t>
        </is>
      </c>
      <c r="E7" s="16" t="inlineStr">
        <is>
          <t>value_lcu</t>
        </is>
      </c>
      <c r="F7" s="16" t="inlineStr">
        <is>
          <t>share_of_corridor</t>
        </is>
      </c>
      <c r="G7" s="16" t="inlineStr">
        <is>
          <t>price_distance</t>
        </is>
      </c>
      <c r="H7" s="16" t="inlineStr">
        <is>
          <t>residual_share</t>
        </is>
      </c>
      <c r="I7" s="16" t="inlineStr">
        <is>
          <t>new</t>
        </is>
      </c>
      <c r="J7" s="16" t="inlineStr">
        <is>
          <t>shared_broker</t>
        </is>
      </c>
      <c r="K7" s="16" t="inlineStr">
        <is>
          <t>shared_address</t>
        </is>
      </c>
      <c r="L7" s="16" t="inlineStr">
        <is>
          <t>bunching</t>
        </is>
      </c>
      <c r="M7" s="16" t="inlineStr">
        <is>
          <t>alternating</t>
        </is>
      </c>
      <c r="N7" s="16" t="inlineStr">
        <is>
          <t>silent_office</t>
        </is>
      </c>
      <c r="O7" s="16" t="inlineStr">
        <is>
          <t>codes</t>
        </is>
      </c>
      <c r="P7" s="16" t="inlineStr">
        <is>
          <t>main_broker</t>
        </is>
      </c>
      <c r="Q7" s="16" t="inlineStr">
        <is>
          <t>main_office</t>
        </is>
      </c>
      <c r="R7" s="16" t="inlineStr">
        <is>
          <t>tenure_months</t>
        </is>
      </c>
      <c r="S7" s="16" t="inlineStr">
        <is>
          <t>m1</t>
        </is>
      </c>
      <c r="T7" s="16" t="inlineStr">
        <is>
          <t>m2</t>
        </is>
      </c>
      <c r="U7" s="16" t="inlineStr">
        <is>
          <t>m3</t>
        </is>
      </c>
      <c r="V7" s="16" t="inlineStr">
        <is>
          <t>m4</t>
        </is>
      </c>
      <c r="W7" s="16" t="inlineStr">
        <is>
          <t>m5</t>
        </is>
      </c>
      <c r="X7" s="16" t="inlineStr">
        <is>
          <t>m6</t>
        </is>
      </c>
      <c r="Y7" s="16" t="inlineStr">
        <is>
          <t>m7</t>
        </is>
      </c>
      <c r="Z7" s="16" t="inlineStr">
        <is>
          <t>m8</t>
        </is>
      </c>
      <c r="AA7" s="16" t="inlineStr">
        <is>
          <t>m9</t>
        </is>
      </c>
      <c r="AB7" s="16" t="inlineStr">
        <is>
          <t>m10</t>
        </is>
      </c>
      <c r="AC7" s="16" t="inlineStr">
        <is>
          <t>m11</t>
        </is>
      </c>
      <c r="AD7" s="16" t="inlineStr">
        <is>
          <t>m12</t>
        </is>
      </c>
      <c r="AE7" s="27" t="inlineStr">
        <is>
          <t>pick</t>
        </is>
      </c>
      <c r="AF7" s="27" t="inlineStr">
        <is>
          <t>never_open</t>
        </is>
      </c>
    </row>
    <row r="8">
      <c r="A8" s="2" t="n">
        <v>1</v>
      </c>
      <c r="B8" s="2" t="inlineStr">
        <is>
          <t>IMP01032</t>
        </is>
      </c>
      <c r="C8" s="2" t="inlineStr">
        <is>
          <t>Pacific Distribution Partners Ltd</t>
        </is>
      </c>
      <c r="D8" s="2" t="n">
        <v>63</v>
      </c>
      <c r="E8" s="28" t="n">
        <v>30512590</v>
      </c>
      <c r="F8" s="29" t="n">
        <v>0.1714</v>
      </c>
      <c r="G8" s="21" t="n">
        <v>-0.128</v>
      </c>
      <c r="H8" s="29" t="n">
        <v>0.2256</v>
      </c>
      <c r="I8" s="2" t="n">
        <v>0</v>
      </c>
      <c r="J8" s="2" t="n">
        <v>1</v>
      </c>
      <c r="K8" s="2" t="n">
        <v>0</v>
      </c>
      <c r="L8" s="2" t="n">
        <v>0</v>
      </c>
      <c r="M8" s="2" t="n">
        <v>0</v>
      </c>
      <c r="N8" s="2" t="n">
        <v>0</v>
      </c>
      <c r="O8" s="2" t="inlineStr">
        <is>
          <t>broker</t>
        </is>
      </c>
      <c r="P8" s="2" t="inlineStr">
        <is>
          <t>BRK017</t>
        </is>
      </c>
      <c r="Q8" s="2" t="inlineStr">
        <is>
          <t>PORT2</t>
        </is>
      </c>
      <c r="R8" s="2" t="n">
        <v>71.2</v>
      </c>
      <c r="S8" s="28" t="n">
        <v>720683</v>
      </c>
      <c r="T8" s="28" t="n">
        <v>557258</v>
      </c>
      <c r="U8" s="28" t="n">
        <v>593654</v>
      </c>
      <c r="V8" s="28" t="n">
        <v>0</v>
      </c>
      <c r="W8" s="28" t="n">
        <v>417900</v>
      </c>
      <c r="X8" s="28" t="n">
        <v>151791</v>
      </c>
      <c r="Y8" s="28" t="n">
        <v>307576</v>
      </c>
      <c r="Z8" s="28" t="n">
        <v>0</v>
      </c>
      <c r="AA8" s="28" t="n">
        <v>75996</v>
      </c>
      <c r="AB8" s="28" t="n">
        <v>573148</v>
      </c>
      <c r="AC8" s="28" t="n">
        <v>549030</v>
      </c>
      <c r="AD8" s="28" t="n">
        <v>329176</v>
      </c>
      <c r="AE8" s="22" t="n"/>
      <c r="AF8" s="22" t="n"/>
    </row>
    <row r="9">
      <c r="A9" s="2" t="n">
        <v>2</v>
      </c>
      <c r="B9" s="2" t="inlineStr">
        <is>
          <t>IMP00992</t>
        </is>
      </c>
      <c r="C9" s="2" t="inlineStr">
        <is>
          <t>Saffron Commercial &amp; Sons</t>
        </is>
      </c>
      <c r="D9" s="2" t="n">
        <v>8</v>
      </c>
      <c r="E9" s="28" t="n">
        <v>9978421</v>
      </c>
      <c r="F9" s="29" t="n">
        <v>0.056</v>
      </c>
      <c r="G9" s="21" t="n">
        <v>-0.197</v>
      </c>
      <c r="H9" s="29" t="n">
        <v>0.1186</v>
      </c>
      <c r="I9" s="2" t="n">
        <v>0</v>
      </c>
      <c r="J9" s="2" t="n">
        <v>1</v>
      </c>
      <c r="K9" s="2" t="n">
        <v>0</v>
      </c>
      <c r="L9" s="2" t="n">
        <v>0</v>
      </c>
      <c r="M9" s="2" t="n">
        <v>0</v>
      </c>
      <c r="N9" s="2" t="n">
        <v>0</v>
      </c>
      <c r="O9" s="2" t="inlineStr">
        <is>
          <t>broker price</t>
        </is>
      </c>
      <c r="P9" s="2" t="inlineStr">
        <is>
          <t>BRK007</t>
        </is>
      </c>
      <c r="Q9" s="2" t="inlineStr">
        <is>
          <t>PORT1</t>
        </is>
      </c>
      <c r="R9" s="2" t="n">
        <v>157.2</v>
      </c>
      <c r="S9" s="28" t="n">
        <v>0</v>
      </c>
      <c r="T9" s="28" t="n">
        <v>0</v>
      </c>
      <c r="U9" s="28" t="n">
        <v>0</v>
      </c>
      <c r="V9" s="28" t="n">
        <v>0</v>
      </c>
      <c r="W9" s="28" t="n">
        <v>0</v>
      </c>
      <c r="X9" s="28" t="n">
        <v>0</v>
      </c>
      <c r="Y9" s="28" t="n">
        <v>0</v>
      </c>
      <c r="Z9" s="28" t="n">
        <v>0</v>
      </c>
      <c r="AA9" s="28" t="n">
        <v>0</v>
      </c>
      <c r="AB9" s="28" t="n">
        <v>0</v>
      </c>
      <c r="AC9" s="28" t="n">
        <v>0</v>
      </c>
      <c r="AD9" s="28" t="n">
        <v>0</v>
      </c>
      <c r="AE9" s="22" t="n"/>
      <c r="AF9" s="22" t="n"/>
    </row>
    <row r="10">
      <c r="A10" s="2" t="n">
        <v>3</v>
      </c>
      <c r="B10" s="2" t="inlineStr">
        <is>
          <t>IMP00646</t>
        </is>
      </c>
      <c r="C10" s="2" t="inlineStr">
        <is>
          <t>Jade Imports Holdings Ltd</t>
        </is>
      </c>
      <c r="D10" s="2" t="n">
        <v>17</v>
      </c>
      <c r="E10" s="28" t="n">
        <v>11402288</v>
      </c>
      <c r="F10" s="29" t="n">
        <v>0.064</v>
      </c>
      <c r="G10" s="21" t="n">
        <v>-0.06</v>
      </c>
      <c r="H10" s="29" t="n">
        <v>0.0789</v>
      </c>
      <c r="I10" s="2" t="n">
        <v>0</v>
      </c>
      <c r="J10" s="2" t="n">
        <v>0</v>
      </c>
      <c r="K10" s="2" t="n">
        <v>0</v>
      </c>
      <c r="L10" s="2" t="n">
        <v>0</v>
      </c>
      <c r="M10" s="2" t="n">
        <v>0</v>
      </c>
      <c r="N10" s="2" t="n">
        <v>0</v>
      </c>
      <c r="O10" s="2" t="inlineStr"/>
      <c r="P10" s="2" t="inlineStr">
        <is>
          <t>BRK052</t>
        </is>
      </c>
      <c r="Q10" s="2" t="inlineStr">
        <is>
          <t>PORT2</t>
        </is>
      </c>
      <c r="R10" s="2" t="n">
        <v>66.59999999999999</v>
      </c>
      <c r="S10" s="28" t="n">
        <v>0</v>
      </c>
      <c r="T10" s="28" t="n">
        <v>0</v>
      </c>
      <c r="U10" s="28" t="n">
        <v>262038</v>
      </c>
      <c r="V10" s="28" t="n">
        <v>0</v>
      </c>
      <c r="W10" s="28" t="n">
        <v>0</v>
      </c>
      <c r="X10" s="28" t="n">
        <v>105674</v>
      </c>
      <c r="Y10" s="28" t="n">
        <v>0</v>
      </c>
      <c r="Z10" s="28" t="n">
        <v>0</v>
      </c>
      <c r="AA10" s="28" t="n">
        <v>795243</v>
      </c>
      <c r="AB10" s="28" t="n">
        <v>0</v>
      </c>
      <c r="AC10" s="28" t="n">
        <v>427088</v>
      </c>
      <c r="AD10" s="28" t="n">
        <v>0</v>
      </c>
      <c r="AE10" s="22" t="n"/>
      <c r="AF10" s="22" t="n"/>
    </row>
    <row r="11">
      <c r="A11" s="2" t="n">
        <v>4</v>
      </c>
      <c r="B11" s="2" t="inlineStr">
        <is>
          <t>IMP00662</t>
        </is>
      </c>
      <c r="C11" s="2" t="inlineStr">
        <is>
          <t>Lotus Textiles Enterprises</t>
        </is>
      </c>
      <c r="D11" s="2" t="n">
        <v>29</v>
      </c>
      <c r="E11" s="28" t="n">
        <v>16618711</v>
      </c>
      <c r="F11" s="29" t="n">
        <v>0.09329999999999999</v>
      </c>
      <c r="G11" s="21" t="n">
        <v>-0.083</v>
      </c>
      <c r="H11" s="29" t="n">
        <v>0.0785</v>
      </c>
      <c r="I11" s="2" t="n">
        <v>0</v>
      </c>
      <c r="J11" s="2" t="n">
        <v>0</v>
      </c>
      <c r="K11" s="2" t="n">
        <v>0</v>
      </c>
      <c r="L11" s="2" t="n">
        <v>0</v>
      </c>
      <c r="M11" s="2" t="n">
        <v>0</v>
      </c>
      <c r="N11" s="2" t="n">
        <v>0</v>
      </c>
      <c r="O11" s="2" t="inlineStr"/>
      <c r="P11" s="2" t="inlineStr">
        <is>
          <t>BRK032</t>
        </is>
      </c>
      <c r="Q11" s="2" t="inlineStr">
        <is>
          <t>PORT2</t>
        </is>
      </c>
      <c r="R11" s="2" t="n">
        <v>147.8</v>
      </c>
      <c r="S11" s="28" t="n">
        <v>0</v>
      </c>
      <c r="T11" s="28" t="n">
        <v>201564</v>
      </c>
      <c r="U11" s="28" t="n">
        <v>1545675</v>
      </c>
      <c r="V11" s="28" t="n">
        <v>375590</v>
      </c>
      <c r="W11" s="28" t="n">
        <v>0</v>
      </c>
      <c r="X11" s="28" t="n">
        <v>0</v>
      </c>
      <c r="Y11" s="28" t="n">
        <v>0</v>
      </c>
      <c r="Z11" s="28" t="n">
        <v>0</v>
      </c>
      <c r="AA11" s="28" t="n">
        <v>0</v>
      </c>
      <c r="AB11" s="28" t="n">
        <v>0</v>
      </c>
      <c r="AC11" s="28" t="n">
        <v>1382624</v>
      </c>
      <c r="AD11" s="28" t="n">
        <v>676602</v>
      </c>
      <c r="AE11" s="22" t="n"/>
      <c r="AF11" s="22" t="n"/>
    </row>
    <row r="12">
      <c r="A12" s="2" t="n">
        <v>5</v>
      </c>
      <c r="B12" s="2" t="inlineStr">
        <is>
          <t>IMP00528</t>
        </is>
      </c>
      <c r="C12" s="2" t="inlineStr">
        <is>
          <t>Great Wall Electronics International Ltd</t>
        </is>
      </c>
      <c r="D12" s="2" t="n">
        <v>18</v>
      </c>
      <c r="E12" s="28" t="n">
        <v>7613693</v>
      </c>
      <c r="F12" s="29" t="n">
        <v>0.0428</v>
      </c>
      <c r="G12" s="21" t="n">
        <v>-0.143</v>
      </c>
      <c r="H12" s="29" t="n">
        <v>0.0618</v>
      </c>
      <c r="I12" s="2" t="n">
        <v>0</v>
      </c>
      <c r="J12" s="2" t="n">
        <v>1</v>
      </c>
      <c r="K12" s="2" t="n">
        <v>0</v>
      </c>
      <c r="L12" s="2" t="n">
        <v>0</v>
      </c>
      <c r="M12" s="2" t="n">
        <v>0</v>
      </c>
      <c r="N12" s="2" t="n">
        <v>0</v>
      </c>
      <c r="O12" s="2" t="inlineStr">
        <is>
          <t>broker</t>
        </is>
      </c>
      <c r="P12" s="2" t="inlineStr">
        <is>
          <t>BRK007</t>
        </is>
      </c>
      <c r="Q12" s="2" t="inlineStr">
        <is>
          <t>LAND7</t>
        </is>
      </c>
      <c r="R12" s="2" t="n">
        <v>152.3</v>
      </c>
      <c r="S12" s="28" t="n">
        <v>738520</v>
      </c>
      <c r="T12" s="28" t="n">
        <v>0</v>
      </c>
      <c r="U12" s="28" t="n">
        <v>617231</v>
      </c>
      <c r="V12" s="28" t="n">
        <v>0</v>
      </c>
      <c r="W12" s="28" t="n">
        <v>0</v>
      </c>
      <c r="X12" s="28" t="n">
        <v>202876</v>
      </c>
      <c r="Y12" s="28" t="n">
        <v>0</v>
      </c>
      <c r="Z12" s="28" t="n">
        <v>0</v>
      </c>
      <c r="AA12" s="28" t="n">
        <v>0</v>
      </c>
      <c r="AB12" s="28" t="n">
        <v>0</v>
      </c>
      <c r="AC12" s="28" t="n">
        <v>0</v>
      </c>
      <c r="AD12" s="28" t="n">
        <v>458745</v>
      </c>
      <c r="AE12" s="22" t="n"/>
      <c r="AF12" s="22" t="n"/>
    </row>
    <row r="13">
      <c r="A13" s="2" t="n">
        <v>6</v>
      </c>
      <c r="B13" s="2" t="inlineStr">
        <is>
          <t>IMP01098</t>
        </is>
      </c>
      <c r="C13" s="2" t="inlineStr">
        <is>
          <t>Coral Glow Ltd</t>
        </is>
      </c>
      <c r="D13" s="2" t="n">
        <v>13</v>
      </c>
      <c r="E13" s="28" t="n">
        <v>7099528</v>
      </c>
      <c r="F13" s="29" t="n">
        <v>0.0399</v>
      </c>
      <c r="G13" s="21" t="n">
        <v>-0.116</v>
      </c>
      <c r="H13" s="29" t="n">
        <v>0.0474</v>
      </c>
      <c r="I13" s="2" t="n">
        <v>0</v>
      </c>
      <c r="J13" s="2" t="n">
        <v>1</v>
      </c>
      <c r="K13" s="2" t="n">
        <v>0</v>
      </c>
      <c r="L13" s="2" t="n">
        <v>0</v>
      </c>
      <c r="M13" s="2" t="n">
        <v>0</v>
      </c>
      <c r="N13" s="2" t="n">
        <v>0</v>
      </c>
      <c r="O13" s="2" t="inlineStr">
        <is>
          <t>broker</t>
        </is>
      </c>
      <c r="P13" s="2" t="inlineStr">
        <is>
          <t>BRK039</t>
        </is>
      </c>
      <c r="Q13" s="2" t="inlineStr">
        <is>
          <t>AIR2</t>
        </is>
      </c>
      <c r="R13" s="2" t="n">
        <v>125.4</v>
      </c>
      <c r="S13" s="28" t="n">
        <v>0</v>
      </c>
      <c r="T13" s="28" t="n">
        <v>0</v>
      </c>
      <c r="U13" s="28" t="n">
        <v>0</v>
      </c>
      <c r="V13" s="28" t="n">
        <v>0</v>
      </c>
      <c r="W13" s="28" t="n">
        <v>0</v>
      </c>
      <c r="X13" s="28" t="n">
        <v>644384</v>
      </c>
      <c r="Y13" s="28" t="n">
        <v>1389175</v>
      </c>
      <c r="Z13" s="28" t="n">
        <v>0</v>
      </c>
      <c r="AA13" s="28" t="n">
        <v>0</v>
      </c>
      <c r="AB13" s="28" t="n">
        <v>0</v>
      </c>
      <c r="AC13" s="28" t="n">
        <v>390834</v>
      </c>
      <c r="AD13" s="28" t="n">
        <v>502815</v>
      </c>
      <c r="AE13" s="22" t="n"/>
      <c r="AF13" s="22" t="n"/>
    </row>
    <row r="14">
      <c r="A14" s="2" t="n">
        <v>7</v>
      </c>
      <c r="B14" s="2" t="inlineStr">
        <is>
          <t>IMP00591</t>
        </is>
      </c>
      <c r="C14" s="2" t="inlineStr">
        <is>
          <t>Twin Rivers Medical Ltd</t>
        </is>
      </c>
      <c r="D14" s="2" t="n">
        <v>42</v>
      </c>
      <c r="E14" s="28" t="n">
        <v>20140580</v>
      </c>
      <c r="F14" s="29" t="n">
        <v>0.1131</v>
      </c>
      <c r="G14" s="21" t="n">
        <v>-0.034</v>
      </c>
      <c r="H14" s="29" t="n">
        <v>0.0422</v>
      </c>
      <c r="I14" s="2" t="n">
        <v>0</v>
      </c>
      <c r="J14" s="2" t="n">
        <v>0</v>
      </c>
      <c r="K14" s="2" t="n">
        <v>0</v>
      </c>
      <c r="L14" s="2" t="n">
        <v>0</v>
      </c>
      <c r="M14" s="2" t="n">
        <v>0</v>
      </c>
      <c r="N14" s="2" t="n">
        <v>1</v>
      </c>
      <c r="O14" s="2" t="inlineStr">
        <is>
          <t>office</t>
        </is>
      </c>
      <c r="P14" s="2" t="inlineStr">
        <is>
          <t>BRK044</t>
        </is>
      </c>
      <c r="Q14" s="2" t="inlineStr">
        <is>
          <t>LAND1</t>
        </is>
      </c>
      <c r="R14" s="2" t="n">
        <v>147.5</v>
      </c>
      <c r="S14" s="28" t="n">
        <v>0</v>
      </c>
      <c r="T14" s="28" t="n">
        <v>0</v>
      </c>
      <c r="U14" s="28" t="n">
        <v>0</v>
      </c>
      <c r="V14" s="28" t="n">
        <v>0</v>
      </c>
      <c r="W14" s="28" t="n">
        <v>0</v>
      </c>
      <c r="X14" s="28" t="n">
        <v>0</v>
      </c>
      <c r="Y14" s="28" t="n">
        <v>1065549</v>
      </c>
      <c r="Z14" s="28" t="n">
        <v>0</v>
      </c>
      <c r="AA14" s="28" t="n">
        <v>327396</v>
      </c>
      <c r="AB14" s="28" t="n">
        <v>1217001</v>
      </c>
      <c r="AC14" s="28" t="n">
        <v>0</v>
      </c>
      <c r="AD14" s="28" t="n">
        <v>696117</v>
      </c>
      <c r="AE14" s="22" t="n"/>
      <c r="AF14" s="22" t="n"/>
    </row>
    <row r="15">
      <c r="A15" s="2" t="n">
        <v>8</v>
      </c>
      <c r="B15" s="2" t="inlineStr">
        <is>
          <t>IMP00979</t>
        </is>
      </c>
      <c r="C15" s="2" t="inlineStr">
        <is>
          <t>Prime Mobile &amp; Sons</t>
        </is>
      </c>
      <c r="D15" s="2" t="n">
        <v>22</v>
      </c>
      <c r="E15" s="28" t="n">
        <v>7142982</v>
      </c>
      <c r="F15" s="29" t="n">
        <v>0.0401</v>
      </c>
      <c r="G15" s="21" t="n">
        <v>-0.105</v>
      </c>
      <c r="H15" s="29" t="n">
        <v>0.0419</v>
      </c>
      <c r="I15" s="2" t="n">
        <v>0</v>
      </c>
      <c r="J15" s="2" t="n">
        <v>0</v>
      </c>
      <c r="K15" s="2" t="n">
        <v>0</v>
      </c>
      <c r="L15" s="2" t="n">
        <v>0</v>
      </c>
      <c r="M15" s="2" t="n">
        <v>0</v>
      </c>
      <c r="N15" s="2" t="n">
        <v>0</v>
      </c>
      <c r="O15" s="2" t="inlineStr"/>
      <c r="P15" s="2" t="inlineStr">
        <is>
          <t>BRK073</t>
        </is>
      </c>
      <c r="Q15" s="2" t="inlineStr">
        <is>
          <t>LAND4</t>
        </is>
      </c>
      <c r="R15" s="2" t="n">
        <v>55.3</v>
      </c>
      <c r="S15" s="28" t="n">
        <v>260500</v>
      </c>
      <c r="T15" s="28" t="n">
        <v>0</v>
      </c>
      <c r="U15" s="28" t="n">
        <v>503775</v>
      </c>
      <c r="V15" s="28" t="n">
        <v>0</v>
      </c>
      <c r="W15" s="28" t="n">
        <v>216994</v>
      </c>
      <c r="X15" s="28" t="n">
        <v>0</v>
      </c>
      <c r="Y15" s="28" t="n">
        <v>0</v>
      </c>
      <c r="Z15" s="28" t="n">
        <v>350327</v>
      </c>
      <c r="AA15" s="28" t="n">
        <v>0</v>
      </c>
      <c r="AB15" s="28" t="n">
        <v>419853</v>
      </c>
      <c r="AC15" s="28" t="n">
        <v>0</v>
      </c>
      <c r="AD15" s="28" t="n">
        <v>233478</v>
      </c>
      <c r="AE15" s="22" t="n"/>
      <c r="AF15" s="22" t="n"/>
    </row>
    <row r="16">
      <c r="A16" s="2" t="n">
        <v>9</v>
      </c>
      <c r="B16" s="2" t="inlineStr">
        <is>
          <t>IMP00625</t>
        </is>
      </c>
      <c r="C16" s="2" t="inlineStr">
        <is>
          <t>Pacific Mobile Holdings Ltd</t>
        </is>
      </c>
      <c r="D16" s="2" t="n">
        <v>17</v>
      </c>
      <c r="E16" s="28" t="n">
        <v>5585706</v>
      </c>
      <c r="F16" s="29" t="n">
        <v>0.0314</v>
      </c>
      <c r="G16" s="21" t="n">
        <v>-0.126</v>
      </c>
      <c r="H16" s="29" t="n">
        <v>0.0401</v>
      </c>
      <c r="I16" s="2" t="n">
        <v>0</v>
      </c>
      <c r="J16" s="2" t="n">
        <v>0</v>
      </c>
      <c r="K16" s="2" t="n">
        <v>0</v>
      </c>
      <c r="L16" s="2" t="n">
        <v>0</v>
      </c>
      <c r="M16" s="2" t="n">
        <v>1</v>
      </c>
      <c r="N16" s="2" t="n">
        <v>0</v>
      </c>
      <c r="O16" s="2" t="inlineStr">
        <is>
          <t>alternating</t>
        </is>
      </c>
      <c r="P16" s="2" t="inlineStr">
        <is>
          <t>BRK054</t>
        </is>
      </c>
      <c r="Q16" s="2" t="inlineStr">
        <is>
          <t>AIR1</t>
        </is>
      </c>
      <c r="R16" s="2" t="n">
        <v>64.3</v>
      </c>
      <c r="S16" s="28" t="n">
        <v>330275</v>
      </c>
      <c r="T16" s="28" t="n">
        <v>1099659</v>
      </c>
      <c r="U16" s="28" t="n">
        <v>0</v>
      </c>
      <c r="V16" s="28" t="n">
        <v>0</v>
      </c>
      <c r="W16" s="28" t="n">
        <v>0</v>
      </c>
      <c r="X16" s="28" t="n">
        <v>0</v>
      </c>
      <c r="Y16" s="28" t="n">
        <v>0</v>
      </c>
      <c r="Z16" s="28" t="n">
        <v>0</v>
      </c>
      <c r="AA16" s="28" t="n">
        <v>0</v>
      </c>
      <c r="AB16" s="28" t="n">
        <v>0</v>
      </c>
      <c r="AC16" s="28" t="n">
        <v>0</v>
      </c>
      <c r="AD16" s="28" t="n">
        <v>0</v>
      </c>
      <c r="AE16" s="22" t="n"/>
      <c r="AF16" s="22" t="n"/>
    </row>
    <row r="17">
      <c r="A17" s="2" t="n">
        <v>10</v>
      </c>
      <c r="B17" s="2" t="inlineStr">
        <is>
          <t>IMP01281</t>
        </is>
      </c>
      <c r="C17" s="2" t="inlineStr">
        <is>
          <t>Cobalt Glow &amp; Sons</t>
        </is>
      </c>
      <c r="D17" s="2" t="n">
        <v>10</v>
      </c>
      <c r="E17" s="28" t="n">
        <v>5316099</v>
      </c>
      <c r="F17" s="29" t="n">
        <v>0.0299</v>
      </c>
      <c r="G17" s="21" t="n">
        <v>-0.128</v>
      </c>
      <c r="H17" s="29" t="n">
        <v>0.0377</v>
      </c>
      <c r="I17" s="2" t="n">
        <v>1</v>
      </c>
      <c r="J17" s="2" t="n">
        <v>1</v>
      </c>
      <c r="K17" s="2" t="n">
        <v>0</v>
      </c>
      <c r="L17" s="2" t="n">
        <v>0</v>
      </c>
      <c r="M17" s="2" t="n">
        <v>0</v>
      </c>
      <c r="N17" s="2" t="n">
        <v>0</v>
      </c>
      <c r="O17" s="2" t="inlineStr">
        <is>
          <t>new broker</t>
        </is>
      </c>
      <c r="P17" s="2" t="inlineStr">
        <is>
          <t>BRK017</t>
        </is>
      </c>
      <c r="Q17" s="2" t="inlineStr">
        <is>
          <t>PORT2</t>
        </is>
      </c>
      <c r="R17" s="2" t="n">
        <v>0.6</v>
      </c>
      <c r="S17" s="28" t="n">
        <v>0</v>
      </c>
      <c r="T17" s="28" t="n">
        <v>0</v>
      </c>
      <c r="U17" s="28" t="n">
        <v>0</v>
      </c>
      <c r="V17" s="28" t="n">
        <v>0</v>
      </c>
      <c r="W17" s="28" t="n">
        <v>0</v>
      </c>
      <c r="X17" s="28" t="n">
        <v>0</v>
      </c>
      <c r="Y17" s="28" t="n">
        <v>511651</v>
      </c>
      <c r="Z17" s="28" t="n">
        <v>771567</v>
      </c>
      <c r="AA17" s="28" t="n">
        <v>0</v>
      </c>
      <c r="AB17" s="28" t="n">
        <v>537797</v>
      </c>
      <c r="AC17" s="28" t="n">
        <v>0</v>
      </c>
      <c r="AD17" s="28" t="n">
        <v>307500</v>
      </c>
      <c r="AE17" s="22" t="n"/>
      <c r="AF17" s="22" t="n"/>
    </row>
    <row r="18">
      <c r="A18" s="2" t="n">
        <v>11</v>
      </c>
      <c r="B18" s="2" t="inlineStr">
        <is>
          <t>IMP00171</t>
        </is>
      </c>
      <c r="C18" s="2" t="inlineStr">
        <is>
          <t>Sunrise Fruits Partners Ltd</t>
        </is>
      </c>
      <c r="D18" s="2" t="n">
        <v>21</v>
      </c>
      <c r="E18" s="28" t="n">
        <v>9117102</v>
      </c>
      <c r="F18" s="29" t="n">
        <v>0.0512</v>
      </c>
      <c r="G18" s="21" t="n">
        <v>-0.056</v>
      </c>
      <c r="H18" s="29" t="n">
        <v>0.0322</v>
      </c>
      <c r="I18" s="2" t="n">
        <v>1</v>
      </c>
      <c r="J18" s="2" t="n">
        <v>0</v>
      </c>
      <c r="K18" s="2" t="n">
        <v>0</v>
      </c>
      <c r="L18" s="2" t="n">
        <v>0</v>
      </c>
      <c r="M18" s="2" t="n">
        <v>0</v>
      </c>
      <c r="N18" s="2" t="n">
        <v>0</v>
      </c>
      <c r="O18" s="2" t="inlineStr">
        <is>
          <t>new</t>
        </is>
      </c>
      <c r="P18" s="2" t="inlineStr">
        <is>
          <t>BRK065</t>
        </is>
      </c>
      <c r="Q18" s="2" t="inlineStr">
        <is>
          <t>AIR1</t>
        </is>
      </c>
      <c r="R18" s="2" t="n">
        <v>-0.1</v>
      </c>
      <c r="S18" s="28" t="n">
        <v>0</v>
      </c>
      <c r="T18" s="28" t="n">
        <v>662258</v>
      </c>
      <c r="U18" s="28" t="n">
        <v>0</v>
      </c>
      <c r="V18" s="28" t="n">
        <v>0</v>
      </c>
      <c r="W18" s="28" t="n">
        <v>0</v>
      </c>
      <c r="X18" s="28" t="n">
        <v>123439</v>
      </c>
      <c r="Y18" s="28" t="n">
        <v>0</v>
      </c>
      <c r="Z18" s="28" t="n">
        <v>0</v>
      </c>
      <c r="AA18" s="28" t="n">
        <v>574205</v>
      </c>
      <c r="AB18" s="28" t="n">
        <v>850491</v>
      </c>
      <c r="AC18" s="28" t="n">
        <v>0</v>
      </c>
      <c r="AD18" s="28" t="n">
        <v>0</v>
      </c>
      <c r="AE18" s="22" t="n"/>
      <c r="AF18" s="22" t="n"/>
    </row>
    <row r="19">
      <c r="A19" s="2" t="n">
        <v>12</v>
      </c>
      <c r="B19" s="2" t="inlineStr">
        <is>
          <t>IMP00434</t>
        </is>
      </c>
      <c r="C19" s="2" t="inlineStr">
        <is>
          <t>Inverness Enterprises International Ltd</t>
        </is>
      </c>
      <c r="D19" s="2" t="n">
        <v>12</v>
      </c>
      <c r="E19" s="28" t="n">
        <v>5804804</v>
      </c>
      <c r="F19" s="29" t="n">
        <v>0.0326</v>
      </c>
      <c r="G19" s="21" t="n">
        <v>-0.034</v>
      </c>
      <c r="H19" s="29" t="n">
        <v>0.0266</v>
      </c>
      <c r="I19" s="2" t="n">
        <v>0</v>
      </c>
      <c r="J19" s="2" t="n">
        <v>0</v>
      </c>
      <c r="K19" s="2" t="n">
        <v>0</v>
      </c>
      <c r="L19" s="2" t="n">
        <v>0</v>
      </c>
      <c r="M19" s="2" t="n">
        <v>0</v>
      </c>
      <c r="N19" s="2" t="n">
        <v>0</v>
      </c>
      <c r="O19" s="2" t="inlineStr"/>
      <c r="P19" s="2" t="inlineStr">
        <is>
          <t>BRK036</t>
        </is>
      </c>
      <c r="Q19" s="2" t="inlineStr">
        <is>
          <t>PORT1</t>
        </is>
      </c>
      <c r="R19" s="2" t="n">
        <v>44.3</v>
      </c>
      <c r="S19" s="28" t="n">
        <v>290764</v>
      </c>
      <c r="T19" s="28" t="n">
        <v>0</v>
      </c>
      <c r="U19" s="28" t="n">
        <v>0</v>
      </c>
      <c r="V19" s="28" t="n">
        <v>0</v>
      </c>
      <c r="W19" s="28" t="n">
        <v>0</v>
      </c>
      <c r="X19" s="28" t="n">
        <v>0</v>
      </c>
      <c r="Y19" s="28" t="n">
        <v>0</v>
      </c>
      <c r="Z19" s="28" t="n">
        <v>0</v>
      </c>
      <c r="AA19" s="28" t="n">
        <v>0</v>
      </c>
      <c r="AB19" s="28" t="n">
        <v>0</v>
      </c>
      <c r="AC19" s="28" t="n">
        <v>0</v>
      </c>
      <c r="AD19" s="28" t="n">
        <v>765434</v>
      </c>
      <c r="AE19" s="22" t="n"/>
      <c r="AF19" s="22" t="n"/>
    </row>
    <row r="20">
      <c r="A20" s="2" t="n">
        <v>13</v>
      </c>
      <c r="B20" s="2" t="inlineStr">
        <is>
          <t>IMP00520</t>
        </is>
      </c>
      <c r="C20" s="2" t="inlineStr">
        <is>
          <t>Green Valley Supply Group Ltd</t>
        </is>
      </c>
      <c r="D20" s="2" t="n">
        <v>8</v>
      </c>
      <c r="E20" s="28" t="n">
        <v>2117753</v>
      </c>
      <c r="F20" s="29" t="n">
        <v>0.0119</v>
      </c>
      <c r="G20" s="21" t="n">
        <v>-0.193</v>
      </c>
      <c r="H20" s="29" t="n">
        <v>0.0252</v>
      </c>
      <c r="I20" s="2" t="n">
        <v>0</v>
      </c>
      <c r="J20" s="2" t="n">
        <v>0</v>
      </c>
      <c r="K20" s="2" t="n">
        <v>0</v>
      </c>
      <c r="L20" s="2" t="n">
        <v>0</v>
      </c>
      <c r="M20" s="2" t="n">
        <v>0</v>
      </c>
      <c r="N20" s="2" t="n">
        <v>0</v>
      </c>
      <c r="O20" s="2" t="inlineStr">
        <is>
          <t>price</t>
        </is>
      </c>
      <c r="P20" s="2" t="inlineStr">
        <is>
          <t>BRK031</t>
        </is>
      </c>
      <c r="Q20" s="2" t="inlineStr">
        <is>
          <t>LAND4</t>
        </is>
      </c>
      <c r="R20" s="2" t="n">
        <v>161.5</v>
      </c>
      <c r="S20" s="28" t="n">
        <v>491409</v>
      </c>
      <c r="T20" s="28" t="n">
        <v>0</v>
      </c>
      <c r="U20" s="28" t="n">
        <v>0</v>
      </c>
      <c r="V20" s="28" t="n">
        <v>844008</v>
      </c>
      <c r="W20" s="28" t="n">
        <v>0</v>
      </c>
      <c r="X20" s="28" t="n">
        <v>0</v>
      </c>
      <c r="Y20" s="28" t="n">
        <v>0</v>
      </c>
      <c r="Z20" s="28" t="n">
        <v>0</v>
      </c>
      <c r="AA20" s="28" t="n">
        <v>0</v>
      </c>
      <c r="AB20" s="28" t="n">
        <v>0</v>
      </c>
      <c r="AC20" s="28" t="n">
        <v>0</v>
      </c>
      <c r="AD20" s="28" t="n">
        <v>0</v>
      </c>
      <c r="AE20" s="22" t="n"/>
      <c r="AF20" s="22" t="n"/>
    </row>
    <row r="21">
      <c r="A21" s="2" t="n">
        <v>14</v>
      </c>
      <c r="B21" s="2" t="inlineStr">
        <is>
          <t>IMP00155</t>
        </is>
      </c>
      <c r="C21" s="2" t="inlineStr">
        <is>
          <t>Meridian Commercial Partners Ltd</t>
        </is>
      </c>
      <c r="D21" s="2" t="n">
        <v>11</v>
      </c>
      <c r="E21" s="28" t="n">
        <v>6444310</v>
      </c>
      <c r="F21" s="29" t="n">
        <v>0.0362</v>
      </c>
      <c r="G21" s="21" t="n">
        <v>-0.055</v>
      </c>
      <c r="H21" s="29" t="n">
        <v>0.0222</v>
      </c>
      <c r="I21" s="2" t="n">
        <v>0</v>
      </c>
      <c r="J21" s="2" t="n">
        <v>1</v>
      </c>
      <c r="K21" s="2" t="n">
        <v>0</v>
      </c>
      <c r="L21" s="2" t="n">
        <v>0</v>
      </c>
      <c r="M21" s="2" t="n">
        <v>0</v>
      </c>
      <c r="N21" s="2" t="n">
        <v>0</v>
      </c>
      <c r="O21" s="2" t="inlineStr">
        <is>
          <t>broker</t>
        </is>
      </c>
      <c r="P21" s="2" t="inlineStr">
        <is>
          <t>BRK021</t>
        </is>
      </c>
      <c r="Q21" s="2" t="inlineStr">
        <is>
          <t>LAND3</t>
        </is>
      </c>
      <c r="R21" s="2" t="n">
        <v>120.6</v>
      </c>
      <c r="S21" s="28" t="n">
        <v>655902</v>
      </c>
      <c r="T21" s="28" t="n">
        <v>0</v>
      </c>
      <c r="U21" s="28" t="n">
        <v>0</v>
      </c>
      <c r="V21" s="28" t="n">
        <v>325254</v>
      </c>
      <c r="W21" s="28" t="n">
        <v>0</v>
      </c>
      <c r="X21" s="28" t="n">
        <v>0</v>
      </c>
      <c r="Y21" s="28" t="n">
        <v>0</v>
      </c>
      <c r="Z21" s="28" t="n">
        <v>0</v>
      </c>
      <c r="AA21" s="28" t="n">
        <v>0</v>
      </c>
      <c r="AB21" s="28" t="n">
        <v>0</v>
      </c>
      <c r="AC21" s="28" t="n">
        <v>0</v>
      </c>
      <c r="AD21" s="28" t="n">
        <v>0</v>
      </c>
      <c r="AE21" s="22" t="n"/>
      <c r="AF21" s="22" t="n"/>
    </row>
    <row r="22">
      <c r="A22" s="2" t="n">
        <v>15</v>
      </c>
      <c r="B22" s="2" t="inlineStr">
        <is>
          <t>IMP00701</t>
        </is>
      </c>
      <c r="C22" s="2" t="inlineStr">
        <is>
          <t>Golden Imports Enterprises</t>
        </is>
      </c>
      <c r="D22" s="2" t="n">
        <v>7</v>
      </c>
      <c r="E22" s="28" t="n">
        <v>1345140</v>
      </c>
      <c r="F22" s="29" t="n">
        <v>0.0076</v>
      </c>
      <c r="G22" s="21" t="n">
        <v>-0.237</v>
      </c>
      <c r="H22" s="29" t="n">
        <v>0.0211</v>
      </c>
      <c r="I22" s="2" t="n">
        <v>0</v>
      </c>
      <c r="J22" s="2" t="n">
        <v>1</v>
      </c>
      <c r="K22" s="2" t="n">
        <v>0</v>
      </c>
      <c r="L22" s="2" t="n">
        <v>0</v>
      </c>
      <c r="M22" s="2" t="n">
        <v>0</v>
      </c>
      <c r="N22" s="2" t="n">
        <v>0</v>
      </c>
      <c r="O22" s="2" t="inlineStr">
        <is>
          <t>broker price</t>
        </is>
      </c>
      <c r="P22" s="2" t="inlineStr">
        <is>
          <t>BRK039</t>
        </is>
      </c>
      <c r="Q22" s="2" t="inlineStr">
        <is>
          <t>LAND7</t>
        </is>
      </c>
      <c r="R22" s="2" t="n">
        <v>125.8</v>
      </c>
      <c r="S22" s="28" t="n">
        <v>0</v>
      </c>
      <c r="T22" s="28" t="n">
        <v>0</v>
      </c>
      <c r="U22" s="28" t="n">
        <v>0</v>
      </c>
      <c r="V22" s="28" t="n">
        <v>0</v>
      </c>
      <c r="W22" s="28" t="n">
        <v>0</v>
      </c>
      <c r="X22" s="28" t="n">
        <v>0</v>
      </c>
      <c r="Y22" s="28" t="n">
        <v>0</v>
      </c>
      <c r="Z22" s="28" t="n">
        <v>0</v>
      </c>
      <c r="AA22" s="28" t="n">
        <v>0</v>
      </c>
      <c r="AB22" s="28" t="n">
        <v>134078</v>
      </c>
      <c r="AC22" s="28" t="n">
        <v>0</v>
      </c>
      <c r="AD22" s="28" t="n">
        <v>0</v>
      </c>
      <c r="AE22" s="22" t="n"/>
      <c r="AF22" s="22" t="n"/>
    </row>
    <row r="23">
      <c r="A23" s="2" t="n">
        <v>16</v>
      </c>
      <c r="B23" s="2" t="inlineStr">
        <is>
          <t>IMP00183</t>
        </is>
      </c>
      <c r="C23" s="2" t="inlineStr">
        <is>
          <t>Metro Pack International Ltd</t>
        </is>
      </c>
      <c r="D23" s="2" t="n">
        <v>5</v>
      </c>
      <c r="E23" s="28" t="n">
        <v>1109927</v>
      </c>
      <c r="F23" s="29" t="n">
        <v>0.0062</v>
      </c>
      <c r="G23" s="21" t="n">
        <v>-0.235</v>
      </c>
      <c r="H23" s="29" t="n">
        <v>0.0162</v>
      </c>
      <c r="I23" s="2" t="n">
        <v>1</v>
      </c>
      <c r="J23" s="2" t="n">
        <v>1</v>
      </c>
      <c r="K23" s="2" t="n">
        <v>0</v>
      </c>
      <c r="L23" s="2" t="n">
        <v>0</v>
      </c>
      <c r="M23" s="2" t="n">
        <v>0</v>
      </c>
      <c r="N23" s="2" t="n">
        <v>0</v>
      </c>
      <c r="O23" s="2" t="inlineStr">
        <is>
          <t>new broker price</t>
        </is>
      </c>
      <c r="P23" s="2" t="inlineStr">
        <is>
          <t>BRK048</t>
        </is>
      </c>
      <c r="Q23" s="2" t="inlineStr">
        <is>
          <t>PORT2</t>
        </is>
      </c>
      <c r="R23" s="2" t="n">
        <v>0.9</v>
      </c>
      <c r="S23" s="28" t="n">
        <v>0</v>
      </c>
      <c r="T23" s="28" t="n">
        <v>0</v>
      </c>
      <c r="U23" s="28" t="n">
        <v>0</v>
      </c>
      <c r="V23" s="28" t="n">
        <v>0</v>
      </c>
      <c r="W23" s="28" t="n">
        <v>0</v>
      </c>
      <c r="X23" s="28" t="n">
        <v>183578</v>
      </c>
      <c r="Y23" s="28" t="n">
        <v>0</v>
      </c>
      <c r="Z23" s="28" t="n">
        <v>0</v>
      </c>
      <c r="AA23" s="28" t="n">
        <v>0</v>
      </c>
      <c r="AB23" s="28" t="n">
        <v>0</v>
      </c>
      <c r="AC23" s="28" t="n">
        <v>0</v>
      </c>
      <c r="AD23" s="28" t="n">
        <v>0</v>
      </c>
      <c r="AE23" s="22" t="n"/>
      <c r="AF23" s="22" t="n"/>
    </row>
    <row r="24">
      <c r="A24" s="2" t="n">
        <v>17</v>
      </c>
      <c r="B24" s="2" t="inlineStr">
        <is>
          <t>IMP01224</t>
        </is>
      </c>
      <c r="C24" s="2" t="inlineStr">
        <is>
          <t>Lotus Pack Partners Ltd</t>
        </is>
      </c>
      <c r="D24" s="2" t="n">
        <v>13</v>
      </c>
      <c r="E24" s="28" t="n">
        <v>6506070</v>
      </c>
      <c r="F24" s="29" t="n">
        <v>0.0365</v>
      </c>
      <c r="G24" s="21" t="n">
        <v>-0.012</v>
      </c>
      <c r="H24" s="29" t="n">
        <v>0.0137</v>
      </c>
      <c r="I24" s="2" t="n">
        <v>0</v>
      </c>
      <c r="J24" s="2" t="n">
        <v>0</v>
      </c>
      <c r="K24" s="2" t="n">
        <v>0</v>
      </c>
      <c r="L24" s="2" t="n">
        <v>0</v>
      </c>
      <c r="M24" s="2" t="n">
        <v>1</v>
      </c>
      <c r="N24" s="2" t="n">
        <v>0</v>
      </c>
      <c r="O24" s="2" t="inlineStr">
        <is>
          <t>alternating</t>
        </is>
      </c>
      <c r="P24" s="2" t="inlineStr">
        <is>
          <t>BRK010</t>
        </is>
      </c>
      <c r="Q24" s="2" t="inlineStr">
        <is>
          <t>LAND5</t>
        </is>
      </c>
      <c r="R24" s="2" t="n">
        <v>147.2</v>
      </c>
      <c r="S24" s="28" t="n">
        <v>0</v>
      </c>
      <c r="T24" s="28" t="n">
        <v>0</v>
      </c>
      <c r="U24" s="28" t="n">
        <v>0</v>
      </c>
      <c r="V24" s="28" t="n">
        <v>1507539</v>
      </c>
      <c r="W24" s="28" t="n">
        <v>0</v>
      </c>
      <c r="X24" s="28" t="n">
        <v>0</v>
      </c>
      <c r="Y24" s="28" t="n">
        <v>0</v>
      </c>
      <c r="Z24" s="28" t="n">
        <v>0</v>
      </c>
      <c r="AA24" s="28" t="n">
        <v>0</v>
      </c>
      <c r="AB24" s="28" t="n">
        <v>0</v>
      </c>
      <c r="AC24" s="28" t="n">
        <v>0</v>
      </c>
      <c r="AD24" s="28" t="n">
        <v>266621</v>
      </c>
      <c r="AE24" s="22" t="n"/>
      <c r="AF24" s="22" t="n"/>
    </row>
    <row r="25">
      <c r="A25" s="2" t="n">
        <v>18</v>
      </c>
      <c r="B25" s="2" t="inlineStr">
        <is>
          <t>IMP01369</t>
        </is>
      </c>
      <c r="C25" s="2" t="inlineStr">
        <is>
          <t>Northern Motors Holdings Ltd</t>
        </is>
      </c>
      <c r="D25" s="2" t="n">
        <v>1</v>
      </c>
      <c r="E25" s="28" t="n">
        <v>508058</v>
      </c>
      <c r="F25" s="29" t="n">
        <v>0.0029</v>
      </c>
      <c r="G25" s="21" t="n">
        <v>-0.302</v>
      </c>
      <c r="H25" s="29" t="n">
        <v>0.0103</v>
      </c>
      <c r="I25" s="2" t="n">
        <v>0</v>
      </c>
      <c r="J25" s="2" t="n">
        <v>1</v>
      </c>
      <c r="K25" s="2" t="n">
        <v>0</v>
      </c>
      <c r="L25" s="2" t="n">
        <v>1</v>
      </c>
      <c r="M25" s="2" t="n">
        <v>0</v>
      </c>
      <c r="N25" s="2" t="n">
        <v>0</v>
      </c>
      <c r="O25" s="2" t="inlineStr">
        <is>
          <t>broker bunching price</t>
        </is>
      </c>
      <c r="P25" s="2" t="inlineStr">
        <is>
          <t>BRK062</t>
        </is>
      </c>
      <c r="Q25" s="2" t="inlineStr">
        <is>
          <t>PORT2</t>
        </is>
      </c>
      <c r="R25" s="2" t="n">
        <v>167.6</v>
      </c>
      <c r="S25" s="28" t="n">
        <v>508058</v>
      </c>
      <c r="T25" s="28" t="n">
        <v>0</v>
      </c>
      <c r="U25" s="28" t="n">
        <v>0</v>
      </c>
      <c r="V25" s="28" t="n">
        <v>0</v>
      </c>
      <c r="W25" s="28" t="n">
        <v>0</v>
      </c>
      <c r="X25" s="28" t="n">
        <v>0</v>
      </c>
      <c r="Y25" s="28" t="n">
        <v>0</v>
      </c>
      <c r="Z25" s="28" t="n">
        <v>0</v>
      </c>
      <c r="AA25" s="28" t="n">
        <v>0</v>
      </c>
      <c r="AB25" s="28" t="n">
        <v>0</v>
      </c>
      <c r="AC25" s="28" t="n">
        <v>0</v>
      </c>
      <c r="AD25" s="28" t="n">
        <v>0</v>
      </c>
      <c r="AE25" s="22" t="n"/>
      <c r="AF25" s="22" t="n"/>
    </row>
    <row r="26">
      <c r="A26" s="2" t="n">
        <v>19</v>
      </c>
      <c r="B26" s="2" t="inlineStr">
        <is>
          <t>IMP00055</t>
        </is>
      </c>
      <c r="C26" s="2" t="inlineStr">
        <is>
          <t>Aldergate Steel Group Ltd</t>
        </is>
      </c>
      <c r="D26" s="2" t="n">
        <v>1</v>
      </c>
      <c r="E26" s="28" t="n">
        <v>533181</v>
      </c>
      <c r="F26" s="29" t="n">
        <v>0.003</v>
      </c>
      <c r="G26" s="21" t="n">
        <v>-0.22</v>
      </c>
      <c r="H26" s="29" t="n">
        <v>0.0071</v>
      </c>
      <c r="I26" s="2" t="n">
        <v>0</v>
      </c>
      <c r="J26" s="2" t="n">
        <v>1</v>
      </c>
      <c r="K26" s="2" t="n">
        <v>0</v>
      </c>
      <c r="L26" s="2" t="n">
        <v>0</v>
      </c>
      <c r="M26" s="2" t="n">
        <v>0</v>
      </c>
      <c r="N26" s="2" t="n">
        <v>0</v>
      </c>
      <c r="O26" s="2" t="inlineStr">
        <is>
          <t>broker price</t>
        </is>
      </c>
      <c r="P26" s="2" t="inlineStr">
        <is>
          <t>BRK048</t>
        </is>
      </c>
      <c r="Q26" s="2" t="inlineStr">
        <is>
          <t>LAND5</t>
        </is>
      </c>
      <c r="R26" s="2" t="n">
        <v>188.6</v>
      </c>
      <c r="S26" s="28" t="n">
        <v>0</v>
      </c>
      <c r="T26" s="28" t="n">
        <v>0</v>
      </c>
      <c r="U26" s="28" t="n">
        <v>0</v>
      </c>
      <c r="V26" s="28" t="n">
        <v>0</v>
      </c>
      <c r="W26" s="28" t="n">
        <v>0</v>
      </c>
      <c r="X26" s="28" t="n">
        <v>0</v>
      </c>
      <c r="Y26" s="28" t="n">
        <v>0</v>
      </c>
      <c r="Z26" s="28" t="n">
        <v>0</v>
      </c>
      <c r="AA26" s="28" t="n">
        <v>0</v>
      </c>
      <c r="AB26" s="28" t="n">
        <v>0</v>
      </c>
      <c r="AC26" s="28" t="n">
        <v>0</v>
      </c>
      <c r="AD26" s="28" t="n">
        <v>0</v>
      </c>
      <c r="AE26" s="22" t="n"/>
      <c r="AF26" s="22" t="n"/>
    </row>
    <row r="27">
      <c r="A27" s="2" t="n">
        <v>20</v>
      </c>
      <c r="B27" s="2" t="inlineStr">
        <is>
          <t>IMP00222</t>
        </is>
      </c>
      <c r="C27" s="2" t="inlineStr">
        <is>
          <t>Inverness Fruits Partners Ltd</t>
        </is>
      </c>
      <c r="D27" s="2" t="n">
        <v>12</v>
      </c>
      <c r="E27" s="28" t="n">
        <v>5795770</v>
      </c>
      <c r="F27" s="29" t="n">
        <v>0.0325</v>
      </c>
      <c r="G27" s="21" t="n">
        <v>0.002</v>
      </c>
      <c r="H27" s="29" t="n">
        <v>0.007</v>
      </c>
      <c r="I27" s="2" t="n">
        <v>0</v>
      </c>
      <c r="J27" s="2" t="n">
        <v>1</v>
      </c>
      <c r="K27" s="2" t="n">
        <v>0</v>
      </c>
      <c r="L27" s="2" t="n">
        <v>0</v>
      </c>
      <c r="M27" s="2" t="n">
        <v>0</v>
      </c>
      <c r="N27" s="2" t="n">
        <v>0</v>
      </c>
      <c r="O27" s="2" t="inlineStr">
        <is>
          <t>broker</t>
        </is>
      </c>
      <c r="P27" s="2" t="inlineStr">
        <is>
          <t>BRK004</t>
        </is>
      </c>
      <c r="Q27" s="2" t="inlineStr">
        <is>
          <t>LAND5</t>
        </is>
      </c>
      <c r="R27" s="2" t="n">
        <v>86.09999999999999</v>
      </c>
      <c r="S27" s="28" t="n">
        <v>0</v>
      </c>
      <c r="T27" s="28" t="n">
        <v>0</v>
      </c>
      <c r="U27" s="28" t="n">
        <v>0</v>
      </c>
      <c r="V27" s="28" t="n">
        <v>293758</v>
      </c>
      <c r="W27" s="28" t="n">
        <v>0</v>
      </c>
      <c r="X27" s="28" t="n">
        <v>0</v>
      </c>
      <c r="Y27" s="28" t="n">
        <v>0</v>
      </c>
      <c r="Z27" s="28" t="n">
        <v>0</v>
      </c>
      <c r="AA27" s="28" t="n">
        <v>0</v>
      </c>
      <c r="AB27" s="28" t="n">
        <v>560637</v>
      </c>
      <c r="AC27" s="28" t="n">
        <v>463212</v>
      </c>
      <c r="AD27" s="28" t="n">
        <v>0</v>
      </c>
      <c r="AE27" s="22" t="n"/>
      <c r="AF27" s="22" t="n"/>
    </row>
    <row r="28">
      <c r="A28" s="2" t="n">
        <v>21</v>
      </c>
      <c r="B28" s="2" t="inlineStr">
        <is>
          <t>IMP00450</t>
        </is>
      </c>
      <c r="C28" s="2" t="inlineStr">
        <is>
          <t>Carrick Glow Holdings Ltd</t>
        </is>
      </c>
      <c r="D28" s="2" t="n">
        <v>7</v>
      </c>
      <c r="E28" s="28" t="n">
        <v>3413128</v>
      </c>
      <c r="F28" s="29" t="n">
        <v>0.0192</v>
      </c>
      <c r="G28" s="21" t="n">
        <v>-0.035</v>
      </c>
      <c r="H28" s="29" t="n">
        <v>0.0063</v>
      </c>
      <c r="I28" s="2" t="n">
        <v>0</v>
      </c>
      <c r="J28" s="2" t="n">
        <v>1</v>
      </c>
      <c r="K28" s="2" t="n">
        <v>0</v>
      </c>
      <c r="L28" s="2" t="n">
        <v>0</v>
      </c>
      <c r="M28" s="2" t="n">
        <v>0</v>
      </c>
      <c r="N28" s="2" t="n">
        <v>0</v>
      </c>
      <c r="O28" s="2" t="inlineStr">
        <is>
          <t>broker</t>
        </is>
      </c>
      <c r="P28" s="2" t="inlineStr">
        <is>
          <t>BRK004</t>
        </is>
      </c>
      <c r="Q28" s="2" t="inlineStr">
        <is>
          <t>AIR2</t>
        </is>
      </c>
      <c r="R28" s="2" t="n">
        <v>169.8</v>
      </c>
      <c r="S28" s="28" t="n">
        <v>0</v>
      </c>
      <c r="T28" s="28" t="n">
        <v>0</v>
      </c>
      <c r="U28" s="28" t="n">
        <v>0</v>
      </c>
      <c r="V28" s="28" t="n">
        <v>0</v>
      </c>
      <c r="W28" s="28" t="n">
        <v>0</v>
      </c>
      <c r="X28" s="28" t="n">
        <v>0</v>
      </c>
      <c r="Y28" s="28" t="n">
        <v>0</v>
      </c>
      <c r="Z28" s="28" t="n">
        <v>0</v>
      </c>
      <c r="AA28" s="28" t="n">
        <v>0</v>
      </c>
      <c r="AB28" s="28" t="n">
        <v>0</v>
      </c>
      <c r="AC28" s="28" t="n">
        <v>0</v>
      </c>
      <c r="AD28" s="28" t="n">
        <v>0</v>
      </c>
      <c r="AE28" s="22" t="n"/>
      <c r="AF28" s="22" t="n"/>
    </row>
    <row r="29">
      <c r="A29" s="2" t="n">
        <v>22</v>
      </c>
      <c r="B29" s="2" t="inlineStr">
        <is>
          <t>IMP01202</t>
        </is>
      </c>
      <c r="C29" s="2" t="inlineStr">
        <is>
          <t>Star Distribution &amp; Sons</t>
        </is>
      </c>
      <c r="D29" s="2" t="n">
        <v>3</v>
      </c>
      <c r="E29" s="28" t="n">
        <v>1051900</v>
      </c>
      <c r="F29" s="29" t="n">
        <v>0.0059</v>
      </c>
      <c r="G29" s="21" t="n">
        <v>-0.064</v>
      </c>
      <c r="H29" s="29" t="n">
        <v>0.0048</v>
      </c>
      <c r="I29" s="2" t="n">
        <v>1</v>
      </c>
      <c r="J29" s="2" t="n">
        <v>0</v>
      </c>
      <c r="K29" s="2" t="n">
        <v>0</v>
      </c>
      <c r="L29" s="2" t="n">
        <v>0</v>
      </c>
      <c r="M29" s="2" t="n">
        <v>0</v>
      </c>
      <c r="N29" s="2" t="n">
        <v>0</v>
      </c>
      <c r="O29" s="2" t="inlineStr">
        <is>
          <t>new</t>
        </is>
      </c>
      <c r="P29" s="2" t="inlineStr">
        <is>
          <t>BRK076</t>
        </is>
      </c>
      <c r="Q29" s="2" t="inlineStr">
        <is>
          <t>PORT3</t>
        </is>
      </c>
      <c r="R29" s="2" t="n">
        <v>0</v>
      </c>
      <c r="S29" s="28" t="n">
        <v>343009</v>
      </c>
      <c r="T29" s="28" t="n">
        <v>0</v>
      </c>
      <c r="U29" s="28" t="n">
        <v>0</v>
      </c>
      <c r="V29" s="28" t="n">
        <v>0</v>
      </c>
      <c r="W29" s="28" t="n">
        <v>0</v>
      </c>
      <c r="X29" s="28" t="n">
        <v>0</v>
      </c>
      <c r="Y29" s="28" t="n">
        <v>0</v>
      </c>
      <c r="Z29" s="28" t="n">
        <v>0</v>
      </c>
      <c r="AA29" s="28" t="n">
        <v>0</v>
      </c>
      <c r="AB29" s="28" t="n">
        <v>0</v>
      </c>
      <c r="AC29" s="28" t="n">
        <v>0</v>
      </c>
      <c r="AD29" s="28" t="n">
        <v>0</v>
      </c>
      <c r="AE29" s="22" t="n"/>
      <c r="AF29" s="22" t="n"/>
    </row>
    <row r="30">
      <c r="A30" s="2" t="n">
        <v>23</v>
      </c>
      <c r="B30" s="2" t="inlineStr">
        <is>
          <t>IMP00191</t>
        </is>
      </c>
      <c r="C30" s="2" t="inlineStr">
        <is>
          <t>Royal Industries Co.</t>
        </is>
      </c>
      <c r="D30" s="2" t="n">
        <v>4</v>
      </c>
      <c r="E30" s="28" t="n">
        <v>823541</v>
      </c>
      <c r="F30" s="29" t="n">
        <v>0.0046</v>
      </c>
      <c r="G30" s="21" t="n">
        <v>-0.098</v>
      </c>
      <c r="H30" s="29" t="n">
        <v>0.0047</v>
      </c>
      <c r="I30" s="2" t="n">
        <v>0</v>
      </c>
      <c r="J30" s="2" t="n">
        <v>0</v>
      </c>
      <c r="K30" s="2" t="n">
        <v>0</v>
      </c>
      <c r="L30" s="2" t="n">
        <v>0</v>
      </c>
      <c r="M30" s="2" t="n">
        <v>0</v>
      </c>
      <c r="N30" s="2" t="n">
        <v>0</v>
      </c>
      <c r="O30" s="2" t="inlineStr"/>
      <c r="P30" s="2" t="inlineStr">
        <is>
          <t>BRK074</t>
        </is>
      </c>
      <c r="Q30" s="2" t="inlineStr">
        <is>
          <t>LAND5</t>
        </is>
      </c>
      <c r="R30" s="2" t="n">
        <v>64.2</v>
      </c>
      <c r="S30" s="28" t="n">
        <v>243791</v>
      </c>
      <c r="T30" s="28" t="n">
        <v>0</v>
      </c>
      <c r="U30" s="28" t="n">
        <v>0</v>
      </c>
      <c r="V30" s="28" t="n">
        <v>0</v>
      </c>
      <c r="W30" s="28" t="n">
        <v>0</v>
      </c>
      <c r="X30" s="28" t="n">
        <v>0</v>
      </c>
      <c r="Y30" s="28" t="n">
        <v>0</v>
      </c>
      <c r="Z30" s="28" t="n">
        <v>0</v>
      </c>
      <c r="AA30" s="28" t="n">
        <v>0</v>
      </c>
      <c r="AB30" s="28" t="n">
        <v>0</v>
      </c>
      <c r="AC30" s="28" t="n">
        <v>134272</v>
      </c>
      <c r="AD30" s="28" t="n">
        <v>0</v>
      </c>
      <c r="AE30" s="22" t="n"/>
      <c r="AF30" s="22" t="n"/>
    </row>
    <row r="31">
      <c r="A31" s="2" t="n">
        <v>24</v>
      </c>
      <c r="B31" s="2" t="inlineStr">
        <is>
          <t>IMP00067</t>
        </is>
      </c>
      <c r="C31" s="2" t="inlineStr">
        <is>
          <t>Pacific Enterprises Holdings Ltd</t>
        </is>
      </c>
      <c r="D31" s="2" t="n">
        <v>2</v>
      </c>
      <c r="E31" s="28" t="n">
        <v>976557</v>
      </c>
      <c r="F31" s="29" t="n">
        <v>0.0055</v>
      </c>
      <c r="G31" s="21" t="n">
        <v>-0.093</v>
      </c>
      <c r="H31" s="29" t="n">
        <v>0.0047</v>
      </c>
      <c r="I31" s="2" t="n">
        <v>0</v>
      </c>
      <c r="J31" s="2" t="n">
        <v>1</v>
      </c>
      <c r="K31" s="2" t="n">
        <v>0</v>
      </c>
      <c r="L31" s="2" t="n">
        <v>0</v>
      </c>
      <c r="M31" s="2" t="n">
        <v>0</v>
      </c>
      <c r="N31" s="2" t="n">
        <v>0</v>
      </c>
      <c r="O31" s="2" t="inlineStr">
        <is>
          <t>broker</t>
        </is>
      </c>
      <c r="P31" s="2" t="inlineStr">
        <is>
          <t>BRK021</t>
        </is>
      </c>
      <c r="Q31" s="2" t="inlineStr">
        <is>
          <t>PORT1</t>
        </is>
      </c>
      <c r="R31" s="2" t="n">
        <v>205.1</v>
      </c>
      <c r="S31" s="28" t="n">
        <v>0</v>
      </c>
      <c r="T31" s="28" t="n">
        <v>470800</v>
      </c>
      <c r="U31" s="28" t="n">
        <v>0</v>
      </c>
      <c r="V31" s="28" t="n">
        <v>0</v>
      </c>
      <c r="W31" s="28" t="n">
        <v>0</v>
      </c>
      <c r="X31" s="28" t="n">
        <v>0</v>
      </c>
      <c r="Y31" s="28" t="n">
        <v>505757</v>
      </c>
      <c r="Z31" s="28" t="n">
        <v>0</v>
      </c>
      <c r="AA31" s="28" t="n">
        <v>0</v>
      </c>
      <c r="AB31" s="28" t="n">
        <v>0</v>
      </c>
      <c r="AC31" s="28" t="n">
        <v>0</v>
      </c>
      <c r="AD31" s="28" t="n">
        <v>0</v>
      </c>
      <c r="AE31" s="22" t="n"/>
      <c r="AF31" s="22" t="n"/>
    </row>
    <row r="32">
      <c r="A32" s="2" t="n">
        <v>25</v>
      </c>
      <c r="B32" s="2" t="inlineStr">
        <is>
          <t>IMP01446</t>
        </is>
      </c>
      <c r="C32" s="2" t="inlineStr">
        <is>
          <t>Prime Commercial Enterprises</t>
        </is>
      </c>
      <c r="D32" s="2" t="n">
        <v>5</v>
      </c>
      <c r="E32" s="28" t="n">
        <v>1877735</v>
      </c>
      <c r="F32" s="29" t="n">
        <v>0.0105</v>
      </c>
      <c r="G32" s="21" t="n">
        <v>0.008999999999999999</v>
      </c>
      <c r="H32" s="29" t="n">
        <v>0.0047</v>
      </c>
      <c r="I32" s="2" t="n">
        <v>0</v>
      </c>
      <c r="J32" s="2" t="n">
        <v>0</v>
      </c>
      <c r="K32" s="2" t="n">
        <v>0</v>
      </c>
      <c r="L32" s="2" t="n">
        <v>0</v>
      </c>
      <c r="M32" s="2" t="n">
        <v>0</v>
      </c>
      <c r="N32" s="2" t="n">
        <v>0</v>
      </c>
      <c r="O32" s="2" t="inlineStr"/>
      <c r="P32" s="2" t="inlineStr">
        <is>
          <t>BRK026</t>
        </is>
      </c>
      <c r="Q32" s="2" t="inlineStr">
        <is>
          <t>AIR1</t>
        </is>
      </c>
      <c r="R32" s="2" t="n">
        <v>84.59999999999999</v>
      </c>
      <c r="S32" s="28" t="n">
        <v>0</v>
      </c>
      <c r="T32" s="28" t="n">
        <v>572457</v>
      </c>
      <c r="U32" s="28" t="n">
        <v>0</v>
      </c>
      <c r="V32" s="28" t="n">
        <v>0</v>
      </c>
      <c r="W32" s="28" t="n">
        <v>0</v>
      </c>
      <c r="X32" s="28" t="n">
        <v>0</v>
      </c>
      <c r="Y32" s="28" t="n">
        <v>0</v>
      </c>
      <c r="Z32" s="28" t="n">
        <v>0</v>
      </c>
      <c r="AA32" s="28" t="n">
        <v>0</v>
      </c>
      <c r="AB32" s="28" t="n">
        <v>0</v>
      </c>
      <c r="AC32" s="28" t="n">
        <v>0</v>
      </c>
      <c r="AD32" s="28" t="n">
        <v>0</v>
      </c>
      <c r="AE32" s="22" t="n"/>
      <c r="AF32" s="22" t="n"/>
    </row>
    <row r="33">
      <c r="A33" s="2" t="n">
        <v>26</v>
      </c>
      <c r="B33" s="2" t="inlineStr">
        <is>
          <t>IMP01179</t>
        </is>
      </c>
      <c r="C33" s="2" t="inlineStr">
        <is>
          <t>Phoenix Fruits Enterprises</t>
        </is>
      </c>
      <c r="D33" s="2" t="n">
        <v>1</v>
      </c>
      <c r="E33" s="28" t="n">
        <v>391503</v>
      </c>
      <c r="F33" s="29" t="n">
        <v>0.0022</v>
      </c>
      <c r="G33" s="21" t="n">
        <v>-0.183</v>
      </c>
      <c r="H33" s="29" t="n">
        <v>0.0041</v>
      </c>
      <c r="I33" s="2" t="n">
        <v>0</v>
      </c>
      <c r="J33" s="2" t="n">
        <v>0</v>
      </c>
      <c r="K33" s="2" t="n">
        <v>0</v>
      </c>
      <c r="L33" s="2" t="n">
        <v>0</v>
      </c>
      <c r="M33" s="2" t="n">
        <v>0</v>
      </c>
      <c r="N33" s="2" t="n">
        <v>0</v>
      </c>
      <c r="O33" s="2" t="inlineStr">
        <is>
          <t>price</t>
        </is>
      </c>
      <c r="P33" s="2" t="inlineStr">
        <is>
          <t>BRK029</t>
        </is>
      </c>
      <c r="Q33" s="2" t="inlineStr">
        <is>
          <t>LAND7</t>
        </is>
      </c>
      <c r="R33" s="2" t="n">
        <v>141</v>
      </c>
      <c r="S33" s="28" t="n">
        <v>0</v>
      </c>
      <c r="T33" s="28" t="n">
        <v>0</v>
      </c>
      <c r="U33" s="28" t="n">
        <v>0</v>
      </c>
      <c r="V33" s="28" t="n">
        <v>0</v>
      </c>
      <c r="W33" s="28" t="n">
        <v>0</v>
      </c>
      <c r="X33" s="28" t="n">
        <v>0</v>
      </c>
      <c r="Y33" s="28" t="n">
        <v>0</v>
      </c>
      <c r="Z33" s="28" t="n">
        <v>0</v>
      </c>
      <c r="AA33" s="28" t="n">
        <v>0</v>
      </c>
      <c r="AB33" s="28" t="n">
        <v>391503</v>
      </c>
      <c r="AC33" s="28" t="n">
        <v>0</v>
      </c>
      <c r="AD33" s="28" t="n">
        <v>0</v>
      </c>
      <c r="AE33" s="22" t="n"/>
      <c r="AF33" s="22" t="n"/>
    </row>
    <row r="34">
      <c r="A34" s="2" t="n">
        <v>27</v>
      </c>
      <c r="B34" s="2" t="inlineStr">
        <is>
          <t>IMP00488</t>
        </is>
      </c>
      <c r="C34" s="2" t="inlineStr">
        <is>
          <t>Eastern Textiles Co.</t>
        </is>
      </c>
      <c r="D34" s="2" t="n">
        <v>1</v>
      </c>
      <c r="E34" s="28" t="n">
        <v>485247</v>
      </c>
      <c r="F34" s="29" t="n">
        <v>0.0027</v>
      </c>
      <c r="G34" s="21" t="n">
        <v>-0.14</v>
      </c>
      <c r="H34" s="29" t="n">
        <v>0.0037</v>
      </c>
      <c r="I34" s="2" t="n">
        <v>0</v>
      </c>
      <c r="J34" s="2" t="n">
        <v>0</v>
      </c>
      <c r="K34" s="2" t="n">
        <v>0</v>
      </c>
      <c r="L34" s="2" t="n">
        <v>0</v>
      </c>
      <c r="M34" s="2" t="n">
        <v>0</v>
      </c>
      <c r="N34" s="2" t="n">
        <v>1</v>
      </c>
      <c r="O34" s="2" t="inlineStr">
        <is>
          <t>office</t>
        </is>
      </c>
      <c r="P34" s="2" t="inlineStr">
        <is>
          <t>BRK059</t>
        </is>
      </c>
      <c r="Q34" s="2" t="inlineStr">
        <is>
          <t>LAND1</t>
        </is>
      </c>
      <c r="R34" s="2" t="n">
        <v>57.6</v>
      </c>
      <c r="S34" s="28" t="n">
        <v>0</v>
      </c>
      <c r="T34" s="28" t="n">
        <v>0</v>
      </c>
      <c r="U34" s="28" t="n">
        <v>0</v>
      </c>
      <c r="V34" s="28" t="n">
        <v>0</v>
      </c>
      <c r="W34" s="28" t="n">
        <v>0</v>
      </c>
      <c r="X34" s="28" t="n">
        <v>0</v>
      </c>
      <c r="Y34" s="28" t="n">
        <v>0</v>
      </c>
      <c r="Z34" s="28" t="n">
        <v>0</v>
      </c>
      <c r="AA34" s="28" t="n">
        <v>0</v>
      </c>
      <c r="AB34" s="28" t="n">
        <v>0</v>
      </c>
      <c r="AC34" s="28" t="n">
        <v>0</v>
      </c>
      <c r="AD34" s="28" t="n">
        <v>0</v>
      </c>
      <c r="AE34" s="22" t="n"/>
      <c r="AF34" s="22" t="n"/>
    </row>
    <row r="35">
      <c r="A35" s="2" t="n">
        <v>28</v>
      </c>
      <c r="B35" s="2" t="inlineStr">
        <is>
          <t>IMP01453</t>
        </is>
      </c>
      <c r="C35" s="2" t="inlineStr">
        <is>
          <t>Silver Enterprises Holdings Ltd</t>
        </is>
      </c>
      <c r="D35" s="2" t="n">
        <v>1</v>
      </c>
      <c r="E35" s="28" t="n">
        <v>307705</v>
      </c>
      <c r="F35" s="29" t="n">
        <v>0.0017</v>
      </c>
      <c r="G35" s="21" t="n">
        <v>-0.194</v>
      </c>
      <c r="H35" s="29" t="n">
        <v>0.0035</v>
      </c>
      <c r="I35" s="2" t="n">
        <v>0</v>
      </c>
      <c r="J35" s="2" t="n">
        <v>0</v>
      </c>
      <c r="K35" s="2" t="n">
        <v>0</v>
      </c>
      <c r="L35" s="2" t="n">
        <v>0</v>
      </c>
      <c r="M35" s="2" t="n">
        <v>0</v>
      </c>
      <c r="N35" s="2" t="n">
        <v>0</v>
      </c>
      <c r="O35" s="2" t="inlineStr">
        <is>
          <t>price</t>
        </is>
      </c>
      <c r="P35" s="2" t="inlineStr">
        <is>
          <t>BRK027</t>
        </is>
      </c>
      <c r="Q35" s="2" t="inlineStr">
        <is>
          <t>LAND2</t>
        </is>
      </c>
      <c r="R35" s="2" t="n">
        <v>204.8</v>
      </c>
      <c r="S35" s="28" t="n">
        <v>0</v>
      </c>
      <c r="T35" s="28" t="n">
        <v>0</v>
      </c>
      <c r="U35" s="28" t="n">
        <v>0</v>
      </c>
      <c r="V35" s="28" t="n">
        <v>0</v>
      </c>
      <c r="W35" s="28" t="n">
        <v>0</v>
      </c>
      <c r="X35" s="28" t="n">
        <v>0</v>
      </c>
      <c r="Y35" s="28" t="n">
        <v>0</v>
      </c>
      <c r="Z35" s="28" t="n">
        <v>0</v>
      </c>
      <c r="AA35" s="28" t="n">
        <v>0</v>
      </c>
      <c r="AB35" s="28" t="n">
        <v>0</v>
      </c>
      <c r="AC35" s="28" t="n">
        <v>0</v>
      </c>
      <c r="AD35" s="28" t="n">
        <v>0</v>
      </c>
      <c r="AE35" s="22" t="n"/>
      <c r="AF35" s="22" t="n"/>
    </row>
    <row r="36">
      <c r="A36" s="2" t="n">
        <v>29</v>
      </c>
      <c r="B36" s="2" t="inlineStr">
        <is>
          <t>IMP00910</t>
        </is>
      </c>
      <c r="C36" s="2" t="inlineStr">
        <is>
          <t>Delta Logistics Holdings Ltd</t>
        </is>
      </c>
      <c r="D36" s="2" t="n">
        <v>2</v>
      </c>
      <c r="E36" s="28" t="n">
        <v>2097117</v>
      </c>
      <c r="F36" s="29" t="n">
        <v>0.0118</v>
      </c>
      <c r="G36" s="21" t="n">
        <v>-0</v>
      </c>
      <c r="H36" s="29" t="n">
        <v>0.0029</v>
      </c>
      <c r="I36" s="2" t="n">
        <v>0</v>
      </c>
      <c r="J36" s="2" t="n">
        <v>0</v>
      </c>
      <c r="K36" s="2" t="n">
        <v>0</v>
      </c>
      <c r="L36" s="2" t="n">
        <v>0</v>
      </c>
      <c r="M36" s="2" t="n">
        <v>0</v>
      </c>
      <c r="N36" s="2" t="n">
        <v>0</v>
      </c>
      <c r="O36" s="2" t="inlineStr"/>
      <c r="P36" s="2" t="inlineStr">
        <is>
          <t>BRK034</t>
        </is>
      </c>
      <c r="Q36" s="2" t="inlineStr">
        <is>
          <t>PORT1</t>
        </is>
      </c>
      <c r="R36" s="2" t="n">
        <v>137.5</v>
      </c>
      <c r="S36" s="28" t="n">
        <v>0</v>
      </c>
      <c r="T36" s="28" t="n">
        <v>0</v>
      </c>
      <c r="U36" s="28" t="n">
        <v>885331</v>
      </c>
      <c r="V36" s="28" t="n">
        <v>0</v>
      </c>
      <c r="W36" s="28" t="n">
        <v>0</v>
      </c>
      <c r="X36" s="28" t="n">
        <v>0</v>
      </c>
      <c r="Y36" s="28" t="n">
        <v>0</v>
      </c>
      <c r="Z36" s="28" t="n">
        <v>0</v>
      </c>
      <c r="AA36" s="28" t="n">
        <v>0</v>
      </c>
      <c r="AB36" s="28" t="n">
        <v>0</v>
      </c>
      <c r="AC36" s="28" t="n">
        <v>0</v>
      </c>
      <c r="AD36" s="28" t="n">
        <v>0</v>
      </c>
      <c r="AE36" s="22" t="n"/>
      <c r="AF36" s="22" t="n"/>
    </row>
    <row r="37">
      <c r="A37" s="2" t="n">
        <v>30</v>
      </c>
      <c r="B37" s="2" t="inlineStr">
        <is>
          <t>IMP01234</t>
        </is>
      </c>
      <c r="C37" s="2" t="inlineStr">
        <is>
          <t>Summit Glow Co., Ltd</t>
        </is>
      </c>
      <c r="D37" s="2" t="n">
        <v>4</v>
      </c>
      <c r="E37" s="28" t="n">
        <v>1731526</v>
      </c>
      <c r="F37" s="29" t="n">
        <v>0.0097</v>
      </c>
      <c r="G37" s="21" t="n">
        <v>-0.011</v>
      </c>
      <c r="H37" s="29" t="n">
        <v>0.002</v>
      </c>
      <c r="I37" s="2" t="n">
        <v>0</v>
      </c>
      <c r="J37" s="2" t="n">
        <v>0</v>
      </c>
      <c r="K37" s="2" t="n">
        <v>0</v>
      </c>
      <c r="L37" s="2" t="n">
        <v>0</v>
      </c>
      <c r="M37" s="2" t="n">
        <v>0</v>
      </c>
      <c r="N37" s="2" t="n">
        <v>0</v>
      </c>
      <c r="O37" s="2" t="inlineStr"/>
      <c r="P37" s="2" t="inlineStr">
        <is>
          <t>BRK019</t>
        </is>
      </c>
      <c r="Q37" s="2" t="inlineStr">
        <is>
          <t>AIR1</t>
        </is>
      </c>
      <c r="R37" s="2" t="n">
        <v>89.2</v>
      </c>
      <c r="S37" s="28" t="n">
        <v>0</v>
      </c>
      <c r="T37" s="28" t="n">
        <v>0</v>
      </c>
      <c r="U37" s="28" t="n">
        <v>0</v>
      </c>
      <c r="V37" s="28" t="n">
        <v>0</v>
      </c>
      <c r="W37" s="28" t="n">
        <v>0</v>
      </c>
      <c r="X37" s="28" t="n">
        <v>0</v>
      </c>
      <c r="Y37" s="28" t="n">
        <v>0</v>
      </c>
      <c r="Z37" s="28" t="n">
        <v>0</v>
      </c>
      <c r="AA37" s="28" t="n">
        <v>590640</v>
      </c>
      <c r="AB37" s="28" t="n">
        <v>0</v>
      </c>
      <c r="AC37" s="28" t="n">
        <v>141762</v>
      </c>
      <c r="AD37" s="28" t="n">
        <v>0</v>
      </c>
      <c r="AE37" s="22" t="n"/>
      <c r="AF37" s="22" t="n"/>
    </row>
    <row r="38">
      <c r="A38" s="2" t="n">
        <v>31</v>
      </c>
      <c r="B38" s="2" t="inlineStr">
        <is>
          <t>IMP00696</t>
        </is>
      </c>
      <c r="C38" s="2" t="inlineStr">
        <is>
          <t>Great Wall Glow Co.</t>
        </is>
      </c>
      <c r="D38" s="2" t="n">
        <v>1</v>
      </c>
      <c r="E38" s="28" t="n">
        <v>584779</v>
      </c>
      <c r="F38" s="29" t="n">
        <v>0.0033</v>
      </c>
      <c r="G38" s="21" t="n">
        <v>-0.067</v>
      </c>
      <c r="H38" s="29" t="n">
        <v>0.002</v>
      </c>
      <c r="I38" s="2" t="n">
        <v>0</v>
      </c>
      <c r="J38" s="2" t="n">
        <v>0</v>
      </c>
      <c r="K38" s="2" t="n">
        <v>0</v>
      </c>
      <c r="L38" s="2" t="n">
        <v>0</v>
      </c>
      <c r="M38" s="2" t="n">
        <v>0</v>
      </c>
      <c r="N38" s="2" t="n">
        <v>0</v>
      </c>
      <c r="O38" s="2" t="inlineStr"/>
      <c r="P38" s="2" t="inlineStr">
        <is>
          <t>BRK012</t>
        </is>
      </c>
      <c r="Q38" s="2" t="inlineStr">
        <is>
          <t>LAND3</t>
        </is>
      </c>
      <c r="R38" s="2" t="n">
        <v>82.40000000000001</v>
      </c>
      <c r="S38" s="28" t="n">
        <v>0</v>
      </c>
      <c r="T38" s="28" t="n">
        <v>0</v>
      </c>
      <c r="U38" s="28" t="n">
        <v>0</v>
      </c>
      <c r="V38" s="28" t="n">
        <v>0</v>
      </c>
      <c r="W38" s="28" t="n">
        <v>0</v>
      </c>
      <c r="X38" s="28" t="n">
        <v>0</v>
      </c>
      <c r="Y38" s="28" t="n">
        <v>0</v>
      </c>
      <c r="Z38" s="28" t="n">
        <v>0</v>
      </c>
      <c r="AA38" s="28" t="n">
        <v>0</v>
      </c>
      <c r="AB38" s="28" t="n">
        <v>584779</v>
      </c>
      <c r="AC38" s="28" t="n">
        <v>0</v>
      </c>
      <c r="AD38" s="28" t="n">
        <v>0</v>
      </c>
      <c r="AE38" s="22" t="n"/>
      <c r="AF38" s="22" t="n"/>
    </row>
    <row r="39">
      <c r="A39" s="2" t="n">
        <v>32</v>
      </c>
      <c r="B39" s="2" t="inlineStr">
        <is>
          <t>IMP01184</t>
        </is>
      </c>
      <c r="C39" s="2" t="inlineStr">
        <is>
          <t>Silver Textiles Co.</t>
        </is>
      </c>
      <c r="D39" s="2" t="n">
        <v>2</v>
      </c>
      <c r="E39" s="28" t="n">
        <v>621852</v>
      </c>
      <c r="F39" s="29" t="n">
        <v>0.0035</v>
      </c>
      <c r="G39" s="21" t="n">
        <v>-0.038</v>
      </c>
      <c r="H39" s="29" t="n">
        <v>0.0012</v>
      </c>
      <c r="I39" s="2" t="n">
        <v>0</v>
      </c>
      <c r="J39" s="2" t="n">
        <v>0</v>
      </c>
      <c r="K39" s="2" t="n">
        <v>0</v>
      </c>
      <c r="L39" s="2" t="n">
        <v>0</v>
      </c>
      <c r="M39" s="2" t="n">
        <v>0</v>
      </c>
      <c r="N39" s="2" t="n">
        <v>0</v>
      </c>
      <c r="O39" s="2" t="inlineStr"/>
      <c r="P39" s="2" t="inlineStr">
        <is>
          <t>BRK005</t>
        </is>
      </c>
      <c r="Q39" s="2" t="inlineStr">
        <is>
          <t>AIR1</t>
        </is>
      </c>
      <c r="R39" s="2" t="n">
        <v>165.8</v>
      </c>
      <c r="S39" s="28" t="n">
        <v>0</v>
      </c>
      <c r="T39" s="28" t="n">
        <v>0</v>
      </c>
      <c r="U39" s="28" t="n">
        <v>0</v>
      </c>
      <c r="V39" s="28" t="n">
        <v>0</v>
      </c>
      <c r="W39" s="28" t="n">
        <v>0</v>
      </c>
      <c r="X39" s="28" t="n">
        <v>0</v>
      </c>
      <c r="Y39" s="28" t="n">
        <v>0</v>
      </c>
      <c r="Z39" s="28" t="n">
        <v>0</v>
      </c>
      <c r="AA39" s="28" t="n">
        <v>0</v>
      </c>
      <c r="AB39" s="28" t="n">
        <v>0</v>
      </c>
      <c r="AC39" s="28" t="n">
        <v>0</v>
      </c>
      <c r="AD39" s="28" t="n">
        <v>0</v>
      </c>
      <c r="AE39" s="22" t="n"/>
      <c r="AF39" s="22" t="n"/>
    </row>
    <row r="40">
      <c r="A40" s="2" t="n">
        <v>33</v>
      </c>
      <c r="B40" s="2" t="inlineStr">
        <is>
          <t>IMP01333</t>
        </is>
      </c>
      <c r="C40" s="2" t="inlineStr">
        <is>
          <t>Eastern Pack Co.</t>
        </is>
      </c>
      <c r="D40" s="2" t="n">
        <v>4</v>
      </c>
      <c r="E40" s="28" t="n">
        <v>2375045</v>
      </c>
      <c r="F40" s="29" t="n">
        <v>0.0133</v>
      </c>
      <c r="G40" s="21" t="n">
        <v>0.117</v>
      </c>
      <c r="H40" s="29" t="n">
        <v>0.0007</v>
      </c>
      <c r="I40" s="2" t="n">
        <v>1</v>
      </c>
      <c r="J40" s="2" t="n">
        <v>0</v>
      </c>
      <c r="K40" s="2" t="n">
        <v>0</v>
      </c>
      <c r="L40" s="2" t="n">
        <v>0</v>
      </c>
      <c r="M40" s="2" t="n">
        <v>0</v>
      </c>
      <c r="N40" s="2" t="n">
        <v>0</v>
      </c>
      <c r="O40" s="2" t="inlineStr">
        <is>
          <t>new</t>
        </is>
      </c>
      <c r="P40" s="2" t="inlineStr">
        <is>
          <t>BRK006</t>
        </is>
      </c>
      <c r="Q40" s="2" t="inlineStr">
        <is>
          <t>LAND3</t>
        </is>
      </c>
      <c r="R40" s="2" t="n">
        <v>7</v>
      </c>
      <c r="S40" s="28" t="n">
        <v>0</v>
      </c>
      <c r="T40" s="28" t="n">
        <v>0</v>
      </c>
      <c r="U40" s="28" t="n">
        <v>0</v>
      </c>
      <c r="V40" s="28" t="n">
        <v>0</v>
      </c>
      <c r="W40" s="28" t="n">
        <v>0</v>
      </c>
      <c r="X40" s="28" t="n">
        <v>0</v>
      </c>
      <c r="Y40" s="28" t="n">
        <v>0</v>
      </c>
      <c r="Z40" s="28" t="n">
        <v>0</v>
      </c>
      <c r="AA40" s="28" t="n">
        <v>0</v>
      </c>
      <c r="AB40" s="28" t="n">
        <v>0</v>
      </c>
      <c r="AC40" s="28" t="n">
        <v>0</v>
      </c>
      <c r="AD40" s="28" t="n">
        <v>0</v>
      </c>
      <c r="AE40" s="22" t="n"/>
      <c r="AF40" s="22" t="n"/>
    </row>
    <row r="41">
      <c r="A41" s="2" t="n">
        <v>34</v>
      </c>
      <c r="B41" s="2" t="inlineStr">
        <is>
          <t>IMP01486</t>
        </is>
      </c>
      <c r="C41" s="2" t="inlineStr">
        <is>
          <t>Twin Rivers Commercial Co.</t>
        </is>
      </c>
      <c r="D41" s="2" t="n">
        <v>1</v>
      </c>
      <c r="E41" s="28" t="n">
        <v>337278</v>
      </c>
      <c r="F41" s="29" t="n">
        <v>0.0019</v>
      </c>
      <c r="G41" s="21" t="n">
        <v>-0.021</v>
      </c>
      <c r="H41" s="29" t="n">
        <v>0.0003</v>
      </c>
      <c r="I41" s="2" t="n">
        <v>0</v>
      </c>
      <c r="J41" s="2" t="n">
        <v>0</v>
      </c>
      <c r="K41" s="2" t="n">
        <v>0</v>
      </c>
      <c r="L41" s="2" t="n">
        <v>0</v>
      </c>
      <c r="M41" s="2" t="n">
        <v>0</v>
      </c>
      <c r="N41" s="2" t="n">
        <v>0</v>
      </c>
      <c r="O41" s="2" t="inlineStr"/>
      <c r="P41" s="2" t="inlineStr">
        <is>
          <t>BRK078</t>
        </is>
      </c>
      <c r="Q41" s="2" t="inlineStr">
        <is>
          <t>AIR2</t>
        </is>
      </c>
      <c r="R41" s="2" t="n">
        <v>52</v>
      </c>
      <c r="S41" s="28" t="n">
        <v>0</v>
      </c>
      <c r="T41" s="28" t="n">
        <v>0</v>
      </c>
      <c r="U41" s="28" t="n">
        <v>0</v>
      </c>
      <c r="V41" s="28" t="n">
        <v>0</v>
      </c>
      <c r="W41" s="28" t="n">
        <v>0</v>
      </c>
      <c r="X41" s="28" t="n">
        <v>0</v>
      </c>
      <c r="Y41" s="28" t="n">
        <v>0</v>
      </c>
      <c r="Z41" s="28" t="n">
        <v>0</v>
      </c>
      <c r="AA41" s="28" t="n">
        <v>0</v>
      </c>
      <c r="AB41" s="28" t="n">
        <v>0</v>
      </c>
      <c r="AC41" s="28" t="n">
        <v>0</v>
      </c>
      <c r="AD41" s="28" t="n">
        <v>0</v>
      </c>
      <c r="AE41" s="22" t="n"/>
      <c r="AF41" s="22" t="n"/>
    </row>
    <row r="42">
      <c r="A42" s="2" t="n">
        <v>35</v>
      </c>
      <c r="B42" s="2" t="inlineStr">
        <is>
          <t>IMP00593</t>
        </is>
      </c>
      <c r="C42" s="2" t="inlineStr">
        <is>
          <t>Golden Pack Group Ltd</t>
        </is>
      </c>
      <c r="D42" s="2" t="n">
        <v>1</v>
      </c>
      <c r="E42" s="28" t="n">
        <v>292565</v>
      </c>
      <c r="F42" s="29" t="n">
        <v>0.0016</v>
      </c>
      <c r="G42" s="21" t="n">
        <v>0.046</v>
      </c>
      <c r="H42" s="29" t="n">
        <v>0</v>
      </c>
      <c r="I42" s="2" t="n">
        <v>0</v>
      </c>
      <c r="J42" s="2" t="n">
        <v>1</v>
      </c>
      <c r="K42" s="2" t="n">
        <v>0</v>
      </c>
      <c r="L42" s="2" t="n">
        <v>0</v>
      </c>
      <c r="M42" s="2" t="n">
        <v>0</v>
      </c>
      <c r="N42" s="2" t="n">
        <v>0</v>
      </c>
      <c r="O42" s="2" t="inlineStr">
        <is>
          <t>broker</t>
        </is>
      </c>
      <c r="P42" s="2" t="inlineStr">
        <is>
          <t>BRK062</t>
        </is>
      </c>
      <c r="Q42" s="2" t="inlineStr">
        <is>
          <t>PORT3</t>
        </is>
      </c>
      <c r="R42" s="2" t="n">
        <v>141.4</v>
      </c>
      <c r="S42" s="28" t="n">
        <v>0</v>
      </c>
      <c r="T42" s="28" t="n">
        <v>0</v>
      </c>
      <c r="U42" s="28" t="n">
        <v>0</v>
      </c>
      <c r="V42" s="28" t="n">
        <v>0</v>
      </c>
      <c r="W42" s="28" t="n">
        <v>0</v>
      </c>
      <c r="X42" s="28" t="n">
        <v>0</v>
      </c>
      <c r="Y42" s="28" t="n">
        <v>0</v>
      </c>
      <c r="Z42" s="28" t="n">
        <v>0</v>
      </c>
      <c r="AA42" s="28" t="n">
        <v>0</v>
      </c>
      <c r="AB42" s="28" t="n">
        <v>0</v>
      </c>
      <c r="AC42" s="28" t="n">
        <v>0</v>
      </c>
      <c r="AD42" s="28" t="n">
        <v>0</v>
      </c>
      <c r="AE42" s="22" t="n"/>
      <c r="AF42" s="2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c r="A44" s="8" t="inlineStr">
        <is>
          <t>The worked case: add the residual shares of ranks 1 to 5. A reason code per pick: new, broker, bunching, alternating, office, price.</t>
        </is>
      </c>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c r="A45" s="8" t="inlineStr">
        <is>
          <t>The mistakes we see most: ranking on price only (it misses the office and the broker); putting the honest lower-grade importer among the five.</t>
        </is>
      </c>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sheetData>
  <mergeCells count="1">
    <mergeCell ref="A4:AD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V15"/>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18" customWidth="1" min="5" max="5"/>
    <col width="10" customWidth="1" min="6" max="6"/>
    <col width="10" customWidth="1" min="7" max="7"/>
    <col width="8" customWidth="1" min="8" max="8"/>
    <col width="9" customWidth="1" min="9" max="9"/>
    <col width="9" customWidth="1" min="10" max="10"/>
    <col width="9" customWidth="1" min="11" max="11"/>
    <col width="9" customWidth="1" min="12" max="12"/>
    <col width="9" customWidth="1" min="13" max="13"/>
    <col width="6" customWidth="1" min="14" max="14"/>
    <col width="9" customWidth="1" min="15" max="15"/>
    <col width="6" customWidth="1" min="16" max="16"/>
    <col width="8" customWidth="1" min="17" max="17"/>
    <col width="6" customWidth="1" min="18" max="18"/>
    <col width="10" customWidth="1" min="19" max="19"/>
    <col width="6" customWidth="1" min="20" max="20"/>
    <col width="11" customWidth="1" min="21" max="21"/>
    <col width="22" customWidth="1" min="22" max="22"/>
  </cols>
  <sheetData>
    <row r="1">
      <c r="A1" s="1" t="inlineStr">
        <is>
          <t>Sprint 3 · the invoice lines (the worked line first),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row>
    <row r="4" ht="46" customHeight="1">
      <c r="A4" s="4" t="inlineStr">
        <is>
          <t>How each number was computed: declared = the invoice price in dollars, FOB, net of the discount. Neighbours above the floor = accepted lines of the same heading and origin whose description is at least 0.85 alike.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decision</t>
        </is>
      </c>
      <c r="V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decision</t>
        </is>
      </c>
      <c r="V7" s="16" t="inlineStr">
        <is>
          <t>field</t>
        </is>
      </c>
    </row>
    <row r="8">
      <c r="A8" s="23" t="inlineStr">
        <is>
          <t>V2</t>
        </is>
      </c>
      <c r="B8" s="2" t="inlineStr">
        <is>
          <t>Monocrystalline solar panel 400 W</t>
        </is>
      </c>
      <c r="C8" s="2" t="inlineStr">
        <is>
          <t>854143</t>
        </is>
      </c>
      <c r="D8" s="2" t="inlineStr">
        <is>
          <t>CHN</t>
        </is>
      </c>
      <c r="E8" s="2" t="inlineStr">
        <is>
          <t>64.21 USD FOB, discount 5%</t>
        </is>
      </c>
      <c r="F8" s="30" t="n">
        <v>61</v>
      </c>
      <c r="G8" s="23" t="n">
        <v>27</v>
      </c>
      <c r="H8" s="30" t="n">
        <v>74</v>
      </c>
      <c r="I8" s="30" t="n">
        <v>66</v>
      </c>
      <c r="J8" s="30" t="n">
        <v>83</v>
      </c>
      <c r="K8" s="31" t="n">
        <v>0.824</v>
      </c>
      <c r="L8" s="24" t="n">
        <v>-1.6</v>
      </c>
      <c r="M8" s="2" t="inlineStr">
        <is>
          <t>yes</t>
        </is>
      </c>
      <c r="N8" s="18" t="n">
        <v>0.93</v>
      </c>
      <c r="O8" s="2" t="inlineStr">
        <is>
          <t>yes</t>
        </is>
      </c>
      <c r="P8" s="18" t="n">
        <v>0.88</v>
      </c>
      <c r="Q8" s="2" t="inlineStr">
        <is>
          <t>12%</t>
        </is>
      </c>
      <c r="R8" s="18" t="n">
        <v>0.97</v>
      </c>
      <c r="S8" s="2" t="inlineStr">
        <is>
          <t>EXW</t>
        </is>
      </c>
      <c r="T8" s="18" t="n">
        <v>0.95</v>
      </c>
      <c r="U8" s="22" t="n"/>
      <c r="V8" s="22" t="n"/>
    </row>
    <row r="9">
      <c r="A9" s="2" t="inlineStr">
        <is>
          <t>V1</t>
        </is>
      </c>
      <c r="B9" s="2" t="inlineStr">
        <is>
          <t>Mountain bicycle, 26 inch, aluminium frame</t>
        </is>
      </c>
      <c r="C9" s="2" t="inlineStr">
        <is>
          <t>871200</t>
        </is>
      </c>
      <c r="D9" s="2" t="inlineStr">
        <is>
          <t>CHN</t>
        </is>
      </c>
      <c r="E9" s="2" t="inlineStr">
        <is>
          <t>117.38 USD CIF</t>
        </is>
      </c>
      <c r="F9" s="32" t="n">
        <v>110.74</v>
      </c>
      <c r="G9" s="2" t="n">
        <v>30</v>
      </c>
      <c r="H9" s="32" t="n">
        <v>110.52</v>
      </c>
      <c r="I9" s="32" t="n">
        <v>103.85</v>
      </c>
      <c r="J9" s="32" t="n">
        <v>114.63</v>
      </c>
      <c r="K9" s="33" t="n">
        <v>1.002</v>
      </c>
      <c r="L9" s="17" t="n">
        <v>0.05</v>
      </c>
      <c r="M9" s="2" t="inlineStr">
        <is>
          <t>no</t>
        </is>
      </c>
      <c r="N9" s="18" t="n">
        <v>0.88</v>
      </c>
      <c r="O9" s="2" t="inlineStr">
        <is>
          <t>no</t>
        </is>
      </c>
      <c r="P9" s="18" t="n">
        <v>0.88</v>
      </c>
      <c r="Q9" s="2" t="inlineStr">
        <is>
          <t>none</t>
        </is>
      </c>
      <c r="R9" s="18" t="n">
        <v>0.88</v>
      </c>
      <c r="S9" s="2" t="inlineStr">
        <is>
          <t>CIF</t>
        </is>
      </c>
      <c r="T9" s="18" t="n">
        <v>0.97</v>
      </c>
      <c r="U9" s="22" t="n"/>
      <c r="V9" s="22" t="n"/>
    </row>
    <row r="10">
      <c r="A10" s="2" t="inlineStr">
        <is>
          <t>V3</t>
        </is>
      </c>
      <c r="B10" s="2" t="inlineStr">
        <is>
          <t>Wooden dining chair, rubberwood</t>
        </is>
      </c>
      <c r="C10" s="2" t="inlineStr">
        <is>
          <t>940360</t>
        </is>
      </c>
      <c r="D10" s="2" t="inlineStr">
        <is>
          <t>MYS</t>
        </is>
      </c>
      <c r="E10" s="2" t="inlineStr">
        <is>
          <t>28.80 USD FOB</t>
        </is>
      </c>
      <c r="F10" s="32" t="n">
        <v>28.8</v>
      </c>
      <c r="G10" s="2" t="n">
        <v>30</v>
      </c>
      <c r="H10" s="32" t="n">
        <v>28.93</v>
      </c>
      <c r="I10" s="32" t="n">
        <v>27.23</v>
      </c>
      <c r="J10" s="32" t="n">
        <v>38.1</v>
      </c>
      <c r="K10" s="33" t="n">
        <v>0.996</v>
      </c>
      <c r="L10" s="17" t="n">
        <v>-0.03</v>
      </c>
      <c r="M10" s="2" t="inlineStr">
        <is>
          <t>no</t>
        </is>
      </c>
      <c r="N10" s="18" t="n">
        <v>0.92</v>
      </c>
      <c r="O10" s="2" t="inlineStr">
        <is>
          <t>no</t>
        </is>
      </c>
      <c r="P10" s="18" t="n">
        <v>0.89</v>
      </c>
      <c r="Q10" s="2" t="inlineStr">
        <is>
          <t>none</t>
        </is>
      </c>
      <c r="R10" s="18" t="n">
        <v>0.96</v>
      </c>
      <c r="S10" s="2" t="inlineStr">
        <is>
          <t>FOB</t>
        </is>
      </c>
      <c r="T10" s="18" t="n">
        <v>0.97</v>
      </c>
      <c r="U10" s="22" t="n"/>
      <c r="V10" s="22" t="n"/>
    </row>
    <row r="11">
      <c r="A11" s="2" t="inlineStr">
        <is>
          <t>V4</t>
        </is>
      </c>
      <c r="B11" s="2" t="inlineStr">
        <is>
          <t>Upper-arm blood pressure monitor, automatic</t>
        </is>
      </c>
      <c r="C11" s="2" t="inlineStr">
        <is>
          <t>901819</t>
        </is>
      </c>
      <c r="D11" s="2" t="inlineStr">
        <is>
          <t>CHN</t>
        </is>
      </c>
      <c r="E11" s="2" t="inlineStr">
        <is>
          <t>108.34 CNY EXW</t>
        </is>
      </c>
      <c r="F11" s="32" t="n">
        <v>15.4</v>
      </c>
      <c r="G11" s="2" t="n">
        <v>26</v>
      </c>
      <c r="H11" s="32" t="n">
        <v>15.53</v>
      </c>
      <c r="I11" s="32" t="n">
        <v>13.84</v>
      </c>
      <c r="J11" s="32" t="n">
        <v>16.32</v>
      </c>
      <c r="K11" s="33" t="n">
        <v>0.992</v>
      </c>
      <c r="L11" s="17" t="n">
        <v>-0.11</v>
      </c>
      <c r="M11" s="2" t="inlineStr">
        <is>
          <t>no</t>
        </is>
      </c>
      <c r="N11" s="18" t="n">
        <v>0.9</v>
      </c>
      <c r="O11" s="2" t="inlineStr">
        <is>
          <t>no</t>
        </is>
      </c>
      <c r="P11" s="18" t="n">
        <v>0.9</v>
      </c>
      <c r="Q11" s="2" t="inlineStr">
        <is>
          <t>none</t>
        </is>
      </c>
      <c r="R11" s="18" t="n">
        <v>0.93</v>
      </c>
      <c r="S11" s="2" t="inlineStr">
        <is>
          <t>EXW</t>
        </is>
      </c>
      <c r="T11" s="18" t="n">
        <v>0.9</v>
      </c>
      <c r="U11" s="22" t="n"/>
      <c r="V11" s="22" t="n"/>
    </row>
    <row r="12">
      <c r="A12" s="2" t="inlineStr">
        <is>
          <t>V5</t>
        </is>
      </c>
      <c r="B12" s="2" t="inlineStr">
        <is>
          <t>Portable dental X-ray unit</t>
        </is>
      </c>
      <c r="C12" s="2" t="inlineStr">
        <is>
          <t>902214</t>
        </is>
      </c>
      <c r="D12" s="2" t="inlineStr">
        <is>
          <t>DEU</t>
        </is>
      </c>
      <c r="E12" s="2" t="inlineStr">
        <is>
          <t>5,986.16 EUR CIF</t>
        </is>
      </c>
      <c r="F12" s="32" t="n">
        <v>6300</v>
      </c>
      <c r="G12" s="2" t="n">
        <v>4</v>
      </c>
      <c r="H12" s="32" t="n">
        <v>8646.92</v>
      </c>
      <c r="I12" s="32" t="n">
        <v>8338.15</v>
      </c>
      <c r="J12" s="32" t="n">
        <v>12342.22</v>
      </c>
      <c r="K12" s="33" t="n">
        <v>0.729</v>
      </c>
      <c r="L12" s="17" t="n">
        <v>-5.45</v>
      </c>
      <c r="M12" s="2" t="inlineStr">
        <is>
          <t>no</t>
        </is>
      </c>
      <c r="N12" s="18" t="n">
        <v>0.87</v>
      </c>
      <c r="O12" s="2" t="inlineStr">
        <is>
          <t>no</t>
        </is>
      </c>
      <c r="P12" s="18" t="n">
        <v>0.9</v>
      </c>
      <c r="Q12" s="2" t="inlineStr">
        <is>
          <t>none</t>
        </is>
      </c>
      <c r="R12" s="18" t="n">
        <v>0.9399999999999999</v>
      </c>
      <c r="S12" s="2" t="inlineStr">
        <is>
          <t>CIF</t>
        </is>
      </c>
      <c r="T12" s="18" t="n">
        <v>0.91</v>
      </c>
      <c r="U12" s="22" t="n"/>
      <c r="V12" s="2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row>
    <row r="14">
      <c r="A14" s="8" t="inlineStr">
        <is>
          <t>The range is a reference for a question, never a value. Fewer than 25 neighbours above the floor is too thin a range to carry a question. The Neighbours sheet recomputes the range from the 30 rows.</t>
        </is>
      </c>
      <c r="B14" s="2" t="n"/>
      <c r="C14" s="2" t="n"/>
      <c r="D14" s="2" t="n"/>
      <c r="E14" s="2" t="n"/>
      <c r="F14" s="2" t="n"/>
      <c r="G14" s="2" t="n"/>
      <c r="H14" s="2" t="n"/>
      <c r="I14" s="2" t="n"/>
      <c r="J14" s="2" t="n"/>
      <c r="K14" s="2" t="n"/>
      <c r="L14" s="2" t="n"/>
      <c r="M14" s="2" t="n"/>
      <c r="N14" s="2" t="n"/>
      <c r="O14" s="2" t="n"/>
      <c r="P14" s="2" t="n"/>
      <c r="Q14" s="2" t="n"/>
      <c r="R14" s="2" t="n"/>
      <c r="S14" s="2" t="n"/>
      <c r="T14" s="2" t="n"/>
      <c r="U14" s="2" t="n"/>
      <c r="V14" s="2" t="n"/>
    </row>
    <row r="15">
      <c r="A15" s="8" t="inlineStr">
        <is>
          <t>The mistakes we see most: reading the range as a value; deciding on the median alone; ignoring EXW on the invoice against FOB declared.</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row>
  </sheetData>
  <mergeCells count="1">
    <mergeCell ref="A4:V4"/>
  </mergeCells>
  <dataValidations count="1">
    <dataValidation sqref="U8:U12"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47"/>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V2</t>
        </is>
      </c>
      <c r="B6" s="2" t="n">
        <v>30</v>
      </c>
      <c r="C6" s="34">
        <f>COUNTIF(E14:E43,1)</f>
        <v/>
      </c>
      <c r="D6" s="35">
        <f>MEDIAN(Q14:Q43)</f>
        <v/>
      </c>
      <c r="E6" s="35">
        <f>QUARTILE(Q14:Q43,1)</f>
        <v/>
      </c>
      <c r="F6" s="35">
        <f>QUARTILE(Q14:Q43,3)</f>
        <v/>
      </c>
      <c r="G6" s="32" t="n">
        <v>61</v>
      </c>
      <c r="H6" s="36">
        <f>IF(D6=0,"",G6/D6)</f>
        <v/>
      </c>
      <c r="I6" s="2" t="n"/>
      <c r="J6" s="2" t="n"/>
      <c r="K6" s="2" t="n"/>
      <c r="L6" s="2" t="n"/>
      <c r="M6" s="2" t="n"/>
      <c r="N6" s="2" t="n"/>
      <c r="O6" s="2" t="n"/>
      <c r="P6" s="2" t="n"/>
      <c r="Q6" s="2" t="n"/>
    </row>
    <row r="7">
      <c r="A7" s="2" t="inlineStr">
        <is>
          <t>V1</t>
        </is>
      </c>
      <c r="B7" s="2" t="n">
        <v>30</v>
      </c>
      <c r="C7" s="34">
        <f>COUNTIF(E44:E73,1)</f>
        <v/>
      </c>
      <c r="D7" s="35">
        <f>MEDIAN(Q44:Q73)</f>
        <v/>
      </c>
      <c r="E7" s="35">
        <f>QUARTILE(Q44:Q73,1)</f>
        <v/>
      </c>
      <c r="F7" s="35">
        <f>QUARTILE(Q44:Q73,3)</f>
        <v/>
      </c>
      <c r="G7" s="32" t="n">
        <v>110.74</v>
      </c>
      <c r="H7" s="36">
        <f>IF(D7=0,"",G7/D7)</f>
        <v/>
      </c>
      <c r="I7" s="2" t="n"/>
      <c r="J7" s="2" t="n"/>
      <c r="K7" s="2" t="n"/>
      <c r="L7" s="2" t="n"/>
      <c r="M7" s="2" t="n"/>
      <c r="N7" s="2" t="n"/>
      <c r="O7" s="2" t="n"/>
      <c r="P7" s="2" t="n"/>
      <c r="Q7" s="2" t="n"/>
    </row>
    <row r="8">
      <c r="A8" s="2" t="inlineStr">
        <is>
          <t>V3</t>
        </is>
      </c>
      <c r="B8" s="2" t="n">
        <v>30</v>
      </c>
      <c r="C8" s="34">
        <f>COUNTIF(E74:E103,1)</f>
        <v/>
      </c>
      <c r="D8" s="35">
        <f>MEDIAN(Q74:Q103)</f>
        <v/>
      </c>
      <c r="E8" s="35">
        <f>QUARTILE(Q74:Q103,1)</f>
        <v/>
      </c>
      <c r="F8" s="35">
        <f>QUARTILE(Q74:Q103,3)</f>
        <v/>
      </c>
      <c r="G8" s="32" t="n">
        <v>28.8</v>
      </c>
      <c r="H8" s="36">
        <f>IF(D8=0,"",G8/D8)</f>
        <v/>
      </c>
      <c r="I8" s="2" t="n"/>
      <c r="J8" s="2" t="n"/>
      <c r="K8" s="2" t="n"/>
      <c r="L8" s="2" t="n"/>
      <c r="M8" s="2" t="n"/>
      <c r="N8" s="2" t="n"/>
      <c r="O8" s="2" t="n"/>
      <c r="P8" s="2" t="n"/>
      <c r="Q8" s="2" t="n"/>
    </row>
    <row r="9">
      <c r="A9" s="2" t="inlineStr">
        <is>
          <t>V4</t>
        </is>
      </c>
      <c r="B9" s="2" t="n">
        <v>30</v>
      </c>
      <c r="C9" s="34">
        <f>COUNTIF(E104:E133,1)</f>
        <v/>
      </c>
      <c r="D9" s="35">
        <f>MEDIAN(Q104:Q133)</f>
        <v/>
      </c>
      <c r="E9" s="35">
        <f>QUARTILE(Q104:Q133,1)</f>
        <v/>
      </c>
      <c r="F9" s="35">
        <f>QUARTILE(Q104:Q133,3)</f>
        <v/>
      </c>
      <c r="G9" s="32" t="n">
        <v>15.4</v>
      </c>
      <c r="H9" s="36">
        <f>IF(D9=0,"",G9/D9)</f>
        <v/>
      </c>
      <c r="I9" s="2" t="n"/>
      <c r="J9" s="2" t="n"/>
      <c r="K9" s="2" t="n"/>
      <c r="L9" s="2" t="n"/>
      <c r="M9" s="2" t="n"/>
      <c r="N9" s="2" t="n"/>
      <c r="O9" s="2" t="n"/>
      <c r="P9" s="2" t="n"/>
      <c r="Q9" s="2" t="n"/>
    </row>
    <row r="10">
      <c r="A10" s="2" t="inlineStr">
        <is>
          <t>V5</t>
        </is>
      </c>
      <c r="B10" s="2" t="n">
        <v>14</v>
      </c>
      <c r="C10" s="34">
        <f>COUNTIF(E134:E147,1)</f>
        <v/>
      </c>
      <c r="D10" s="35">
        <f>MEDIAN(Q134:Q147)</f>
        <v/>
      </c>
      <c r="E10" s="35">
        <f>QUARTILE(Q134:Q147,1)</f>
        <v/>
      </c>
      <c r="F10" s="35">
        <f>QUARTILE(Q134:Q147,3)</f>
        <v/>
      </c>
      <c r="G10" s="32" t="n">
        <v>6300</v>
      </c>
      <c r="H10" s="36">
        <f>IF(D10=0,"",G10/D10)</f>
        <v/>
      </c>
      <c r="I10" s="2" t="n"/>
      <c r="J10" s="2" t="n"/>
      <c r="K10" s="2" t="n"/>
      <c r="L10" s="2" t="n"/>
      <c r="M10" s="2" t="n"/>
      <c r="N10" s="2" t="n"/>
      <c r="O10" s="2" t="n"/>
      <c r="P10" s="2" t="n"/>
      <c r="Q10" s="2" t="n"/>
    </row>
    <row r="11">
      <c r="A11" s="8" t="inlineStr">
        <is>
          <t>The method's distance in spreads uses the typical distance from the median (the median absolute deviation) of the kept prices; the Invoices sheet prints it beside the share of the median.</t>
        </is>
      </c>
      <c r="B11" s="2" t="n"/>
      <c r="C11" s="2" t="n"/>
      <c r="D11" s="2" t="n"/>
      <c r="E11" s="2" t="n"/>
      <c r="F11" s="2" t="n"/>
      <c r="G11" s="2" t="n"/>
      <c r="H11" s="2" t="n"/>
      <c r="I11" s="2" t="n"/>
      <c r="J11" s="2" t="n"/>
      <c r="K11" s="2" t="n"/>
      <c r="L11" s="2" t="n"/>
      <c r="M11" s="2" t="n"/>
      <c r="N11" s="2" t="n"/>
      <c r="O11" s="2" t="n"/>
      <c r="P11" s="2" t="n"/>
      <c r="Q11" s="2" t="n"/>
    </row>
    <row r="12" ht="32" customHeight="1">
      <c r="A12" s="15" t="inlineStr">
        <is>
          <t>invoice line</t>
        </is>
      </c>
      <c r="B12" s="15" t="inlineStr">
        <is>
          <t>rank</t>
        </is>
      </c>
      <c r="C12" s="15" t="inlineStr">
        <is>
          <t>accepted line</t>
        </is>
      </c>
      <c r="D12" s="15" t="inlineStr">
        <is>
          <t>similarity</t>
        </is>
      </c>
      <c r="E12" s="15" t="inlineStr">
        <is>
          <t>above the floor</t>
        </is>
      </c>
      <c r="F12" s="15" t="inlineStr">
        <is>
          <t>price (USD FOB)</t>
        </is>
      </c>
      <c r="G12" s="15" t="inlineStr">
        <is>
          <t>invoice price</t>
        </is>
      </c>
      <c r="H12" s="15" t="inlineStr">
        <is>
          <t>currency</t>
        </is>
      </c>
      <c r="I12" s="15" t="inlineStr">
        <is>
          <t>incoterm</t>
        </is>
      </c>
      <c r="J12" s="15" t="inlineStr">
        <is>
          <t>quantity</t>
        </is>
      </c>
      <c r="K12" s="15" t="inlineStr">
        <is>
          <t>unit</t>
        </is>
      </c>
      <c r="L12" s="15" t="inlineStr">
        <is>
          <t>accepted on</t>
        </is>
      </c>
      <c r="M12" s="15" t="inlineStr">
        <is>
          <t>goods code</t>
        </is>
      </c>
      <c r="N12" s="15" t="inlineStr">
        <is>
          <t>origin</t>
        </is>
      </c>
      <c r="O12" s="15" t="inlineStr">
        <is>
          <t>description</t>
        </is>
      </c>
      <c r="P12" s="15" t="inlineStr">
        <is>
          <t>days before</t>
        </is>
      </c>
      <c r="Q12" s="26" t="inlineStr">
        <is>
          <t>price if kept</t>
        </is>
      </c>
    </row>
    <row r="13">
      <c r="A13" s="16" t="inlineStr">
        <is>
          <t>query_id</t>
        </is>
      </c>
      <c r="B13" s="16" t="inlineStr">
        <is>
          <t>rank</t>
        </is>
      </c>
      <c r="C13" s="16" t="inlineStr">
        <is>
          <t>line_id</t>
        </is>
      </c>
      <c r="D13" s="16" t="inlineStr">
        <is>
          <t>similarity</t>
        </is>
      </c>
      <c r="E13" s="16" t="inlineStr">
        <is>
          <t>above_floor</t>
        </is>
      </c>
      <c r="F13" s="16" t="inlineStr">
        <is>
          <t>unit_price_usd_fob</t>
        </is>
      </c>
      <c r="G13" s="16" t="inlineStr">
        <is>
          <t>unit_price</t>
        </is>
      </c>
      <c r="H13" s="16" t="inlineStr">
        <is>
          <t>currency</t>
        </is>
      </c>
      <c r="I13" s="16" t="inlineStr">
        <is>
          <t>incoterm</t>
        </is>
      </c>
      <c r="J13" s="16" t="inlineStr">
        <is>
          <t>quantity</t>
        </is>
      </c>
      <c r="K13" s="16" t="inlineStr">
        <is>
          <t>unit</t>
        </is>
      </c>
      <c r="L13" s="16" t="inlineStr">
        <is>
          <t>accepted_on</t>
        </is>
      </c>
      <c r="M13" s="16" t="inlineStr">
        <is>
          <t>hs8</t>
        </is>
      </c>
      <c r="N13" s="16" t="inlineStr">
        <is>
          <t>origin</t>
        </is>
      </c>
      <c r="O13" s="16" t="inlineStr">
        <is>
          <t>description</t>
        </is>
      </c>
      <c r="P13" s="16" t="inlineStr">
        <is>
          <t>days_before</t>
        </is>
      </c>
      <c r="Q13" s="27" t="inlineStr">
        <is>
          <t>price_if_kept</t>
        </is>
      </c>
    </row>
    <row r="14">
      <c r="A14" s="2" t="inlineStr">
        <is>
          <t>V2</t>
        </is>
      </c>
      <c r="B14" s="2" t="n">
        <v>1</v>
      </c>
      <c r="C14" s="2" t="inlineStr">
        <is>
          <t>L0250158</t>
        </is>
      </c>
      <c r="D14" s="21" t="n">
        <v>0.992</v>
      </c>
      <c r="E14" s="2" t="n">
        <v>1</v>
      </c>
      <c r="F14" s="32" t="n">
        <v>73</v>
      </c>
      <c r="G14" s="32" t="n">
        <v>75.19</v>
      </c>
      <c r="H14" s="2" t="inlineStr">
        <is>
          <t>USD</t>
        </is>
      </c>
      <c r="I14" s="2" t="inlineStr">
        <is>
          <t>CIF</t>
        </is>
      </c>
      <c r="J14" s="2" t="n">
        <v>276</v>
      </c>
      <c r="K14" s="2" t="inlineStr">
        <is>
          <t>pieces</t>
        </is>
      </c>
      <c r="L14" s="2" t="inlineStr">
        <is>
          <t>2026-07-20</t>
        </is>
      </c>
      <c r="M14" s="2" t="inlineStr">
        <is>
          <t>85414301</t>
        </is>
      </c>
      <c r="N14" s="2" t="inlineStr">
        <is>
          <t>CHN</t>
        </is>
      </c>
      <c r="O14" s="2" t="inlineStr">
        <is>
          <t>Monocrystalline solar panel 400W</t>
        </is>
      </c>
      <c r="P14" s="2" t="n">
        <v>72</v>
      </c>
      <c r="Q14" s="35">
        <f>IF(E14=1,F14,"")</f>
        <v/>
      </c>
    </row>
    <row r="15">
      <c r="A15" s="2" t="inlineStr">
        <is>
          <t>V2</t>
        </is>
      </c>
      <c r="B15" s="2" t="n">
        <v>2</v>
      </c>
      <c r="C15" s="2" t="inlineStr">
        <is>
          <t>L0250157</t>
        </is>
      </c>
      <c r="D15" s="21" t="n">
        <v>0.992</v>
      </c>
      <c r="E15" s="2" t="n">
        <v>1</v>
      </c>
      <c r="F15" s="32" t="n">
        <v>72</v>
      </c>
      <c r="G15" s="32" t="n">
        <v>69.90000000000001</v>
      </c>
      <c r="H15" s="2" t="inlineStr">
        <is>
          <t>USD</t>
        </is>
      </c>
      <c r="I15" s="2" t="inlineStr">
        <is>
          <t>EXW</t>
        </is>
      </c>
      <c r="J15" s="2" t="n">
        <v>142</v>
      </c>
      <c r="K15" s="2" t="inlineStr">
        <is>
          <t>pieces</t>
        </is>
      </c>
      <c r="L15" s="2" t="inlineStr">
        <is>
          <t>2026-07-22</t>
        </is>
      </c>
      <c r="M15" s="2" t="inlineStr">
        <is>
          <t>85414301</t>
        </is>
      </c>
      <c r="N15" s="2" t="inlineStr">
        <is>
          <t>CHN</t>
        </is>
      </c>
      <c r="O15" s="2" t="inlineStr">
        <is>
          <t>Monocrystalline solar panel 400W</t>
        </is>
      </c>
      <c r="P15" s="2" t="n">
        <v>70</v>
      </c>
      <c r="Q15" s="35">
        <f>IF(E15=1,F15,"")</f>
        <v/>
      </c>
    </row>
    <row r="16">
      <c r="A16" s="2" t="inlineStr">
        <is>
          <t>V2</t>
        </is>
      </c>
      <c r="B16" s="2" t="n">
        <v>3</v>
      </c>
      <c r="C16" s="2" t="inlineStr">
        <is>
          <t>L0250156</t>
        </is>
      </c>
      <c r="D16" s="21" t="n">
        <v>0.992</v>
      </c>
      <c r="E16" s="2" t="n">
        <v>1</v>
      </c>
      <c r="F16" s="32" t="n">
        <v>71</v>
      </c>
      <c r="G16" s="32" t="n">
        <v>71</v>
      </c>
      <c r="H16" s="2" t="inlineStr">
        <is>
          <t>USD</t>
        </is>
      </c>
      <c r="I16" s="2" t="inlineStr">
        <is>
          <t>FOB</t>
        </is>
      </c>
      <c r="J16" s="2" t="n">
        <v>538</v>
      </c>
      <c r="K16" s="2" t="inlineStr">
        <is>
          <t>pieces</t>
        </is>
      </c>
      <c r="L16" s="2" t="inlineStr">
        <is>
          <t>2026-08-15</t>
        </is>
      </c>
      <c r="M16" s="2" t="inlineStr">
        <is>
          <t>85414301</t>
        </is>
      </c>
      <c r="N16" s="2" t="inlineStr">
        <is>
          <t>CHN</t>
        </is>
      </c>
      <c r="O16" s="2" t="inlineStr">
        <is>
          <t>Monocrystalline solar panel 400W</t>
        </is>
      </c>
      <c r="P16" s="2" t="n">
        <v>46</v>
      </c>
      <c r="Q16" s="35">
        <f>IF(E16=1,F16,"")</f>
        <v/>
      </c>
    </row>
    <row r="17">
      <c r="A17" s="2" t="inlineStr">
        <is>
          <t>V2</t>
        </is>
      </c>
      <c r="B17" s="2" t="n">
        <v>4</v>
      </c>
      <c r="C17" s="2" t="inlineStr">
        <is>
          <t>L0250170</t>
        </is>
      </c>
      <c r="D17" s="21" t="n">
        <v>0.971</v>
      </c>
      <c r="E17" s="2" t="n">
        <v>1</v>
      </c>
      <c r="F17" s="32" t="n">
        <v>93</v>
      </c>
      <c r="G17" s="32" t="n">
        <v>90.29000000000001</v>
      </c>
      <c r="H17" s="2" t="inlineStr">
        <is>
          <t>USD</t>
        </is>
      </c>
      <c r="I17" s="2" t="inlineStr">
        <is>
          <t>EXW</t>
        </is>
      </c>
      <c r="J17" s="2" t="n">
        <v>658</v>
      </c>
      <c r="K17" s="2" t="inlineStr">
        <is>
          <t>pieces</t>
        </is>
      </c>
      <c r="L17" s="2" t="inlineStr">
        <is>
          <t>2026-07-07</t>
        </is>
      </c>
      <c r="M17" s="2" t="inlineStr">
        <is>
          <t>85414301</t>
        </is>
      </c>
      <c r="N17" s="2" t="inlineStr">
        <is>
          <t>CHN</t>
        </is>
      </c>
      <c r="O17" s="2" t="inlineStr">
        <is>
          <t>Monocrystalline solar panel 410 W</t>
        </is>
      </c>
      <c r="P17" s="2" t="n">
        <v>85</v>
      </c>
      <c r="Q17" s="35">
        <f>IF(E17=1,F17,"")</f>
        <v/>
      </c>
    </row>
    <row r="18">
      <c r="A18" s="2" t="inlineStr">
        <is>
          <t>V2</t>
        </is>
      </c>
      <c r="B18" s="2" t="n">
        <v>5</v>
      </c>
      <c r="C18" s="2" t="inlineStr">
        <is>
          <t>L0250169</t>
        </is>
      </c>
      <c r="D18" s="21" t="n">
        <v>0.971</v>
      </c>
      <c r="E18" s="2" t="n">
        <v>1</v>
      </c>
      <c r="F18" s="32" t="n">
        <v>90</v>
      </c>
      <c r="G18" s="32" t="n">
        <v>92.3</v>
      </c>
      <c r="H18" s="2" t="inlineStr">
        <is>
          <t>USD</t>
        </is>
      </c>
      <c r="I18" s="2" t="inlineStr">
        <is>
          <t>CFR</t>
        </is>
      </c>
      <c r="J18" s="2" t="n">
        <v>135</v>
      </c>
      <c r="K18" s="2" t="inlineStr">
        <is>
          <t>pieces</t>
        </is>
      </c>
      <c r="L18" s="2" t="inlineStr">
        <is>
          <t>2026-09-05</t>
        </is>
      </c>
      <c r="M18" s="2" t="inlineStr">
        <is>
          <t>85414301</t>
        </is>
      </c>
      <c r="N18" s="2" t="inlineStr">
        <is>
          <t>CHN</t>
        </is>
      </c>
      <c r="O18" s="2" t="inlineStr">
        <is>
          <t>Monocrystalline solar panel 410 W</t>
        </is>
      </c>
      <c r="P18" s="2" t="n">
        <v>25</v>
      </c>
      <c r="Q18" s="35">
        <f>IF(E18=1,F18,"")</f>
        <v/>
      </c>
    </row>
    <row r="19">
      <c r="A19" s="2" t="inlineStr">
        <is>
          <t>V2</t>
        </is>
      </c>
      <c r="B19" s="2" t="n">
        <v>6</v>
      </c>
      <c r="C19" s="2" t="inlineStr">
        <is>
          <t>L0250159</t>
        </is>
      </c>
      <c r="D19" s="21" t="n">
        <v>0.968</v>
      </c>
      <c r="E19" s="2" t="n">
        <v>1</v>
      </c>
      <c r="F19" s="32" t="n">
        <v>74</v>
      </c>
      <c r="G19" s="32" t="n">
        <v>74</v>
      </c>
      <c r="H19" s="2" t="inlineStr">
        <is>
          <t>USD</t>
        </is>
      </c>
      <c r="I19" s="2" t="inlineStr">
        <is>
          <t>FOB</t>
        </is>
      </c>
      <c r="J19" s="2" t="n">
        <v>343</v>
      </c>
      <c r="K19" s="2" t="inlineStr">
        <is>
          <t>pieces</t>
        </is>
      </c>
      <c r="L19" s="2" t="inlineStr">
        <is>
          <t>2026-07-21</t>
        </is>
      </c>
      <c r="M19" s="2" t="inlineStr">
        <is>
          <t>85414301</t>
        </is>
      </c>
      <c r="N19" s="2" t="inlineStr">
        <is>
          <t>CHN</t>
        </is>
      </c>
      <c r="O19" s="2" t="inlineStr">
        <is>
          <t>Solar panel, monocrystalline, 400 W</t>
        </is>
      </c>
      <c r="P19" s="2" t="n">
        <v>71</v>
      </c>
      <c r="Q19" s="35">
        <f>IF(E19=1,F19,"")</f>
        <v/>
      </c>
    </row>
    <row r="20">
      <c r="A20" s="2" t="inlineStr">
        <is>
          <t>V2</t>
        </is>
      </c>
      <c r="B20" s="2" t="n">
        <v>7</v>
      </c>
      <c r="C20" s="2" t="inlineStr">
        <is>
          <t>L0250160</t>
        </is>
      </c>
      <c r="D20" s="21" t="n">
        <v>0.968</v>
      </c>
      <c r="E20" s="2" t="n">
        <v>1</v>
      </c>
      <c r="F20" s="32" t="n">
        <v>75</v>
      </c>
      <c r="G20" s="32" t="n">
        <v>75</v>
      </c>
      <c r="H20" s="2" t="inlineStr">
        <is>
          <t>USD</t>
        </is>
      </c>
      <c r="I20" s="2" t="inlineStr">
        <is>
          <t>FOB</t>
        </is>
      </c>
      <c r="J20" s="2" t="n">
        <v>220</v>
      </c>
      <c r="K20" s="2" t="inlineStr">
        <is>
          <t>pieces</t>
        </is>
      </c>
      <c r="L20" s="2" t="inlineStr">
        <is>
          <t>2026-08-30</t>
        </is>
      </c>
      <c r="M20" s="2" t="inlineStr">
        <is>
          <t>85414301</t>
        </is>
      </c>
      <c r="N20" s="2" t="inlineStr">
        <is>
          <t>CHN</t>
        </is>
      </c>
      <c r="O20" s="2" t="inlineStr">
        <is>
          <t>Solar panel, monocrystalline, 400 W</t>
        </is>
      </c>
      <c r="P20" s="2" t="n">
        <v>31</v>
      </c>
      <c r="Q20" s="35">
        <f>IF(E20=1,F20,"")</f>
        <v/>
      </c>
    </row>
    <row r="21">
      <c r="A21" s="2" t="inlineStr">
        <is>
          <t>V2</t>
        </is>
      </c>
      <c r="B21" s="2" t="n">
        <v>8</v>
      </c>
      <c r="C21" s="2" t="inlineStr">
        <is>
          <t>L0250163</t>
        </is>
      </c>
      <c r="D21" s="21" t="n">
        <v>0.96</v>
      </c>
      <c r="E21" s="2" t="n">
        <v>1</v>
      </c>
      <c r="F21" s="32" t="n">
        <v>79</v>
      </c>
      <c r="G21" s="32" t="n">
        <v>81.37</v>
      </c>
      <c r="H21" s="2" t="inlineStr">
        <is>
          <t>USD</t>
        </is>
      </c>
      <c r="I21" s="2" t="inlineStr">
        <is>
          <t>CIF</t>
        </is>
      </c>
      <c r="J21" s="2" t="n">
        <v>360</v>
      </c>
      <c r="K21" s="2" t="inlineStr">
        <is>
          <t>pieces</t>
        </is>
      </c>
      <c r="L21" s="2" t="inlineStr">
        <is>
          <t>2026-07-18</t>
        </is>
      </c>
      <c r="M21" s="2" t="inlineStr">
        <is>
          <t>85414301</t>
        </is>
      </c>
      <c r="N21" s="2" t="inlineStr">
        <is>
          <t>CHN</t>
        </is>
      </c>
      <c r="O21" s="2" t="inlineStr">
        <is>
          <t>Mono solar panel 400 W</t>
        </is>
      </c>
      <c r="P21" s="2" t="n">
        <v>74</v>
      </c>
      <c r="Q21" s="35">
        <f>IF(E21=1,F21,"")</f>
        <v/>
      </c>
    </row>
    <row r="22">
      <c r="A22" s="2" t="inlineStr">
        <is>
          <t>V2</t>
        </is>
      </c>
      <c r="B22" s="2" t="n">
        <v>9</v>
      </c>
      <c r="C22" s="2" t="inlineStr">
        <is>
          <t>L0250162</t>
        </is>
      </c>
      <c r="D22" s="21" t="n">
        <v>0.96</v>
      </c>
      <c r="E22" s="2" t="n">
        <v>1</v>
      </c>
      <c r="F22" s="32" t="n">
        <v>78</v>
      </c>
      <c r="G22" s="32" t="n">
        <v>80.34</v>
      </c>
      <c r="H22" s="2" t="inlineStr">
        <is>
          <t>USD</t>
        </is>
      </c>
      <c r="I22" s="2" t="inlineStr">
        <is>
          <t>CIF</t>
        </is>
      </c>
      <c r="J22" s="2" t="n">
        <v>643</v>
      </c>
      <c r="K22" s="2" t="inlineStr">
        <is>
          <t>pieces</t>
        </is>
      </c>
      <c r="L22" s="2" t="inlineStr">
        <is>
          <t>2026-08-15</t>
        </is>
      </c>
      <c r="M22" s="2" t="inlineStr">
        <is>
          <t>85414301</t>
        </is>
      </c>
      <c r="N22" s="2" t="inlineStr">
        <is>
          <t>CHN</t>
        </is>
      </c>
      <c r="O22" s="2" t="inlineStr">
        <is>
          <t>Mono solar panel 400 W</t>
        </is>
      </c>
      <c r="P22" s="2" t="n">
        <v>46</v>
      </c>
      <c r="Q22" s="35">
        <f>IF(E22=1,F22,"")</f>
        <v/>
      </c>
    </row>
    <row r="23">
      <c r="A23" s="2" t="inlineStr">
        <is>
          <t>V2</t>
        </is>
      </c>
      <c r="B23" s="2" t="n">
        <v>10</v>
      </c>
      <c r="C23" s="2" t="inlineStr">
        <is>
          <t>L0250161</t>
        </is>
      </c>
      <c r="D23" s="21" t="n">
        <v>0.96</v>
      </c>
      <c r="E23" s="2" t="n">
        <v>1</v>
      </c>
      <c r="F23" s="32" t="n">
        <v>76</v>
      </c>
      <c r="G23" s="32" t="n">
        <v>78.28</v>
      </c>
      <c r="H23" s="2" t="inlineStr">
        <is>
          <t>USD</t>
        </is>
      </c>
      <c r="I23" s="2" t="inlineStr">
        <is>
          <t>CIF</t>
        </is>
      </c>
      <c r="J23" s="2" t="n">
        <v>182</v>
      </c>
      <c r="K23" s="2" t="inlineStr">
        <is>
          <t>pieces</t>
        </is>
      </c>
      <c r="L23" s="2" t="inlineStr">
        <is>
          <t>2026-09-10</t>
        </is>
      </c>
      <c r="M23" s="2" t="inlineStr">
        <is>
          <t>85414301</t>
        </is>
      </c>
      <c r="N23" s="2" t="inlineStr">
        <is>
          <t>CHN</t>
        </is>
      </c>
      <c r="O23" s="2" t="inlineStr">
        <is>
          <t>Mono solar panel 400 W</t>
        </is>
      </c>
      <c r="P23" s="2" t="n">
        <v>20</v>
      </c>
      <c r="Q23" s="35">
        <f>IF(E23=1,F23,"")</f>
        <v/>
      </c>
    </row>
    <row r="24">
      <c r="A24" s="2" t="inlineStr">
        <is>
          <t>V2</t>
        </is>
      </c>
      <c r="B24" s="2" t="n">
        <v>11</v>
      </c>
      <c r="C24" s="2" t="inlineStr">
        <is>
          <t>L0250164</t>
        </is>
      </c>
      <c r="D24" s="21" t="n">
        <v>0.9379999999999999</v>
      </c>
      <c r="E24" s="2" t="n">
        <v>1</v>
      </c>
      <c r="F24" s="32" t="n">
        <v>80</v>
      </c>
      <c r="G24" s="32" t="n">
        <v>82.04000000000001</v>
      </c>
      <c r="H24" s="2" t="inlineStr">
        <is>
          <t>USD</t>
        </is>
      </c>
      <c r="I24" s="2" t="inlineStr">
        <is>
          <t>CFR</t>
        </is>
      </c>
      <c r="J24" s="2" t="n">
        <v>177</v>
      </c>
      <c r="K24" s="2" t="inlineStr">
        <is>
          <t>pieces</t>
        </is>
      </c>
      <c r="L24" s="2" t="inlineStr">
        <is>
          <t>2026-07-18</t>
        </is>
      </c>
      <c r="M24" s="2" t="inlineStr">
        <is>
          <t>85414301</t>
        </is>
      </c>
      <c r="N24" s="2" t="inlineStr">
        <is>
          <t>CHN</t>
        </is>
      </c>
      <c r="O24" s="2" t="inlineStr">
        <is>
          <t>Monocrystalline solar module 400 W</t>
        </is>
      </c>
      <c r="P24" s="2" t="n">
        <v>74</v>
      </c>
      <c r="Q24" s="35">
        <f>IF(E24=1,F24,"")</f>
        <v/>
      </c>
    </row>
    <row r="25">
      <c r="A25" s="2" t="inlineStr">
        <is>
          <t>V2</t>
        </is>
      </c>
      <c r="B25" s="2" t="n">
        <v>12</v>
      </c>
      <c r="C25" s="2" t="inlineStr">
        <is>
          <t>L0250165</t>
        </is>
      </c>
      <c r="D25" s="21" t="n">
        <v>0.9379999999999999</v>
      </c>
      <c r="E25" s="2" t="n">
        <v>1</v>
      </c>
      <c r="F25" s="32" t="n">
        <v>82.09999999999999</v>
      </c>
      <c r="G25" s="32" t="n">
        <v>84.56</v>
      </c>
      <c r="H25" s="2" t="inlineStr">
        <is>
          <t>USD</t>
        </is>
      </c>
      <c r="I25" s="2" t="inlineStr">
        <is>
          <t>CIF</t>
        </is>
      </c>
      <c r="J25" s="2" t="n">
        <v>129</v>
      </c>
      <c r="K25" s="2" t="inlineStr">
        <is>
          <t>pieces</t>
        </is>
      </c>
      <c r="L25" s="2" t="inlineStr">
        <is>
          <t>2026-08-06</t>
        </is>
      </c>
      <c r="M25" s="2" t="inlineStr">
        <is>
          <t>85414301</t>
        </is>
      </c>
      <c r="N25" s="2" t="inlineStr">
        <is>
          <t>CHN</t>
        </is>
      </c>
      <c r="O25" s="2" t="inlineStr">
        <is>
          <t>Monocrystalline solar module 400 W</t>
        </is>
      </c>
      <c r="P25" s="2" t="n">
        <v>55</v>
      </c>
      <c r="Q25" s="35">
        <f>IF(E25=1,F25,"")</f>
        <v/>
      </c>
    </row>
    <row r="26">
      <c r="A26" s="2" t="inlineStr">
        <is>
          <t>V2</t>
        </is>
      </c>
      <c r="B26" s="2" t="n">
        <v>13</v>
      </c>
      <c r="C26" s="2" t="inlineStr">
        <is>
          <t>L0250168</t>
        </is>
      </c>
      <c r="D26" s="21" t="n">
        <v>0.9340000000000001</v>
      </c>
      <c r="E26" s="2" t="n">
        <v>1</v>
      </c>
      <c r="F26" s="32" t="n">
        <v>87</v>
      </c>
      <c r="G26" s="32" t="n">
        <v>84.47</v>
      </c>
      <c r="H26" s="2" t="inlineStr">
        <is>
          <t>USD</t>
        </is>
      </c>
      <c r="I26" s="2" t="inlineStr">
        <is>
          <t>EXW</t>
        </is>
      </c>
      <c r="J26" s="2" t="n">
        <v>338</v>
      </c>
      <c r="K26" s="2" t="inlineStr">
        <is>
          <t>pieces</t>
        </is>
      </c>
      <c r="L26" s="2" t="inlineStr">
        <is>
          <t>2026-07-06</t>
        </is>
      </c>
      <c r="M26" s="2" t="inlineStr">
        <is>
          <t>85414301</t>
        </is>
      </c>
      <c r="N26" s="2" t="inlineStr">
        <is>
          <t>CHN</t>
        </is>
      </c>
      <c r="O26" s="2" t="inlineStr">
        <is>
          <t>Monocrystalline photovoltaic panel 400 W</t>
        </is>
      </c>
      <c r="P26" s="2" t="n">
        <v>86</v>
      </c>
      <c r="Q26" s="35">
        <f>IF(E26=1,F26,"")</f>
        <v/>
      </c>
    </row>
    <row r="27">
      <c r="A27" s="2" t="inlineStr">
        <is>
          <t>V2</t>
        </is>
      </c>
      <c r="B27" s="2" t="n">
        <v>14</v>
      </c>
      <c r="C27" s="2" t="inlineStr">
        <is>
          <t>L0250167</t>
        </is>
      </c>
      <c r="D27" s="21" t="n">
        <v>0.9340000000000001</v>
      </c>
      <c r="E27" s="2" t="n">
        <v>1</v>
      </c>
      <c r="F27" s="32" t="n">
        <v>85</v>
      </c>
      <c r="G27" s="32" t="n">
        <v>82.52</v>
      </c>
      <c r="H27" s="2" t="inlineStr">
        <is>
          <t>USD</t>
        </is>
      </c>
      <c r="I27" s="2" t="inlineStr">
        <is>
          <t>EXW</t>
        </is>
      </c>
      <c r="J27" s="2" t="n">
        <v>374</v>
      </c>
      <c r="K27" s="2" t="inlineStr">
        <is>
          <t>pieces</t>
        </is>
      </c>
      <c r="L27" s="2" t="inlineStr">
        <is>
          <t>2026-07-17</t>
        </is>
      </c>
      <c r="M27" s="2" t="inlineStr">
        <is>
          <t>85414301</t>
        </is>
      </c>
      <c r="N27" s="2" t="inlineStr">
        <is>
          <t>CHN</t>
        </is>
      </c>
      <c r="O27" s="2" t="inlineStr">
        <is>
          <t>Monocrystalline photovoltaic panel 400 W</t>
        </is>
      </c>
      <c r="P27" s="2" t="n">
        <v>75</v>
      </c>
      <c r="Q27" s="35">
        <f>IF(E27=1,F27,"")</f>
        <v/>
      </c>
    </row>
    <row r="28">
      <c r="A28" s="2" t="inlineStr">
        <is>
          <t>V2</t>
        </is>
      </c>
      <c r="B28" s="2" t="n">
        <v>15</v>
      </c>
      <c r="C28" s="2" t="inlineStr">
        <is>
          <t>L0250166</t>
        </is>
      </c>
      <c r="D28" s="21" t="n">
        <v>0.9340000000000001</v>
      </c>
      <c r="E28" s="2" t="n">
        <v>1</v>
      </c>
      <c r="F28" s="32" t="n">
        <v>83.90000000000001</v>
      </c>
      <c r="G28" s="32" t="n">
        <v>86.42</v>
      </c>
      <c r="H28" s="2" t="inlineStr">
        <is>
          <t>USD</t>
        </is>
      </c>
      <c r="I28" s="2" t="inlineStr">
        <is>
          <t>CIF</t>
        </is>
      </c>
      <c r="J28" s="2" t="n">
        <v>216</v>
      </c>
      <c r="K28" s="2" t="inlineStr">
        <is>
          <t>pieces</t>
        </is>
      </c>
      <c r="L28" s="2" t="inlineStr">
        <is>
          <t>2026-08-01</t>
        </is>
      </c>
      <c r="M28" s="2" t="inlineStr">
        <is>
          <t>85414301</t>
        </is>
      </c>
      <c r="N28" s="2" t="inlineStr">
        <is>
          <t>CHN</t>
        </is>
      </c>
      <c r="O28" s="2" t="inlineStr">
        <is>
          <t>Monocrystalline photovoltaic panel 400 W</t>
        </is>
      </c>
      <c r="P28" s="2" t="n">
        <v>60</v>
      </c>
      <c r="Q28" s="35">
        <f>IF(E28=1,F28,"")</f>
        <v/>
      </c>
    </row>
    <row r="29">
      <c r="A29" s="2" t="inlineStr">
        <is>
          <t>V2</t>
        </is>
      </c>
      <c r="B29" s="2" t="n">
        <v>16</v>
      </c>
      <c r="C29" s="2" t="inlineStr">
        <is>
          <t>L0250155</t>
        </is>
      </c>
      <c r="D29" s="21" t="n">
        <v>0.895</v>
      </c>
      <c r="E29" s="2" t="n">
        <v>1</v>
      </c>
      <c r="F29" s="32" t="n">
        <v>70</v>
      </c>
      <c r="G29" s="32" t="n">
        <v>72.09999999999999</v>
      </c>
      <c r="H29" s="2" t="inlineStr">
        <is>
          <t>USD</t>
        </is>
      </c>
      <c r="I29" s="2" t="inlineStr">
        <is>
          <t>CIF</t>
        </is>
      </c>
      <c r="J29" s="2" t="n">
        <v>545</v>
      </c>
      <c r="K29" s="2" t="inlineStr">
        <is>
          <t>pieces</t>
        </is>
      </c>
      <c r="L29" s="2" t="inlineStr">
        <is>
          <t>2026-09-13</t>
        </is>
      </c>
      <c r="M29" s="2" t="inlineStr">
        <is>
          <t>85414301</t>
        </is>
      </c>
      <c r="N29" s="2" t="inlineStr">
        <is>
          <t>CHN</t>
        </is>
      </c>
      <c r="O29" s="2" t="inlineStr">
        <is>
          <t>单晶太阳能电池板 400W</t>
        </is>
      </c>
      <c r="P29" s="2" t="n">
        <v>17</v>
      </c>
      <c r="Q29" s="35">
        <f>IF(E29=1,F29,"")</f>
        <v/>
      </c>
    </row>
    <row r="30">
      <c r="A30" s="2" t="inlineStr">
        <is>
          <t>V2</t>
        </is>
      </c>
      <c r="B30" s="2" t="n">
        <v>17</v>
      </c>
      <c r="C30" s="2" t="inlineStr">
        <is>
          <t>L0250154</t>
        </is>
      </c>
      <c r="D30" s="21" t="n">
        <v>0.895</v>
      </c>
      <c r="E30" s="2" t="n">
        <v>1</v>
      </c>
      <c r="F30" s="32" t="n">
        <v>68</v>
      </c>
      <c r="G30" s="32" t="n">
        <v>70.04000000000001</v>
      </c>
      <c r="H30" s="2" t="inlineStr">
        <is>
          <t>USD</t>
        </is>
      </c>
      <c r="I30" s="2" t="inlineStr">
        <is>
          <t>CIF</t>
        </is>
      </c>
      <c r="J30" s="2" t="n">
        <v>208</v>
      </c>
      <c r="K30" s="2" t="inlineStr">
        <is>
          <t>pieces</t>
        </is>
      </c>
      <c r="L30" s="2" t="inlineStr">
        <is>
          <t>2026-09-20</t>
        </is>
      </c>
      <c r="M30" s="2" t="inlineStr">
        <is>
          <t>85414301</t>
        </is>
      </c>
      <c r="N30" s="2" t="inlineStr">
        <is>
          <t>CHN</t>
        </is>
      </c>
      <c r="O30" s="2" t="inlineStr">
        <is>
          <t>单晶太阳能电池板 400W</t>
        </is>
      </c>
      <c r="P30" s="2" t="n">
        <v>10</v>
      </c>
      <c r="Q30" s="35">
        <f>IF(E30=1,F30,"")</f>
        <v/>
      </c>
    </row>
    <row r="31">
      <c r="A31" s="2" t="inlineStr">
        <is>
          <t>V2</t>
        </is>
      </c>
      <c r="B31" s="2" t="n">
        <v>18</v>
      </c>
      <c r="C31" s="2" t="inlineStr">
        <is>
          <t>L0250149</t>
        </is>
      </c>
      <c r="D31" s="21" t="n">
        <v>0.891</v>
      </c>
      <c r="E31" s="2" t="n">
        <v>1</v>
      </c>
      <c r="F31" s="32" t="n">
        <v>60</v>
      </c>
      <c r="G31" s="32" t="n">
        <v>61.8</v>
      </c>
      <c r="H31" s="2" t="inlineStr">
        <is>
          <t>USD</t>
        </is>
      </c>
      <c r="I31" s="2" t="inlineStr">
        <is>
          <t>CIF</t>
        </is>
      </c>
      <c r="J31" s="2" t="n">
        <v>262</v>
      </c>
      <c r="K31" s="2" t="inlineStr">
        <is>
          <t>pieces</t>
        </is>
      </c>
      <c r="L31" s="2" t="inlineStr">
        <is>
          <t>2026-09-02</t>
        </is>
      </c>
      <c r="M31" s="2" t="inlineStr">
        <is>
          <t>85414301</t>
        </is>
      </c>
      <c r="N31" s="2" t="inlineStr">
        <is>
          <t>CHN</t>
        </is>
      </c>
      <c r="O31" s="2" t="inlineStr">
        <is>
          <t>Polycrystalline solar panel 300 W</t>
        </is>
      </c>
      <c r="P31" s="2" t="n">
        <v>28</v>
      </c>
      <c r="Q31" s="35">
        <f>IF(E31=1,F31,"")</f>
        <v/>
      </c>
    </row>
    <row r="32">
      <c r="A32" s="2" t="inlineStr">
        <is>
          <t>V2</t>
        </is>
      </c>
      <c r="B32" s="2" t="n">
        <v>19</v>
      </c>
      <c r="C32" s="2" t="inlineStr">
        <is>
          <t>L0250150</t>
        </is>
      </c>
      <c r="D32" s="21" t="n">
        <v>0.891</v>
      </c>
      <c r="E32" s="2" t="n">
        <v>1</v>
      </c>
      <c r="F32" s="32" t="n">
        <v>62</v>
      </c>
      <c r="G32" s="32" t="n">
        <v>63.58</v>
      </c>
      <c r="H32" s="2" t="inlineStr">
        <is>
          <t>USD</t>
        </is>
      </c>
      <c r="I32" s="2" t="inlineStr">
        <is>
          <t>CFR</t>
        </is>
      </c>
      <c r="J32" s="2" t="n">
        <v>413</v>
      </c>
      <c r="K32" s="2" t="inlineStr">
        <is>
          <t>pieces</t>
        </is>
      </c>
      <c r="L32" s="2" t="inlineStr">
        <is>
          <t>2026-09-02</t>
        </is>
      </c>
      <c r="M32" s="2" t="inlineStr">
        <is>
          <t>85414301</t>
        </is>
      </c>
      <c r="N32" s="2" t="inlineStr">
        <is>
          <t>CHN</t>
        </is>
      </c>
      <c r="O32" s="2" t="inlineStr">
        <is>
          <t>Polycrystalline solar panel 300 W</t>
        </is>
      </c>
      <c r="P32" s="2" t="n">
        <v>28</v>
      </c>
      <c r="Q32" s="35">
        <f>IF(E32=1,F32,"")</f>
        <v/>
      </c>
    </row>
    <row r="33">
      <c r="A33" s="2" t="inlineStr">
        <is>
          <t>V2</t>
        </is>
      </c>
      <c r="B33" s="2" t="n">
        <v>20</v>
      </c>
      <c r="C33" s="2" t="inlineStr">
        <is>
          <t>L0250152</t>
        </is>
      </c>
      <c r="D33" s="21" t="n">
        <v>0.87</v>
      </c>
      <c r="E33" s="2" t="n">
        <v>1</v>
      </c>
      <c r="F33" s="32" t="n">
        <v>65.90000000000001</v>
      </c>
      <c r="G33" s="32" t="n">
        <v>67.88</v>
      </c>
      <c r="H33" s="2" t="inlineStr">
        <is>
          <t>USD</t>
        </is>
      </c>
      <c r="I33" s="2" t="inlineStr">
        <is>
          <t>CIF</t>
        </is>
      </c>
      <c r="J33" s="2" t="n">
        <v>222</v>
      </c>
      <c r="K33" s="2" t="inlineStr">
        <is>
          <t>pieces</t>
        </is>
      </c>
      <c r="L33" s="2" t="inlineStr">
        <is>
          <t>2026-09-13</t>
        </is>
      </c>
      <c r="M33" s="2" t="inlineStr">
        <is>
          <t>85414301</t>
        </is>
      </c>
      <c r="N33" s="2" t="inlineStr">
        <is>
          <t>CHN</t>
        </is>
      </c>
      <c r="O33" s="2" t="inlineStr">
        <is>
          <t>Solar panel 400W monocrystalline silicon</t>
        </is>
      </c>
      <c r="P33" s="2" t="n">
        <v>17</v>
      </c>
      <c r="Q33" s="35">
        <f>IF(E33=1,F33,"")</f>
        <v/>
      </c>
    </row>
    <row r="34">
      <c r="A34" s="2" t="inlineStr">
        <is>
          <t>V2</t>
        </is>
      </c>
      <c r="B34" s="2" t="n">
        <v>21</v>
      </c>
      <c r="C34" s="2" t="inlineStr">
        <is>
          <t>L0250151</t>
        </is>
      </c>
      <c r="D34" s="21" t="n">
        <v>0.87</v>
      </c>
      <c r="E34" s="2" t="n">
        <v>1</v>
      </c>
      <c r="F34" s="32" t="n">
        <v>64</v>
      </c>
      <c r="G34" s="32" t="n">
        <v>64</v>
      </c>
      <c r="H34" s="2" t="inlineStr">
        <is>
          <t>USD</t>
        </is>
      </c>
      <c r="I34" s="2" t="inlineStr">
        <is>
          <t>FOB</t>
        </is>
      </c>
      <c r="J34" s="2" t="n">
        <v>164</v>
      </c>
      <c r="K34" s="2" t="inlineStr">
        <is>
          <t>pieces</t>
        </is>
      </c>
      <c r="L34" s="2" t="inlineStr">
        <is>
          <t>2026-09-21</t>
        </is>
      </c>
      <c r="M34" s="2" t="inlineStr">
        <is>
          <t>85414301</t>
        </is>
      </c>
      <c r="N34" s="2" t="inlineStr">
        <is>
          <t>CHN</t>
        </is>
      </c>
      <c r="O34" s="2" t="inlineStr">
        <is>
          <t>Solar panel 400W monocrystalline silicon</t>
        </is>
      </c>
      <c r="P34" s="2" t="n">
        <v>9</v>
      </c>
      <c r="Q34" s="35">
        <f>IF(E34=1,F34,"")</f>
        <v/>
      </c>
    </row>
    <row r="35">
      <c r="A35" s="2" t="inlineStr">
        <is>
          <t>V2</t>
        </is>
      </c>
      <c r="B35" s="2" t="n">
        <v>22</v>
      </c>
      <c r="C35" s="2" t="inlineStr">
        <is>
          <t>L0250153</t>
        </is>
      </c>
      <c r="D35" s="21" t="n">
        <v>0.87</v>
      </c>
      <c r="E35" s="2" t="n">
        <v>1</v>
      </c>
      <c r="F35" s="32" t="n">
        <v>66.09999999999999</v>
      </c>
      <c r="G35" s="32" t="n">
        <v>66.09999999999999</v>
      </c>
      <c r="H35" s="2" t="inlineStr">
        <is>
          <t>USD</t>
        </is>
      </c>
      <c r="I35" s="2" t="inlineStr">
        <is>
          <t>FOB</t>
        </is>
      </c>
      <c r="J35" s="2" t="n">
        <v>376</v>
      </c>
      <c r="K35" s="2" t="inlineStr">
        <is>
          <t>pieces</t>
        </is>
      </c>
      <c r="L35" s="2" t="inlineStr">
        <is>
          <t>2026-09-23</t>
        </is>
      </c>
      <c r="M35" s="2" t="inlineStr">
        <is>
          <t>85414301</t>
        </is>
      </c>
      <c r="N35" s="2" t="inlineStr">
        <is>
          <t>CHN</t>
        </is>
      </c>
      <c r="O35" s="2" t="inlineStr">
        <is>
          <t>Solar panel 400W monocrystalline silicon</t>
        </is>
      </c>
      <c r="P35" s="2" t="n">
        <v>7</v>
      </c>
      <c r="Q35" s="35">
        <f>IF(E35=1,F35,"")</f>
        <v/>
      </c>
    </row>
    <row r="36">
      <c r="A36" s="2" t="inlineStr">
        <is>
          <t>V2</t>
        </is>
      </c>
      <c r="B36" s="2" t="n">
        <v>23</v>
      </c>
      <c r="C36" s="2" t="inlineStr">
        <is>
          <t>L0250171</t>
        </is>
      </c>
      <c r="D36" s="21" t="n">
        <v>0.866</v>
      </c>
      <c r="E36" s="2" t="n">
        <v>1</v>
      </c>
      <c r="F36" s="32" t="n">
        <v>96</v>
      </c>
      <c r="G36" s="32" t="n">
        <v>96</v>
      </c>
      <c r="H36" s="2" t="inlineStr">
        <is>
          <t>USD</t>
        </is>
      </c>
      <c r="I36" s="2" t="inlineStr">
        <is>
          <t>FOB</t>
        </is>
      </c>
      <c r="J36" s="2" t="n">
        <v>492</v>
      </c>
      <c r="K36" s="2" t="inlineStr">
        <is>
          <t>pieces</t>
        </is>
      </c>
      <c r="L36" s="2" t="inlineStr">
        <is>
          <t>2026-09-12</t>
        </is>
      </c>
      <c r="M36" s="2" t="inlineStr">
        <is>
          <t>85414301</t>
        </is>
      </c>
      <c r="N36" s="2" t="inlineStr">
        <is>
          <t>CHN</t>
        </is>
      </c>
      <c r="O36" s="2" t="inlineStr">
        <is>
          <t>Solar panel 550 W bifacial</t>
        </is>
      </c>
      <c r="P36" s="2" t="n">
        <v>18</v>
      </c>
      <c r="Q36" s="35">
        <f>IF(E36=1,F36,"")</f>
        <v/>
      </c>
    </row>
    <row r="37">
      <c r="A37" s="2" t="inlineStr">
        <is>
          <t>V2</t>
        </is>
      </c>
      <c r="B37" s="2" t="n">
        <v>24</v>
      </c>
      <c r="C37" s="2" t="inlineStr">
        <is>
          <t>L0250172</t>
        </is>
      </c>
      <c r="D37" s="21" t="n">
        <v>0.866</v>
      </c>
      <c r="E37" s="2" t="n">
        <v>1</v>
      </c>
      <c r="F37" s="32" t="n">
        <v>100</v>
      </c>
      <c r="G37" s="32" t="n">
        <v>103</v>
      </c>
      <c r="H37" s="2" t="inlineStr">
        <is>
          <t>USD</t>
        </is>
      </c>
      <c r="I37" s="2" t="inlineStr">
        <is>
          <t>CIF</t>
        </is>
      </c>
      <c r="J37" s="2" t="n">
        <v>248</v>
      </c>
      <c r="K37" s="2" t="inlineStr">
        <is>
          <t>pieces</t>
        </is>
      </c>
      <c r="L37" s="2" t="inlineStr">
        <is>
          <t>2026-09-12</t>
        </is>
      </c>
      <c r="M37" s="2" t="inlineStr">
        <is>
          <t>85414301</t>
        </is>
      </c>
      <c r="N37" s="2" t="inlineStr">
        <is>
          <t>CHN</t>
        </is>
      </c>
      <c r="O37" s="2" t="inlineStr">
        <is>
          <t>Solar panel 550 W bifacial</t>
        </is>
      </c>
      <c r="P37" s="2" t="n">
        <v>18</v>
      </c>
      <c r="Q37" s="35">
        <f>IF(E37=1,F37,"")</f>
        <v/>
      </c>
    </row>
    <row r="38">
      <c r="A38" s="2" t="inlineStr">
        <is>
          <t>V2</t>
        </is>
      </c>
      <c r="B38" s="2" t="n">
        <v>25</v>
      </c>
      <c r="C38" s="2" t="inlineStr">
        <is>
          <t>L0250147</t>
        </is>
      </c>
      <c r="D38" s="21" t="n">
        <v>0.859</v>
      </c>
      <c r="E38" s="2" t="n">
        <v>1</v>
      </c>
      <c r="F38" s="32" t="n">
        <v>55</v>
      </c>
      <c r="G38" s="32" t="n">
        <v>56.65</v>
      </c>
      <c r="H38" s="2" t="inlineStr">
        <is>
          <t>USD</t>
        </is>
      </c>
      <c r="I38" s="2" t="inlineStr">
        <is>
          <t>CIF</t>
        </is>
      </c>
      <c r="J38" s="2" t="n">
        <v>225</v>
      </c>
      <c r="K38" s="2" t="inlineStr">
        <is>
          <t>pieces</t>
        </is>
      </c>
      <c r="L38" s="2" t="inlineStr">
        <is>
          <t>2026-08-09</t>
        </is>
      </c>
      <c r="M38" s="2" t="inlineStr">
        <is>
          <t>85414301</t>
        </is>
      </c>
      <c r="N38" s="2" t="inlineStr">
        <is>
          <t>CHN</t>
        </is>
      </c>
      <c r="O38" s="2" t="inlineStr">
        <is>
          <t>Flexible solar panel 100 W</t>
        </is>
      </c>
      <c r="P38" s="2" t="n">
        <v>52</v>
      </c>
      <c r="Q38" s="35">
        <f>IF(E38=1,F38,"")</f>
        <v/>
      </c>
    </row>
    <row r="39">
      <c r="A39" s="2" t="inlineStr">
        <is>
          <t>V2</t>
        </is>
      </c>
      <c r="B39" s="2" t="n">
        <v>26</v>
      </c>
      <c r="C39" s="2" t="inlineStr">
        <is>
          <t>L0250146</t>
        </is>
      </c>
      <c r="D39" s="21" t="n">
        <v>0.859</v>
      </c>
      <c r="E39" s="2" t="n">
        <v>1</v>
      </c>
      <c r="F39" s="32" t="n">
        <v>52</v>
      </c>
      <c r="G39" s="32" t="n">
        <v>53.56</v>
      </c>
      <c r="H39" s="2" t="inlineStr">
        <is>
          <t>USD</t>
        </is>
      </c>
      <c r="I39" s="2" t="inlineStr">
        <is>
          <t>CIF</t>
        </is>
      </c>
      <c r="J39" s="2" t="n">
        <v>513</v>
      </c>
      <c r="K39" s="2" t="inlineStr">
        <is>
          <t>pieces</t>
        </is>
      </c>
      <c r="L39" s="2" t="inlineStr">
        <is>
          <t>2026-08-26</t>
        </is>
      </c>
      <c r="M39" s="2" t="inlineStr">
        <is>
          <t>85414301</t>
        </is>
      </c>
      <c r="N39" s="2" t="inlineStr">
        <is>
          <t>CHN</t>
        </is>
      </c>
      <c r="O39" s="2" t="inlineStr">
        <is>
          <t>Flexible solar panel 100 W</t>
        </is>
      </c>
      <c r="P39" s="2" t="n">
        <v>35</v>
      </c>
      <c r="Q39" s="35">
        <f>IF(E39=1,F39,"")</f>
        <v/>
      </c>
    </row>
    <row r="40">
      <c r="A40" s="2" t="inlineStr">
        <is>
          <t>V2</t>
        </is>
      </c>
      <c r="B40" s="2" t="n">
        <v>27</v>
      </c>
      <c r="C40" s="2" t="inlineStr">
        <is>
          <t>L0250148</t>
        </is>
      </c>
      <c r="D40" s="21" t="n">
        <v>0.859</v>
      </c>
      <c r="E40" s="2" t="n">
        <v>1</v>
      </c>
      <c r="F40" s="32" t="n">
        <v>58</v>
      </c>
      <c r="G40" s="32" t="n">
        <v>59.74</v>
      </c>
      <c r="H40" s="2" t="inlineStr">
        <is>
          <t>USD</t>
        </is>
      </c>
      <c r="I40" s="2" t="inlineStr">
        <is>
          <t>CIF</t>
        </is>
      </c>
      <c r="J40" s="2" t="n">
        <v>284</v>
      </c>
      <c r="K40" s="2" t="inlineStr">
        <is>
          <t>pieces</t>
        </is>
      </c>
      <c r="L40" s="2" t="inlineStr">
        <is>
          <t>2026-09-14</t>
        </is>
      </c>
      <c r="M40" s="2" t="inlineStr">
        <is>
          <t>85414301</t>
        </is>
      </c>
      <c r="N40" s="2" t="inlineStr">
        <is>
          <t>CHN</t>
        </is>
      </c>
      <c r="O40" s="2" t="inlineStr">
        <is>
          <t>Flexible solar panel 100 W</t>
        </is>
      </c>
      <c r="P40" s="2" t="n">
        <v>16</v>
      </c>
      <c r="Q40" s="35">
        <f>IF(E40=1,F40,"")</f>
        <v/>
      </c>
    </row>
    <row r="41">
      <c r="A41" s="2" t="inlineStr">
        <is>
          <t>V2</t>
        </is>
      </c>
      <c r="B41" s="2" t="n">
        <v>28</v>
      </c>
      <c r="C41" s="2" t="inlineStr">
        <is>
          <t>L0250176</t>
        </is>
      </c>
      <c r="D41" s="21" t="n">
        <v>0.8120000000000001</v>
      </c>
      <c r="E41" s="2" t="n">
        <v>0</v>
      </c>
      <c r="F41" s="32" t="n">
        <v>34.12</v>
      </c>
      <c r="G41" s="32" t="n">
        <v>34.99</v>
      </c>
      <c r="H41" s="2" t="inlineStr">
        <is>
          <t>USD</t>
        </is>
      </c>
      <c r="I41" s="2" t="inlineStr">
        <is>
          <t>CFR</t>
        </is>
      </c>
      <c r="J41" s="2" t="n">
        <v>174</v>
      </c>
      <c r="K41" s="2" t="inlineStr">
        <is>
          <t>pieces</t>
        </is>
      </c>
      <c r="L41" s="2" t="inlineStr">
        <is>
          <t>2026-07-08</t>
        </is>
      </c>
      <c r="M41" s="2" t="inlineStr">
        <is>
          <t>85414301</t>
        </is>
      </c>
      <c r="N41" s="2" t="inlineStr">
        <is>
          <t>CHN</t>
        </is>
      </c>
      <c r="O41" s="2" t="inlineStr">
        <is>
          <t>Portable folding solar panel 60 W</t>
        </is>
      </c>
      <c r="P41" s="2" t="n">
        <v>84</v>
      </c>
      <c r="Q41" s="35">
        <f>IF(E41=1,F41,"")</f>
        <v/>
      </c>
    </row>
    <row r="42">
      <c r="A42" s="2" t="inlineStr">
        <is>
          <t>V2</t>
        </is>
      </c>
      <c r="B42" s="2" t="n">
        <v>29</v>
      </c>
      <c r="C42" s="2" t="inlineStr">
        <is>
          <t>L0250175</t>
        </is>
      </c>
      <c r="D42" s="21" t="n">
        <v>0.8120000000000001</v>
      </c>
      <c r="E42" s="2" t="n">
        <v>0</v>
      </c>
      <c r="F42" s="32" t="n">
        <v>32.82</v>
      </c>
      <c r="G42" s="32" t="n">
        <v>33.8</v>
      </c>
      <c r="H42" s="2" t="inlineStr">
        <is>
          <t>USD</t>
        </is>
      </c>
      <c r="I42" s="2" t="inlineStr">
        <is>
          <t>CIF</t>
        </is>
      </c>
      <c r="J42" s="2" t="n">
        <v>308</v>
      </c>
      <c r="K42" s="2" t="inlineStr">
        <is>
          <t>pieces</t>
        </is>
      </c>
      <c r="L42" s="2" t="inlineStr">
        <is>
          <t>2026-07-09</t>
        </is>
      </c>
      <c r="M42" s="2" t="inlineStr">
        <is>
          <t>85414301</t>
        </is>
      </c>
      <c r="N42" s="2" t="inlineStr">
        <is>
          <t>CHN</t>
        </is>
      </c>
      <c r="O42" s="2" t="inlineStr">
        <is>
          <t>Portable folding solar panel 60 W</t>
        </is>
      </c>
      <c r="P42" s="2" t="n">
        <v>83</v>
      </c>
      <c r="Q42" s="35">
        <f>IF(E42=1,F42,"")</f>
        <v/>
      </c>
    </row>
    <row r="43">
      <c r="A43" s="2" t="inlineStr">
        <is>
          <t>V2</t>
        </is>
      </c>
      <c r="B43" s="2" t="n">
        <v>30</v>
      </c>
      <c r="C43" s="2" t="inlineStr">
        <is>
          <t>L0250174</t>
        </is>
      </c>
      <c r="D43" s="21" t="n">
        <v>0.8120000000000001</v>
      </c>
      <c r="E43" s="2" t="n">
        <v>0</v>
      </c>
      <c r="F43" s="32" t="n">
        <v>30.81</v>
      </c>
      <c r="G43" s="32" t="n">
        <v>30.81</v>
      </c>
      <c r="H43" s="2" t="inlineStr">
        <is>
          <t>USD</t>
        </is>
      </c>
      <c r="I43" s="2" t="inlineStr">
        <is>
          <t>FOB</t>
        </is>
      </c>
      <c r="J43" s="2" t="n">
        <v>198</v>
      </c>
      <c r="K43" s="2" t="inlineStr">
        <is>
          <t>pieces</t>
        </is>
      </c>
      <c r="L43" s="2" t="inlineStr">
        <is>
          <t>2026-08-02</t>
        </is>
      </c>
      <c r="M43" s="2" t="inlineStr">
        <is>
          <t>85414301</t>
        </is>
      </c>
      <c r="N43" s="2" t="inlineStr">
        <is>
          <t>CHN</t>
        </is>
      </c>
      <c r="O43" s="2" t="inlineStr">
        <is>
          <t>Portable folding solar panel 60 W</t>
        </is>
      </c>
      <c r="P43" s="2" t="n">
        <v>59</v>
      </c>
      <c r="Q43" s="35">
        <f>IF(E43=1,F43,"")</f>
        <v/>
      </c>
    </row>
    <row r="44">
      <c r="A44" s="2" t="inlineStr">
        <is>
          <t>V1</t>
        </is>
      </c>
      <c r="B44" s="2" t="n">
        <v>1</v>
      </c>
      <c r="C44" s="2" t="inlineStr">
        <is>
          <t>L0250114</t>
        </is>
      </c>
      <c r="D44" s="21" t="n">
        <v>0.995</v>
      </c>
      <c r="E44" s="2" t="n">
        <v>1</v>
      </c>
      <c r="F44" s="32" t="n">
        <v>118.29</v>
      </c>
      <c r="G44" s="32" t="n">
        <v>118.29</v>
      </c>
      <c r="H44" s="2" t="inlineStr">
        <is>
          <t>USD</t>
        </is>
      </c>
      <c r="I44" s="2" t="inlineStr">
        <is>
          <t>FOB</t>
        </is>
      </c>
      <c r="J44" s="2" t="n">
        <v>23</v>
      </c>
      <c r="K44" s="2" t="inlineStr">
        <is>
          <t>pieces</t>
        </is>
      </c>
      <c r="L44" s="2" t="inlineStr">
        <is>
          <t>2026-07-13</t>
        </is>
      </c>
      <c r="M44" s="2" t="inlineStr">
        <is>
          <t>87120001</t>
        </is>
      </c>
      <c r="N44" s="2" t="inlineStr">
        <is>
          <t>CHN</t>
        </is>
      </c>
      <c r="O44" s="2" t="inlineStr">
        <is>
          <t>Mountain bicycle, 27.5 inch, aluminium frame</t>
        </is>
      </c>
      <c r="P44" s="2" t="n">
        <v>79</v>
      </c>
      <c r="Q44" s="35">
        <f>IF(E44=1,F44,"")</f>
        <v/>
      </c>
    </row>
    <row r="45">
      <c r="A45" s="2" t="inlineStr">
        <is>
          <t>V1</t>
        </is>
      </c>
      <c r="B45" s="2" t="n">
        <v>2</v>
      </c>
      <c r="C45" s="2" t="inlineStr">
        <is>
          <t>L0250132</t>
        </is>
      </c>
      <c r="D45" s="21" t="n">
        <v>0.995</v>
      </c>
      <c r="E45" s="2" t="n">
        <v>1</v>
      </c>
      <c r="F45" s="32" t="n">
        <v>110.51</v>
      </c>
      <c r="G45" s="32" t="n">
        <v>117.14</v>
      </c>
      <c r="H45" s="2" t="inlineStr">
        <is>
          <t>USD</t>
        </is>
      </c>
      <c r="I45" s="2" t="inlineStr">
        <is>
          <t>CIF</t>
        </is>
      </c>
      <c r="J45" s="2" t="n">
        <v>33</v>
      </c>
      <c r="K45" s="2" t="inlineStr">
        <is>
          <t>pieces</t>
        </is>
      </c>
      <c r="L45" s="2" t="inlineStr">
        <is>
          <t>2026-07-14</t>
        </is>
      </c>
      <c r="M45" s="2" t="inlineStr">
        <is>
          <t>87120001</t>
        </is>
      </c>
      <c r="N45" s="2" t="inlineStr">
        <is>
          <t>CHN</t>
        </is>
      </c>
      <c r="O45" s="2" t="inlineStr">
        <is>
          <t>Mountain bicycle, 27.5 inch, aluminium frame</t>
        </is>
      </c>
      <c r="P45" s="2" t="n">
        <v>78</v>
      </c>
      <c r="Q45" s="35">
        <f>IF(E45=1,F45,"")</f>
        <v/>
      </c>
    </row>
    <row r="46">
      <c r="A46" s="2" t="inlineStr">
        <is>
          <t>V1</t>
        </is>
      </c>
      <c r="B46" s="2" t="n">
        <v>3</v>
      </c>
      <c r="C46" s="2" t="inlineStr">
        <is>
          <t>L0250120</t>
        </is>
      </c>
      <c r="D46" s="21" t="n">
        <v>0.995</v>
      </c>
      <c r="E46" s="2" t="n">
        <v>1</v>
      </c>
      <c r="F46" s="32" t="n">
        <v>134.17</v>
      </c>
      <c r="G46" s="32" t="n">
        <v>130.26</v>
      </c>
      <c r="H46" s="2" t="inlineStr">
        <is>
          <t>USD</t>
        </is>
      </c>
      <c r="I46" s="2" t="inlineStr">
        <is>
          <t>EXW</t>
        </is>
      </c>
      <c r="J46" s="2" t="n">
        <v>74</v>
      </c>
      <c r="K46" s="2" t="inlineStr">
        <is>
          <t>pieces</t>
        </is>
      </c>
      <c r="L46" s="2" t="inlineStr">
        <is>
          <t>2026-08-07</t>
        </is>
      </c>
      <c r="M46" s="2" t="inlineStr">
        <is>
          <t>87120001</t>
        </is>
      </c>
      <c r="N46" s="2" t="inlineStr">
        <is>
          <t>CHN</t>
        </is>
      </c>
      <c r="O46" s="2" t="inlineStr">
        <is>
          <t>Mountain bicycle, 27.5 inch, aluminium frame</t>
        </is>
      </c>
      <c r="P46" s="2" t="n">
        <v>54</v>
      </c>
      <c r="Q46" s="35">
        <f>IF(E46=1,F46,"")</f>
        <v/>
      </c>
    </row>
    <row r="47">
      <c r="A47" s="2" t="inlineStr">
        <is>
          <t>V1</t>
        </is>
      </c>
      <c r="B47" s="2" t="n">
        <v>4</v>
      </c>
      <c r="C47" s="2" t="inlineStr">
        <is>
          <t>L0250108</t>
        </is>
      </c>
      <c r="D47" s="21" t="n">
        <v>0.995</v>
      </c>
      <c r="E47" s="2" t="n">
        <v>1</v>
      </c>
      <c r="F47" s="32" t="n">
        <v>114.8</v>
      </c>
      <c r="G47" s="32" t="n">
        <v>114.8</v>
      </c>
      <c r="H47" s="2" t="inlineStr">
        <is>
          <t>USD</t>
        </is>
      </c>
      <c r="I47" s="2" t="inlineStr">
        <is>
          <t>FOB</t>
        </is>
      </c>
      <c r="J47" s="2" t="n">
        <v>30</v>
      </c>
      <c r="K47" s="2" t="inlineStr">
        <is>
          <t>pieces</t>
        </is>
      </c>
      <c r="L47" s="2" t="inlineStr">
        <is>
          <t>2026-09-09</t>
        </is>
      </c>
      <c r="M47" s="2" t="inlineStr">
        <is>
          <t>87120001</t>
        </is>
      </c>
      <c r="N47" s="2" t="inlineStr">
        <is>
          <t>CHN</t>
        </is>
      </c>
      <c r="O47" s="2" t="inlineStr">
        <is>
          <t>Mountain bicycle, 27.5 inch, aluminium frame</t>
        </is>
      </c>
      <c r="P47" s="2" t="n">
        <v>21</v>
      </c>
      <c r="Q47" s="35">
        <f>IF(E47=1,F47,"")</f>
        <v/>
      </c>
    </row>
    <row r="48">
      <c r="A48" s="2" t="inlineStr">
        <is>
          <t>V1</t>
        </is>
      </c>
      <c r="B48" s="2" t="n">
        <v>5</v>
      </c>
      <c r="C48" s="2" t="inlineStr">
        <is>
          <t>L0250126</t>
        </is>
      </c>
      <c r="D48" s="21" t="n">
        <v>0.995</v>
      </c>
      <c r="E48" s="2" t="n">
        <v>1</v>
      </c>
      <c r="F48" s="32" t="n">
        <v>129.66</v>
      </c>
      <c r="G48" s="32" t="n">
        <v>129.66</v>
      </c>
      <c r="H48" s="2" t="inlineStr">
        <is>
          <t>USD</t>
        </is>
      </c>
      <c r="I48" s="2" t="inlineStr">
        <is>
          <t>FOB</t>
        </is>
      </c>
      <c r="J48" s="2" t="n">
        <v>80</v>
      </c>
      <c r="K48" s="2" t="inlineStr">
        <is>
          <t>pieces</t>
        </is>
      </c>
      <c r="L48" s="2" t="inlineStr">
        <is>
          <t>2026-09-23</t>
        </is>
      </c>
      <c r="M48" s="2" t="inlineStr">
        <is>
          <t>87120001</t>
        </is>
      </c>
      <c r="N48" s="2" t="inlineStr">
        <is>
          <t>CHN</t>
        </is>
      </c>
      <c r="O48" s="2" t="inlineStr">
        <is>
          <t>Mountain bicycle, 27.5 inch, aluminium frame</t>
        </is>
      </c>
      <c r="P48" s="2" t="n">
        <v>7</v>
      </c>
      <c r="Q48" s="35">
        <f>IF(E48=1,F48,"")</f>
        <v/>
      </c>
    </row>
    <row r="49">
      <c r="A49" s="2" t="inlineStr">
        <is>
          <t>V1</t>
        </is>
      </c>
      <c r="B49" s="2" t="n">
        <v>6</v>
      </c>
      <c r="C49" s="2" t="inlineStr">
        <is>
          <t>L0250125</t>
        </is>
      </c>
      <c r="D49" s="21" t="n">
        <v>0.98</v>
      </c>
      <c r="E49" s="2" t="n">
        <v>1</v>
      </c>
      <c r="F49" s="32" t="n">
        <v>118.32</v>
      </c>
      <c r="G49" s="32" t="n">
        <v>114.87</v>
      </c>
      <c r="H49" s="2" t="inlineStr">
        <is>
          <t>USD</t>
        </is>
      </c>
      <c r="I49" s="2" t="inlineStr">
        <is>
          <t>EXW</t>
        </is>
      </c>
      <c r="J49" s="2" t="n">
        <v>47</v>
      </c>
      <c r="K49" s="2" t="inlineStr">
        <is>
          <t>pieces</t>
        </is>
      </c>
      <c r="L49" s="2" t="inlineStr">
        <is>
          <t>2026-07-16</t>
        </is>
      </c>
      <c r="M49" s="2" t="inlineStr">
        <is>
          <t>87120001</t>
        </is>
      </c>
      <c r="N49" s="2" t="inlineStr">
        <is>
          <t>CHN</t>
        </is>
      </c>
      <c r="O49" s="2" t="inlineStr">
        <is>
          <t>Aluminium frame mountain bicycle, 26 inches</t>
        </is>
      </c>
      <c r="P49" s="2" t="n">
        <v>76</v>
      </c>
      <c r="Q49" s="35">
        <f>IF(E49=1,F49,"")</f>
        <v/>
      </c>
    </row>
    <row r="50">
      <c r="A50" s="2" t="inlineStr">
        <is>
          <t>V1</t>
        </is>
      </c>
      <c r="B50" s="2" t="n">
        <v>7</v>
      </c>
      <c r="C50" s="2" t="inlineStr">
        <is>
          <t>L0250119</t>
        </is>
      </c>
      <c r="D50" s="21" t="n">
        <v>0.98</v>
      </c>
      <c r="E50" s="2" t="n">
        <v>1</v>
      </c>
      <c r="F50" s="32" t="n">
        <v>111.12</v>
      </c>
      <c r="G50" s="32" t="n">
        <v>117.79</v>
      </c>
      <c r="H50" s="2" t="inlineStr">
        <is>
          <t>USD</t>
        </is>
      </c>
      <c r="I50" s="2" t="inlineStr">
        <is>
          <t>CIF</t>
        </is>
      </c>
      <c r="J50" s="2" t="n">
        <v>27</v>
      </c>
      <c r="K50" s="2" t="inlineStr">
        <is>
          <t>pieces</t>
        </is>
      </c>
      <c r="L50" s="2" t="inlineStr">
        <is>
          <t>2026-07-25</t>
        </is>
      </c>
      <c r="M50" s="2" t="inlineStr">
        <is>
          <t>87120001</t>
        </is>
      </c>
      <c r="N50" s="2" t="inlineStr">
        <is>
          <t>CHN</t>
        </is>
      </c>
      <c r="O50" s="2" t="inlineStr">
        <is>
          <t>Aluminium frame mountain bicycle, 26 inches</t>
        </is>
      </c>
      <c r="P50" s="2" t="n">
        <v>67</v>
      </c>
      <c r="Q50" s="35">
        <f>IF(E50=1,F50,"")</f>
        <v/>
      </c>
    </row>
    <row r="51">
      <c r="A51" s="2" t="inlineStr">
        <is>
          <t>V1</t>
        </is>
      </c>
      <c r="B51" s="2" t="n">
        <v>8</v>
      </c>
      <c r="C51" s="2" t="inlineStr">
        <is>
          <t>L0250113</t>
        </is>
      </c>
      <c r="D51" s="21" t="n">
        <v>0.98</v>
      </c>
      <c r="E51" s="2" t="n">
        <v>1</v>
      </c>
      <c r="F51" s="32" t="n">
        <v>112.29</v>
      </c>
      <c r="G51" s="32" t="n">
        <v>112.29</v>
      </c>
      <c r="H51" s="2" t="inlineStr">
        <is>
          <t>USD</t>
        </is>
      </c>
      <c r="I51" s="2" t="inlineStr">
        <is>
          <t>FOB</t>
        </is>
      </c>
      <c r="J51" s="2" t="n">
        <v>114</v>
      </c>
      <c r="K51" s="2" t="inlineStr">
        <is>
          <t>pieces</t>
        </is>
      </c>
      <c r="L51" s="2" t="inlineStr">
        <is>
          <t>2026-07-29</t>
        </is>
      </c>
      <c r="M51" s="2" t="inlineStr">
        <is>
          <t>87120001</t>
        </is>
      </c>
      <c r="N51" s="2" t="inlineStr">
        <is>
          <t>CHN</t>
        </is>
      </c>
      <c r="O51" s="2" t="inlineStr">
        <is>
          <t>Aluminium frame mountain bicycle, 26 inches</t>
        </is>
      </c>
      <c r="P51" s="2" t="n">
        <v>63</v>
      </c>
      <c r="Q51" s="35">
        <f>IF(E51=1,F51,"")</f>
        <v/>
      </c>
    </row>
    <row r="52">
      <c r="A52" s="2" t="inlineStr">
        <is>
          <t>V1</t>
        </is>
      </c>
      <c r="B52" s="2" t="n">
        <v>9</v>
      </c>
      <c r="C52" s="2" t="inlineStr">
        <is>
          <t>L0250131</t>
        </is>
      </c>
      <c r="D52" s="21" t="n">
        <v>0.98</v>
      </c>
      <c r="E52" s="2" t="n">
        <v>1</v>
      </c>
      <c r="F52" s="32" t="n">
        <v>107.33</v>
      </c>
      <c r="G52" s="32" t="n">
        <v>113.77</v>
      </c>
      <c r="H52" s="2" t="inlineStr">
        <is>
          <t>USD</t>
        </is>
      </c>
      <c r="I52" s="2" t="inlineStr">
        <is>
          <t>CIF</t>
        </is>
      </c>
      <c r="J52" s="2" t="n">
        <v>67</v>
      </c>
      <c r="K52" s="2" t="inlineStr">
        <is>
          <t>pieces</t>
        </is>
      </c>
      <c r="L52" s="2" t="inlineStr">
        <is>
          <t>2026-08-12</t>
        </is>
      </c>
      <c r="M52" s="2" t="inlineStr">
        <is>
          <t>87120001</t>
        </is>
      </c>
      <c r="N52" s="2" t="inlineStr">
        <is>
          <t>CHN</t>
        </is>
      </c>
      <c r="O52" s="2" t="inlineStr">
        <is>
          <t>Aluminium frame mountain bicycle, 26 inches</t>
        </is>
      </c>
      <c r="P52" s="2" t="n">
        <v>49</v>
      </c>
      <c r="Q52" s="35">
        <f>IF(E52=1,F52,"")</f>
        <v/>
      </c>
    </row>
    <row r="53">
      <c r="A53" s="2" t="inlineStr">
        <is>
          <t>V1</t>
        </is>
      </c>
      <c r="B53" s="2" t="n">
        <v>10</v>
      </c>
      <c r="C53" s="2" t="inlineStr">
        <is>
          <t>L0250107</t>
        </is>
      </c>
      <c r="D53" s="21" t="n">
        <v>0.98</v>
      </c>
      <c r="E53" s="2" t="n">
        <v>1</v>
      </c>
      <c r="F53" s="32" t="n">
        <v>122.49</v>
      </c>
      <c r="G53" s="32" t="n">
        <v>118.92</v>
      </c>
      <c r="H53" s="2" t="inlineStr">
        <is>
          <t>USD</t>
        </is>
      </c>
      <c r="I53" s="2" t="inlineStr">
        <is>
          <t>EXW</t>
        </is>
      </c>
      <c r="J53" s="2" t="n">
        <v>42</v>
      </c>
      <c r="K53" s="2" t="inlineStr">
        <is>
          <t>pieces</t>
        </is>
      </c>
      <c r="L53" s="2" t="inlineStr">
        <is>
          <t>2026-09-26</t>
        </is>
      </c>
      <c r="M53" s="2" t="inlineStr">
        <is>
          <t>87120001</t>
        </is>
      </c>
      <c r="N53" s="2" t="inlineStr">
        <is>
          <t>CHN</t>
        </is>
      </c>
      <c r="O53" s="2" t="inlineStr">
        <is>
          <t>Aluminium frame mountain bicycle, 26 inches</t>
        </is>
      </c>
      <c r="P53" s="2" t="n">
        <v>4</v>
      </c>
      <c r="Q53" s="35">
        <f>IF(E53=1,F53,"")</f>
        <v/>
      </c>
    </row>
    <row r="54">
      <c r="A54" s="2" t="inlineStr">
        <is>
          <t>V1</t>
        </is>
      </c>
      <c r="B54" s="2" t="n">
        <v>11</v>
      </c>
      <c r="C54" s="2" t="inlineStr">
        <is>
          <t>L0250116</t>
        </is>
      </c>
      <c r="D54" s="21" t="n">
        <v>0.953</v>
      </c>
      <c r="E54" s="2" t="n">
        <v>1</v>
      </c>
      <c r="F54" s="32" t="n">
        <v>112.26</v>
      </c>
      <c r="G54" s="32" t="n">
        <v>112.26</v>
      </c>
      <c r="H54" s="2" t="inlineStr">
        <is>
          <t>USD</t>
        </is>
      </c>
      <c r="I54" s="2" t="inlineStr">
        <is>
          <t>FOB</t>
        </is>
      </c>
      <c r="J54" s="2" t="n">
        <v>91</v>
      </c>
      <c r="K54" s="2" t="inlineStr">
        <is>
          <t>pieces</t>
        </is>
      </c>
      <c r="L54" s="2" t="inlineStr">
        <is>
          <t>2026-07-15</t>
        </is>
      </c>
      <c r="M54" s="2" t="inlineStr">
        <is>
          <t>87120001</t>
        </is>
      </c>
      <c r="N54" s="2" t="inlineStr">
        <is>
          <t>CHN</t>
        </is>
      </c>
      <c r="O54" s="2" t="inlineStr">
        <is>
          <t>Mountain bike 26 inch aluminium frame</t>
        </is>
      </c>
      <c r="P54" s="2" t="n">
        <v>77</v>
      </c>
      <c r="Q54" s="35">
        <f>IF(E54=1,F54,"")</f>
        <v/>
      </c>
    </row>
    <row r="55">
      <c r="A55" s="2" t="inlineStr">
        <is>
          <t>V1</t>
        </is>
      </c>
      <c r="B55" s="2" t="n">
        <v>12</v>
      </c>
      <c r="C55" s="2" t="inlineStr">
        <is>
          <t>L0250104</t>
        </is>
      </c>
      <c r="D55" s="21" t="n">
        <v>0.953</v>
      </c>
      <c r="E55" s="2" t="n">
        <v>1</v>
      </c>
      <c r="F55" s="32" t="n">
        <v>110.27</v>
      </c>
      <c r="G55" s="32" t="n">
        <v>110.27</v>
      </c>
      <c r="H55" s="2" t="inlineStr">
        <is>
          <t>USD</t>
        </is>
      </c>
      <c r="I55" s="2" t="inlineStr">
        <is>
          <t>FOB</t>
        </is>
      </c>
      <c r="J55" s="2" t="n">
        <v>31</v>
      </c>
      <c r="K55" s="2" t="inlineStr">
        <is>
          <t>pieces</t>
        </is>
      </c>
      <c r="L55" s="2" t="inlineStr">
        <is>
          <t>2026-07-28</t>
        </is>
      </c>
      <c r="M55" s="2" t="inlineStr">
        <is>
          <t>87120001</t>
        </is>
      </c>
      <c r="N55" s="2" t="inlineStr">
        <is>
          <t>CHN</t>
        </is>
      </c>
      <c r="O55" s="2" t="inlineStr">
        <is>
          <t>Mountain bike 26 inch aluminium frame</t>
        </is>
      </c>
      <c r="P55" s="2" t="n">
        <v>64</v>
      </c>
      <c r="Q55" s="35">
        <f>IF(E55=1,F55,"")</f>
        <v/>
      </c>
    </row>
    <row r="56">
      <c r="A56" s="2" t="inlineStr">
        <is>
          <t>V1</t>
        </is>
      </c>
      <c r="B56" s="2" t="n">
        <v>13</v>
      </c>
      <c r="C56" s="2" t="inlineStr">
        <is>
          <t>L0250110</t>
        </is>
      </c>
      <c r="D56" s="21" t="n">
        <v>0.953</v>
      </c>
      <c r="E56" s="2" t="n">
        <v>1</v>
      </c>
      <c r="F56" s="32" t="n">
        <v>108.06</v>
      </c>
      <c r="G56" s="32" t="n">
        <v>114.54</v>
      </c>
      <c r="H56" s="2" t="inlineStr">
        <is>
          <t>USD</t>
        </is>
      </c>
      <c r="I56" s="2" t="inlineStr">
        <is>
          <t>CIF</t>
        </is>
      </c>
      <c r="J56" s="2" t="n">
        <v>29</v>
      </c>
      <c r="K56" s="2" t="inlineStr">
        <is>
          <t>pieces</t>
        </is>
      </c>
      <c r="L56" s="2" t="inlineStr">
        <is>
          <t>2026-07-29</t>
        </is>
      </c>
      <c r="M56" s="2" t="inlineStr">
        <is>
          <t>87120001</t>
        </is>
      </c>
      <c r="N56" s="2" t="inlineStr">
        <is>
          <t>CHN</t>
        </is>
      </c>
      <c r="O56" s="2" t="inlineStr">
        <is>
          <t>Mountain bike 26 inch aluminium frame</t>
        </is>
      </c>
      <c r="P56" s="2" t="n">
        <v>63</v>
      </c>
      <c r="Q56" s="35">
        <f>IF(E56=1,F56,"")</f>
        <v/>
      </c>
    </row>
    <row r="57">
      <c r="A57" s="2" t="inlineStr">
        <is>
          <t>V1</t>
        </is>
      </c>
      <c r="B57" s="2" t="n">
        <v>14</v>
      </c>
      <c r="C57" s="2" t="inlineStr">
        <is>
          <t>L0250134</t>
        </is>
      </c>
      <c r="D57" s="21" t="n">
        <v>0.953</v>
      </c>
      <c r="E57" s="2" t="n">
        <v>1</v>
      </c>
      <c r="F57" s="32" t="n">
        <v>110.55</v>
      </c>
      <c r="G57" s="32" t="n">
        <v>116.19</v>
      </c>
      <c r="H57" s="2" t="inlineStr">
        <is>
          <t>USD</t>
        </is>
      </c>
      <c r="I57" s="2" t="inlineStr">
        <is>
          <t>CFR</t>
        </is>
      </c>
      <c r="J57" s="2" t="n">
        <v>26</v>
      </c>
      <c r="K57" s="2" t="inlineStr">
        <is>
          <t>pieces</t>
        </is>
      </c>
      <c r="L57" s="2" t="inlineStr">
        <is>
          <t>2026-08-19</t>
        </is>
      </c>
      <c r="M57" s="2" t="inlineStr">
        <is>
          <t>87120001</t>
        </is>
      </c>
      <c r="N57" s="2" t="inlineStr">
        <is>
          <t>CHN</t>
        </is>
      </c>
      <c r="O57" s="2" t="inlineStr">
        <is>
          <t>Mountain bike 26 inch aluminium frame</t>
        </is>
      </c>
      <c r="P57" s="2" t="n">
        <v>42</v>
      </c>
      <c r="Q57" s="35">
        <f>IF(E57=1,F57,"")</f>
        <v/>
      </c>
    </row>
    <row r="58">
      <c r="A58" s="2" t="inlineStr">
        <is>
          <t>V1</t>
        </is>
      </c>
      <c r="B58" s="2" t="n">
        <v>15</v>
      </c>
      <c r="C58" s="2" t="inlineStr">
        <is>
          <t>L0250122</t>
        </is>
      </c>
      <c r="D58" s="21" t="n">
        <v>0.953</v>
      </c>
      <c r="E58" s="2" t="n">
        <v>1</v>
      </c>
      <c r="F58" s="32" t="n">
        <v>114.9</v>
      </c>
      <c r="G58" s="32" t="n">
        <v>120.76</v>
      </c>
      <c r="H58" s="2" t="inlineStr">
        <is>
          <t>USD</t>
        </is>
      </c>
      <c r="I58" s="2" t="inlineStr">
        <is>
          <t>CFR</t>
        </is>
      </c>
      <c r="J58" s="2" t="n">
        <v>14</v>
      </c>
      <c r="K58" s="2" t="inlineStr">
        <is>
          <t>pieces</t>
        </is>
      </c>
      <c r="L58" s="2" t="inlineStr">
        <is>
          <t>2026-08-30</t>
        </is>
      </c>
      <c r="M58" s="2" t="inlineStr">
        <is>
          <t>87120001</t>
        </is>
      </c>
      <c r="N58" s="2" t="inlineStr">
        <is>
          <t>CHN</t>
        </is>
      </c>
      <c r="O58" s="2" t="inlineStr">
        <is>
          <t>Mountain bike 26 inch aluminium frame</t>
        </is>
      </c>
      <c r="P58" s="2" t="n">
        <v>31</v>
      </c>
      <c r="Q58" s="35">
        <f>IF(E58=1,F58,"")</f>
        <v/>
      </c>
    </row>
    <row r="59">
      <c r="A59" s="2" t="inlineStr">
        <is>
          <t>V1</t>
        </is>
      </c>
      <c r="B59" s="2" t="n">
        <v>16</v>
      </c>
      <c r="C59" s="2" t="inlineStr">
        <is>
          <t>L0250128</t>
        </is>
      </c>
      <c r="D59" s="21" t="n">
        <v>0.953</v>
      </c>
      <c r="E59" s="2" t="n">
        <v>1</v>
      </c>
      <c r="F59" s="32" t="n">
        <v>112.17</v>
      </c>
      <c r="G59" s="32" t="n">
        <v>112.17</v>
      </c>
      <c r="H59" s="2" t="inlineStr">
        <is>
          <t>USD</t>
        </is>
      </c>
      <c r="I59" s="2" t="inlineStr">
        <is>
          <t>FOB</t>
        </is>
      </c>
      <c r="J59" s="2" t="n">
        <v>53</v>
      </c>
      <c r="K59" s="2" t="inlineStr">
        <is>
          <t>pieces</t>
        </is>
      </c>
      <c r="L59" s="2" t="inlineStr">
        <is>
          <t>2026-09-17</t>
        </is>
      </c>
      <c r="M59" s="2" t="inlineStr">
        <is>
          <t>87120001</t>
        </is>
      </c>
      <c r="N59" s="2" t="inlineStr">
        <is>
          <t>CHN</t>
        </is>
      </c>
      <c r="O59" s="2" t="inlineStr">
        <is>
          <t>Mountain bike 26 inch aluminium frame</t>
        </is>
      </c>
      <c r="P59" s="2" t="n">
        <v>13</v>
      </c>
      <c r="Q59" s="35">
        <f>IF(E59=1,F59,"")</f>
        <v/>
      </c>
    </row>
    <row r="60">
      <c r="A60" s="2" t="inlineStr">
        <is>
          <t>V1</t>
        </is>
      </c>
      <c r="B60" s="2" t="n">
        <v>17</v>
      </c>
      <c r="C60" s="2" t="inlineStr">
        <is>
          <t>L0250133</t>
        </is>
      </c>
      <c r="D60" s="21" t="n">
        <v>0.948</v>
      </c>
      <c r="E60" s="2" t="n">
        <v>1</v>
      </c>
      <c r="F60" s="32" t="n">
        <v>85.58</v>
      </c>
      <c r="G60" s="32" t="n">
        <v>85.58</v>
      </c>
      <c r="H60" s="2" t="inlineStr">
        <is>
          <t>USD</t>
        </is>
      </c>
      <c r="I60" s="2" t="inlineStr">
        <is>
          <t>FOB</t>
        </is>
      </c>
      <c r="J60" s="2" t="n">
        <v>81</v>
      </c>
      <c r="K60" s="2" t="inlineStr">
        <is>
          <t>pieces</t>
        </is>
      </c>
      <c r="L60" s="2" t="inlineStr">
        <is>
          <t>2026-07-21</t>
        </is>
      </c>
      <c r="M60" s="2" t="inlineStr">
        <is>
          <t>87120001</t>
        </is>
      </c>
      <c r="N60" s="2" t="inlineStr">
        <is>
          <t>CHN</t>
        </is>
      </c>
      <c r="O60" s="2" t="inlineStr">
        <is>
          <t>Mountain bicycle 26 inch steel frame</t>
        </is>
      </c>
      <c r="P60" s="2" t="n">
        <v>71</v>
      </c>
      <c r="Q60" s="35">
        <f>IF(E60=1,F60,"")</f>
        <v/>
      </c>
    </row>
    <row r="61">
      <c r="A61" s="2" t="inlineStr">
        <is>
          <t>V1</t>
        </is>
      </c>
      <c r="B61" s="2" t="n">
        <v>18</v>
      </c>
      <c r="C61" s="2" t="inlineStr">
        <is>
          <t>L0250127</t>
        </is>
      </c>
      <c r="D61" s="21" t="n">
        <v>0.948</v>
      </c>
      <c r="E61" s="2" t="n">
        <v>1</v>
      </c>
      <c r="F61" s="32" t="n">
        <v>93.38</v>
      </c>
      <c r="G61" s="32" t="n">
        <v>98.98</v>
      </c>
      <c r="H61" s="2" t="inlineStr">
        <is>
          <t>USD</t>
        </is>
      </c>
      <c r="I61" s="2" t="inlineStr">
        <is>
          <t>CIF</t>
        </is>
      </c>
      <c r="J61" s="2" t="n">
        <v>50</v>
      </c>
      <c r="K61" s="2" t="inlineStr">
        <is>
          <t>pieces</t>
        </is>
      </c>
      <c r="L61" s="2" t="inlineStr">
        <is>
          <t>2026-07-25</t>
        </is>
      </c>
      <c r="M61" s="2" t="inlineStr">
        <is>
          <t>87120001</t>
        </is>
      </c>
      <c r="N61" s="2" t="inlineStr">
        <is>
          <t>CHN</t>
        </is>
      </c>
      <c r="O61" s="2" t="inlineStr">
        <is>
          <t>Mountain bicycle 26 inch steel frame</t>
        </is>
      </c>
      <c r="P61" s="2" t="n">
        <v>67</v>
      </c>
      <c r="Q61" s="35">
        <f>IF(E61=1,F61,"")</f>
        <v/>
      </c>
    </row>
    <row r="62">
      <c r="A62" s="2" t="inlineStr">
        <is>
          <t>V1</t>
        </is>
      </c>
      <c r="B62" s="2" t="n">
        <v>19</v>
      </c>
      <c r="C62" s="2" t="inlineStr">
        <is>
          <t>L0250115</t>
        </is>
      </c>
      <c r="D62" s="21" t="n">
        <v>0.948</v>
      </c>
      <c r="E62" s="2" t="n">
        <v>1</v>
      </c>
      <c r="F62" s="32" t="n">
        <v>84.47</v>
      </c>
      <c r="G62" s="32" t="n">
        <v>89.54000000000001</v>
      </c>
      <c r="H62" s="2" t="inlineStr">
        <is>
          <t>USD</t>
        </is>
      </c>
      <c r="I62" s="2" t="inlineStr">
        <is>
          <t>CIF</t>
        </is>
      </c>
      <c r="J62" s="2" t="n">
        <v>120</v>
      </c>
      <c r="K62" s="2" t="inlineStr">
        <is>
          <t>pieces</t>
        </is>
      </c>
      <c r="L62" s="2" t="inlineStr">
        <is>
          <t>2026-07-26</t>
        </is>
      </c>
      <c r="M62" s="2" t="inlineStr">
        <is>
          <t>87120001</t>
        </is>
      </c>
      <c r="N62" s="2" t="inlineStr">
        <is>
          <t>CHN</t>
        </is>
      </c>
      <c r="O62" s="2" t="inlineStr">
        <is>
          <t>Mountain bicycle 26 inch steel frame</t>
        </is>
      </c>
      <c r="P62" s="2" t="n">
        <v>66</v>
      </c>
      <c r="Q62" s="35">
        <f>IF(E62=1,F62,"")</f>
        <v/>
      </c>
    </row>
    <row r="63">
      <c r="A63" s="2" t="inlineStr">
        <is>
          <t>V1</t>
        </is>
      </c>
      <c r="B63" s="2" t="n">
        <v>20</v>
      </c>
      <c r="C63" s="2" t="inlineStr">
        <is>
          <t>L0250109</t>
        </is>
      </c>
      <c r="D63" s="21" t="n">
        <v>0.948</v>
      </c>
      <c r="E63" s="2" t="n">
        <v>1</v>
      </c>
      <c r="F63" s="32" t="n">
        <v>85.93000000000001</v>
      </c>
      <c r="G63" s="32" t="n">
        <v>85.93000000000001</v>
      </c>
      <c r="H63" s="2" t="inlineStr">
        <is>
          <t>USD</t>
        </is>
      </c>
      <c r="I63" s="2" t="inlineStr">
        <is>
          <t>FOB</t>
        </is>
      </c>
      <c r="J63" s="2" t="n">
        <v>33</v>
      </c>
      <c r="K63" s="2" t="inlineStr">
        <is>
          <t>pieces</t>
        </is>
      </c>
      <c r="L63" s="2" t="inlineStr">
        <is>
          <t>2026-09-08</t>
        </is>
      </c>
      <c r="M63" s="2" t="inlineStr">
        <is>
          <t>87120001</t>
        </is>
      </c>
      <c r="N63" s="2" t="inlineStr">
        <is>
          <t>CHN</t>
        </is>
      </c>
      <c r="O63" s="2" t="inlineStr">
        <is>
          <t>Mountain bicycle 26 inch steel frame</t>
        </is>
      </c>
      <c r="P63" s="2" t="n">
        <v>22</v>
      </c>
      <c r="Q63" s="35">
        <f>IF(E63=1,F63,"")</f>
        <v/>
      </c>
    </row>
    <row r="64">
      <c r="A64" s="2" t="inlineStr">
        <is>
          <t>V1</t>
        </is>
      </c>
      <c r="B64" s="2" t="n">
        <v>21</v>
      </c>
      <c r="C64" s="2" t="inlineStr">
        <is>
          <t>L0250121</t>
        </is>
      </c>
      <c r="D64" s="21" t="n">
        <v>0.948</v>
      </c>
      <c r="E64" s="2" t="n">
        <v>1</v>
      </c>
      <c r="F64" s="32" t="n">
        <v>78.88</v>
      </c>
      <c r="G64" s="32" t="n">
        <v>83.61</v>
      </c>
      <c r="H64" s="2" t="inlineStr">
        <is>
          <t>USD</t>
        </is>
      </c>
      <c r="I64" s="2" t="inlineStr">
        <is>
          <t>CIF</t>
        </is>
      </c>
      <c r="J64" s="2" t="n">
        <v>17</v>
      </c>
      <c r="K64" s="2" t="inlineStr">
        <is>
          <t>pieces</t>
        </is>
      </c>
      <c r="L64" s="2" t="inlineStr">
        <is>
          <t>2026-09-28</t>
        </is>
      </c>
      <c r="M64" s="2" t="inlineStr">
        <is>
          <t>87120001</t>
        </is>
      </c>
      <c r="N64" s="2" t="inlineStr">
        <is>
          <t>CHN</t>
        </is>
      </c>
      <c r="O64" s="2" t="inlineStr">
        <is>
          <t>Mountain bicycle 26 inch steel frame</t>
        </is>
      </c>
      <c r="P64" s="2" t="n">
        <v>2</v>
      </c>
      <c r="Q64" s="35">
        <f>IF(E64=1,F64,"")</f>
        <v/>
      </c>
    </row>
    <row r="65">
      <c r="A65" s="2" t="inlineStr">
        <is>
          <t>V1</t>
        </is>
      </c>
      <c r="B65" s="2" t="n">
        <v>22</v>
      </c>
      <c r="C65" s="2" t="inlineStr">
        <is>
          <t>L0250135</t>
        </is>
      </c>
      <c r="D65" s="21" t="n">
        <v>0.946</v>
      </c>
      <c r="E65" s="2" t="n">
        <v>1</v>
      </c>
      <c r="F65" s="32" t="n">
        <v>103.44</v>
      </c>
      <c r="G65" s="32" t="n">
        <v>109.65</v>
      </c>
      <c r="H65" s="2" t="inlineStr">
        <is>
          <t>USD</t>
        </is>
      </c>
      <c r="I65" s="2" t="inlineStr">
        <is>
          <t>CIF</t>
        </is>
      </c>
      <c r="J65" s="2" t="n">
        <v>148</v>
      </c>
      <c r="K65" s="2" t="inlineStr">
        <is>
          <t>pieces</t>
        </is>
      </c>
      <c r="L65" s="2" t="inlineStr">
        <is>
          <t>2026-07-17</t>
        </is>
      </c>
      <c r="M65" s="2" t="inlineStr">
        <is>
          <t>87120001</t>
        </is>
      </c>
      <c r="N65" s="2" t="inlineStr">
        <is>
          <t>CHN</t>
        </is>
      </c>
      <c r="O65" s="2" t="inlineStr">
        <is>
          <t>Mountain bicycle 26" aluminum frame</t>
        </is>
      </c>
      <c r="P65" s="2" t="n">
        <v>75</v>
      </c>
      <c r="Q65" s="35">
        <f>IF(E65=1,F65,"")</f>
        <v/>
      </c>
    </row>
    <row r="66">
      <c r="A66" s="2" t="inlineStr">
        <is>
          <t>V1</t>
        </is>
      </c>
      <c r="B66" s="2" t="n">
        <v>23</v>
      </c>
      <c r="C66" s="2" t="inlineStr">
        <is>
          <t>L0250105</t>
        </is>
      </c>
      <c r="D66" s="21" t="n">
        <v>0.946</v>
      </c>
      <c r="E66" s="2" t="n">
        <v>1</v>
      </c>
      <c r="F66" s="32" t="n">
        <v>102.59</v>
      </c>
      <c r="G66" s="32" t="n">
        <v>102.59</v>
      </c>
      <c r="H66" s="2" t="inlineStr">
        <is>
          <t>USD</t>
        </is>
      </c>
      <c r="I66" s="2" t="inlineStr">
        <is>
          <t>FOB</t>
        </is>
      </c>
      <c r="J66" s="2" t="n">
        <v>91</v>
      </c>
      <c r="K66" s="2" t="inlineStr">
        <is>
          <t>pieces</t>
        </is>
      </c>
      <c r="L66" s="2" t="inlineStr">
        <is>
          <t>2026-07-31</t>
        </is>
      </c>
      <c r="M66" s="2" t="inlineStr">
        <is>
          <t>87120001</t>
        </is>
      </c>
      <c r="N66" s="2" t="inlineStr">
        <is>
          <t>CHN</t>
        </is>
      </c>
      <c r="O66" s="2" t="inlineStr">
        <is>
          <t>Mountain bicycle 26" aluminum frame</t>
        </is>
      </c>
      <c r="P66" s="2" t="n">
        <v>61</v>
      </c>
      <c r="Q66" s="35">
        <f>IF(E66=1,F66,"")</f>
        <v/>
      </c>
    </row>
    <row r="67">
      <c r="A67" s="2" t="inlineStr">
        <is>
          <t>V1</t>
        </is>
      </c>
      <c r="B67" s="2" t="n">
        <v>24</v>
      </c>
      <c r="C67" s="2" t="inlineStr">
        <is>
          <t>L0250117</t>
        </is>
      </c>
      <c r="D67" s="21" t="n">
        <v>0.946</v>
      </c>
      <c r="E67" s="2" t="n">
        <v>1</v>
      </c>
      <c r="F67" s="32" t="n">
        <v>116.94</v>
      </c>
      <c r="G67" s="32" t="n">
        <v>123.96</v>
      </c>
      <c r="H67" s="2" t="inlineStr">
        <is>
          <t>USD</t>
        </is>
      </c>
      <c r="I67" s="2" t="inlineStr">
        <is>
          <t>CIF</t>
        </is>
      </c>
      <c r="J67" s="2" t="n">
        <v>62</v>
      </c>
      <c r="K67" s="2" t="inlineStr">
        <is>
          <t>pieces</t>
        </is>
      </c>
      <c r="L67" s="2" t="inlineStr">
        <is>
          <t>2026-08-08</t>
        </is>
      </c>
      <c r="M67" s="2" t="inlineStr">
        <is>
          <t>87120001</t>
        </is>
      </c>
      <c r="N67" s="2" t="inlineStr">
        <is>
          <t>CHN</t>
        </is>
      </c>
      <c r="O67" s="2" t="inlineStr">
        <is>
          <t>Mountain bicycle 26" aluminum frame</t>
        </is>
      </c>
      <c r="P67" s="2" t="n">
        <v>53</v>
      </c>
      <c r="Q67" s="35">
        <f>IF(E67=1,F67,"")</f>
        <v/>
      </c>
    </row>
    <row r="68">
      <c r="A68" s="2" t="inlineStr">
        <is>
          <t>V1</t>
        </is>
      </c>
      <c r="B68" s="2" t="n">
        <v>25</v>
      </c>
      <c r="C68" s="2" t="inlineStr">
        <is>
          <t>L0250129</t>
        </is>
      </c>
      <c r="D68" s="21" t="n">
        <v>0.946</v>
      </c>
      <c r="E68" s="2" t="n">
        <v>1</v>
      </c>
      <c r="F68" s="32" t="n">
        <v>109.13</v>
      </c>
      <c r="G68" s="32" t="n">
        <v>115.68</v>
      </c>
      <c r="H68" s="2" t="inlineStr">
        <is>
          <t>USD</t>
        </is>
      </c>
      <c r="I68" s="2" t="inlineStr">
        <is>
          <t>CIF</t>
        </is>
      </c>
      <c r="J68" s="2" t="n">
        <v>37</v>
      </c>
      <c r="K68" s="2" t="inlineStr">
        <is>
          <t>pieces</t>
        </is>
      </c>
      <c r="L68" s="2" t="inlineStr">
        <is>
          <t>2026-08-09</t>
        </is>
      </c>
      <c r="M68" s="2" t="inlineStr">
        <is>
          <t>87120001</t>
        </is>
      </c>
      <c r="N68" s="2" t="inlineStr">
        <is>
          <t>CHN</t>
        </is>
      </c>
      <c r="O68" s="2" t="inlineStr">
        <is>
          <t>Mountain bicycle 26" aluminum frame</t>
        </is>
      </c>
      <c r="P68" s="2" t="n">
        <v>52</v>
      </c>
      <c r="Q68" s="35">
        <f>IF(E68=1,F68,"")</f>
        <v/>
      </c>
    </row>
    <row r="69">
      <c r="A69" s="2" t="inlineStr">
        <is>
          <t>V1</t>
        </is>
      </c>
      <c r="B69" s="2" t="n">
        <v>26</v>
      </c>
      <c r="C69" s="2" t="inlineStr">
        <is>
          <t>L0250111</t>
        </is>
      </c>
      <c r="D69" s="21" t="n">
        <v>0.946</v>
      </c>
      <c r="E69" s="2" t="n">
        <v>1</v>
      </c>
      <c r="F69" s="32" t="n">
        <v>114.14</v>
      </c>
      <c r="G69" s="32" t="n">
        <v>114.14</v>
      </c>
      <c r="H69" s="2" t="inlineStr">
        <is>
          <t>USD</t>
        </is>
      </c>
      <c r="I69" s="2" t="inlineStr">
        <is>
          <t>FOB</t>
        </is>
      </c>
      <c r="J69" s="2" t="n">
        <v>48</v>
      </c>
      <c r="K69" s="2" t="inlineStr">
        <is>
          <t>pieces</t>
        </is>
      </c>
      <c r="L69" s="2" t="inlineStr">
        <is>
          <t>2026-08-30</t>
        </is>
      </c>
      <c r="M69" s="2" t="inlineStr">
        <is>
          <t>87120001</t>
        </is>
      </c>
      <c r="N69" s="2" t="inlineStr">
        <is>
          <t>CHN</t>
        </is>
      </c>
      <c r="O69" s="2" t="inlineStr">
        <is>
          <t>Mountain bicycle 26" aluminum frame</t>
        </is>
      </c>
      <c r="P69" s="2" t="n">
        <v>31</v>
      </c>
      <c r="Q69" s="35">
        <f>IF(E69=1,F69,"")</f>
        <v/>
      </c>
    </row>
    <row r="70">
      <c r="A70" s="2" t="inlineStr">
        <is>
          <t>V1</t>
        </is>
      </c>
      <c r="B70" s="2" t="n">
        <v>27</v>
      </c>
      <c r="C70" s="2" t="inlineStr">
        <is>
          <t>L0250123</t>
        </is>
      </c>
      <c r="D70" s="21" t="n">
        <v>0.946</v>
      </c>
      <c r="E70" s="2" t="n">
        <v>1</v>
      </c>
      <c r="F70" s="32" t="n">
        <v>110.52</v>
      </c>
      <c r="G70" s="32" t="n">
        <v>110.52</v>
      </c>
      <c r="H70" s="2" t="inlineStr">
        <is>
          <t>USD</t>
        </is>
      </c>
      <c r="I70" s="2" t="inlineStr">
        <is>
          <t>FOB</t>
        </is>
      </c>
      <c r="J70" s="2" t="n">
        <v>37</v>
      </c>
      <c r="K70" s="2" t="inlineStr">
        <is>
          <t>pieces</t>
        </is>
      </c>
      <c r="L70" s="2" t="inlineStr">
        <is>
          <t>2026-09-07</t>
        </is>
      </c>
      <c r="M70" s="2" t="inlineStr">
        <is>
          <t>87120001</t>
        </is>
      </c>
      <c r="N70" s="2" t="inlineStr">
        <is>
          <t>CHN</t>
        </is>
      </c>
      <c r="O70" s="2" t="inlineStr">
        <is>
          <t>Mountain bicycle 26" aluminum frame</t>
        </is>
      </c>
      <c r="P70" s="2" t="n">
        <v>23</v>
      </c>
      <c r="Q70" s="35">
        <f>IF(E70=1,F70,"")</f>
        <v/>
      </c>
    </row>
    <row r="71">
      <c r="A71" s="2" t="inlineStr">
        <is>
          <t>V1</t>
        </is>
      </c>
      <c r="B71" s="2" t="n">
        <v>28</v>
      </c>
      <c r="C71" s="2" t="inlineStr">
        <is>
          <t>L0250106</t>
        </is>
      </c>
      <c r="D71" s="21" t="n">
        <v>0.916</v>
      </c>
      <c r="E71" s="2" t="n">
        <v>1</v>
      </c>
      <c r="F71" s="32" t="n">
        <v>105.95</v>
      </c>
      <c r="G71" s="32" t="n">
        <v>105.95</v>
      </c>
      <c r="H71" s="2" t="inlineStr">
        <is>
          <t>USD</t>
        </is>
      </c>
      <c r="I71" s="2" t="inlineStr">
        <is>
          <t>FOB</t>
        </is>
      </c>
      <c r="J71" s="2" t="n">
        <v>106</v>
      </c>
      <c r="K71" s="2" t="inlineStr">
        <is>
          <t>pieces</t>
        </is>
      </c>
      <c r="L71" s="2" t="inlineStr">
        <is>
          <t>2026-07-08</t>
        </is>
      </c>
      <c r="M71" s="2" t="inlineStr">
        <is>
          <t>87120001</t>
        </is>
      </c>
      <c r="N71" s="2" t="inlineStr">
        <is>
          <t>CHN</t>
        </is>
      </c>
      <c r="O71" s="2" t="inlineStr">
        <is>
          <t>MTB bicycle 26 inch alloy frame</t>
        </is>
      </c>
      <c r="P71" s="2" t="n">
        <v>84</v>
      </c>
      <c r="Q71" s="35">
        <f>IF(E71=1,F71,"")</f>
        <v/>
      </c>
    </row>
    <row r="72">
      <c r="A72" s="2" t="inlineStr">
        <is>
          <t>V1</t>
        </is>
      </c>
      <c r="B72" s="2" t="n">
        <v>29</v>
      </c>
      <c r="C72" s="2" t="inlineStr">
        <is>
          <t>L0250124</t>
        </is>
      </c>
      <c r="D72" s="21" t="n">
        <v>0.916</v>
      </c>
      <c r="E72" s="2" t="n">
        <v>1</v>
      </c>
      <c r="F72" s="32" t="n">
        <v>99.2</v>
      </c>
      <c r="G72" s="32" t="n">
        <v>104.26</v>
      </c>
      <c r="H72" s="2" t="inlineStr">
        <is>
          <t>USD</t>
        </is>
      </c>
      <c r="I72" s="2" t="inlineStr">
        <is>
          <t>CFR</t>
        </is>
      </c>
      <c r="J72" s="2" t="n">
        <v>104</v>
      </c>
      <c r="K72" s="2" t="inlineStr">
        <is>
          <t>pieces</t>
        </is>
      </c>
      <c r="L72" s="2" t="inlineStr">
        <is>
          <t>2026-08-28</t>
        </is>
      </c>
      <c r="M72" s="2" t="inlineStr">
        <is>
          <t>87120001</t>
        </is>
      </c>
      <c r="N72" s="2" t="inlineStr">
        <is>
          <t>CHN</t>
        </is>
      </c>
      <c r="O72" s="2" t="inlineStr">
        <is>
          <t>MTB bicycle 26 inch alloy frame</t>
        </is>
      </c>
      <c r="P72" s="2" t="n">
        <v>33</v>
      </c>
      <c r="Q72" s="35">
        <f>IF(E72=1,F72,"")</f>
        <v/>
      </c>
    </row>
    <row r="73">
      <c r="A73" s="2" t="inlineStr">
        <is>
          <t>V1</t>
        </is>
      </c>
      <c r="B73" s="2" t="n">
        <v>30</v>
      </c>
      <c r="C73" s="2" t="inlineStr">
        <is>
          <t>L0250130</t>
        </is>
      </c>
      <c r="D73" s="21" t="n">
        <v>0.916</v>
      </c>
      <c r="E73" s="2" t="n">
        <v>1</v>
      </c>
      <c r="F73" s="32" t="n">
        <v>105.1</v>
      </c>
      <c r="G73" s="32" t="n">
        <v>102.04</v>
      </c>
      <c r="H73" s="2" t="inlineStr">
        <is>
          <t>USD</t>
        </is>
      </c>
      <c r="I73" s="2" t="inlineStr">
        <is>
          <t>EXW</t>
        </is>
      </c>
      <c r="J73" s="2" t="n">
        <v>55</v>
      </c>
      <c r="K73" s="2" t="inlineStr">
        <is>
          <t>pieces</t>
        </is>
      </c>
      <c r="L73" s="2" t="inlineStr">
        <is>
          <t>2026-08-30</t>
        </is>
      </c>
      <c r="M73" s="2" t="inlineStr">
        <is>
          <t>87120001</t>
        </is>
      </c>
      <c r="N73" s="2" t="inlineStr">
        <is>
          <t>CHN</t>
        </is>
      </c>
      <c r="O73" s="2" t="inlineStr">
        <is>
          <t>MTB bicycle 26 inch alloy frame</t>
        </is>
      </c>
      <c r="P73" s="2" t="n">
        <v>31</v>
      </c>
      <c r="Q73" s="35">
        <f>IF(E73=1,F73,"")</f>
        <v/>
      </c>
    </row>
    <row r="74">
      <c r="A74" s="2" t="inlineStr">
        <is>
          <t>V3</t>
        </is>
      </c>
      <c r="B74" s="2" t="n">
        <v>1</v>
      </c>
      <c r="C74" s="2" t="inlineStr">
        <is>
          <t>L0250179</t>
        </is>
      </c>
      <c r="D74" s="21" t="n">
        <v>0.988</v>
      </c>
      <c r="E74" s="2" t="n">
        <v>1</v>
      </c>
      <c r="F74" s="32" t="n">
        <v>27.8</v>
      </c>
      <c r="G74" s="32" t="n">
        <v>27.8</v>
      </c>
      <c r="H74" s="2" t="inlineStr">
        <is>
          <t>USD</t>
        </is>
      </c>
      <c r="I74" s="2" t="inlineStr">
        <is>
          <t>FOB</t>
        </is>
      </c>
      <c r="J74" s="2" t="n">
        <v>161</v>
      </c>
      <c r="K74" s="2" t="inlineStr">
        <is>
          <t>pieces</t>
        </is>
      </c>
      <c r="L74" s="2" t="inlineStr">
        <is>
          <t>2026-07-06</t>
        </is>
      </c>
      <c r="M74" s="2" t="inlineStr">
        <is>
          <t>94036001</t>
        </is>
      </c>
      <c r="N74" s="2" t="inlineStr">
        <is>
          <t>MYS</t>
        </is>
      </c>
      <c r="O74" s="2" t="inlineStr">
        <is>
          <t>Dining chair, rubber wood</t>
        </is>
      </c>
      <c r="P74" s="2" t="n">
        <v>86</v>
      </c>
      <c r="Q74" s="35">
        <f>IF(E74=1,F74,"")</f>
        <v/>
      </c>
    </row>
    <row r="75">
      <c r="A75" s="2" t="inlineStr">
        <is>
          <t>V3</t>
        </is>
      </c>
      <c r="B75" s="2" t="n">
        <v>2</v>
      </c>
      <c r="C75" s="2" t="inlineStr">
        <is>
          <t>L0250195</t>
        </is>
      </c>
      <c r="D75" s="21" t="n">
        <v>0.988</v>
      </c>
      <c r="E75" s="2" t="n">
        <v>1</v>
      </c>
      <c r="F75" s="32" t="n">
        <v>25.29</v>
      </c>
      <c r="G75" s="32" t="n">
        <v>24.55</v>
      </c>
      <c r="H75" s="2" t="inlineStr">
        <is>
          <t>USD</t>
        </is>
      </c>
      <c r="I75" s="2" t="inlineStr">
        <is>
          <t>EXW</t>
        </is>
      </c>
      <c r="J75" s="2" t="n">
        <v>226</v>
      </c>
      <c r="K75" s="2" t="inlineStr">
        <is>
          <t>pieces</t>
        </is>
      </c>
      <c r="L75" s="2" t="inlineStr">
        <is>
          <t>2026-07-31</t>
        </is>
      </c>
      <c r="M75" s="2" t="inlineStr">
        <is>
          <t>94036001</t>
        </is>
      </c>
      <c r="N75" s="2" t="inlineStr">
        <is>
          <t>MYS</t>
        </is>
      </c>
      <c r="O75" s="2" t="inlineStr">
        <is>
          <t>Dining chair, rubber wood</t>
        </is>
      </c>
      <c r="P75" s="2" t="n">
        <v>61</v>
      </c>
      <c r="Q75" s="35">
        <f>IF(E75=1,F75,"")</f>
        <v/>
      </c>
    </row>
    <row r="76">
      <c r="A76" s="2" t="inlineStr">
        <is>
          <t>V3</t>
        </is>
      </c>
      <c r="B76" s="2" t="n">
        <v>3</v>
      </c>
      <c r="C76" s="2" t="inlineStr">
        <is>
          <t>L0250187</t>
        </is>
      </c>
      <c r="D76" s="21" t="n">
        <v>0.988</v>
      </c>
      <c r="E76" s="2" t="n">
        <v>1</v>
      </c>
      <c r="F76" s="32" t="n">
        <v>27.39</v>
      </c>
      <c r="G76" s="32" t="n">
        <v>27.39</v>
      </c>
      <c r="H76" s="2" t="inlineStr">
        <is>
          <t>USD</t>
        </is>
      </c>
      <c r="I76" s="2" t="inlineStr">
        <is>
          <t>FOB</t>
        </is>
      </c>
      <c r="J76" s="2" t="n">
        <v>216</v>
      </c>
      <c r="K76" s="2" t="inlineStr">
        <is>
          <t>pieces</t>
        </is>
      </c>
      <c r="L76" s="2" t="inlineStr">
        <is>
          <t>2026-08-10</t>
        </is>
      </c>
      <c r="M76" s="2" t="inlineStr">
        <is>
          <t>94036001</t>
        </is>
      </c>
      <c r="N76" s="2" t="inlineStr">
        <is>
          <t>MYS</t>
        </is>
      </c>
      <c r="O76" s="2" t="inlineStr">
        <is>
          <t>Dining chair, rubber wood</t>
        </is>
      </c>
      <c r="P76" s="2" t="n">
        <v>51</v>
      </c>
      <c r="Q76" s="35">
        <f>IF(E76=1,F76,"")</f>
        <v/>
      </c>
    </row>
    <row r="77">
      <c r="A77" s="2" t="inlineStr">
        <is>
          <t>V3</t>
        </is>
      </c>
      <c r="B77" s="2" t="n">
        <v>4</v>
      </c>
      <c r="C77" s="2" t="inlineStr">
        <is>
          <t>L0250203</t>
        </is>
      </c>
      <c r="D77" s="21" t="n">
        <v>0.988</v>
      </c>
      <c r="E77" s="2" t="n">
        <v>1</v>
      </c>
      <c r="F77" s="32" t="n">
        <v>27.29</v>
      </c>
      <c r="G77" s="32" t="n">
        <v>27.29</v>
      </c>
      <c r="H77" s="2" t="inlineStr">
        <is>
          <t>USD</t>
        </is>
      </c>
      <c r="I77" s="2" t="inlineStr">
        <is>
          <t>FOB</t>
        </is>
      </c>
      <c r="J77" s="2" t="n">
        <v>238</v>
      </c>
      <c r="K77" s="2" t="inlineStr">
        <is>
          <t>pieces</t>
        </is>
      </c>
      <c r="L77" s="2" t="inlineStr">
        <is>
          <t>2026-08-13</t>
        </is>
      </c>
      <c r="M77" s="2" t="inlineStr">
        <is>
          <t>94036001</t>
        </is>
      </c>
      <c r="N77" s="2" t="inlineStr">
        <is>
          <t>MYS</t>
        </is>
      </c>
      <c r="O77" s="2" t="inlineStr">
        <is>
          <t>Dining chair, rubber wood</t>
        </is>
      </c>
      <c r="P77" s="2" t="n">
        <v>48</v>
      </c>
      <c r="Q77" s="35">
        <f>IF(E77=1,F77,"")</f>
        <v/>
      </c>
    </row>
    <row r="78">
      <c r="A78" s="2" t="inlineStr">
        <is>
          <t>V3</t>
        </is>
      </c>
      <c r="B78" s="2" t="n">
        <v>5</v>
      </c>
      <c r="C78" s="2" t="inlineStr">
        <is>
          <t>L0250188</t>
        </is>
      </c>
      <c r="D78" s="21" t="n">
        <v>0.968</v>
      </c>
      <c r="E78" s="2" t="n">
        <v>1</v>
      </c>
      <c r="F78" s="32" t="n">
        <v>26.11</v>
      </c>
      <c r="G78" s="32" t="n">
        <v>28.2</v>
      </c>
      <c r="H78" s="2" t="inlineStr">
        <is>
          <t>USD</t>
        </is>
      </c>
      <c r="I78" s="2" t="inlineStr">
        <is>
          <t>CIF</t>
        </is>
      </c>
      <c r="J78" s="2" t="n">
        <v>208</v>
      </c>
      <c r="K78" s="2" t="inlineStr">
        <is>
          <t>pieces</t>
        </is>
      </c>
      <c r="L78" s="2" t="inlineStr">
        <is>
          <t>2026-08-05</t>
        </is>
      </c>
      <c r="M78" s="2" t="inlineStr">
        <is>
          <t>94036001</t>
        </is>
      </c>
      <c r="N78" s="2" t="inlineStr">
        <is>
          <t>MYS</t>
        </is>
      </c>
      <c r="O78" s="2" t="inlineStr">
        <is>
          <t>Rubberwood dining chair</t>
        </is>
      </c>
      <c r="P78" s="2" t="n">
        <v>56</v>
      </c>
      <c r="Q78" s="35">
        <f>IF(E78=1,F78,"")</f>
        <v/>
      </c>
    </row>
    <row r="79">
      <c r="A79" s="2" t="inlineStr">
        <is>
          <t>V3</t>
        </is>
      </c>
      <c r="B79" s="2" t="n">
        <v>6</v>
      </c>
      <c r="C79" s="2" t="inlineStr">
        <is>
          <t>L0250196</t>
        </is>
      </c>
      <c r="D79" s="21" t="n">
        <v>0.968</v>
      </c>
      <c r="E79" s="2" t="n">
        <v>1</v>
      </c>
      <c r="F79" s="32" t="n">
        <v>32.68</v>
      </c>
      <c r="G79" s="32" t="n">
        <v>35.29</v>
      </c>
      <c r="H79" s="2" t="inlineStr">
        <is>
          <t>USD</t>
        </is>
      </c>
      <c r="I79" s="2" t="inlineStr">
        <is>
          <t>CIF</t>
        </is>
      </c>
      <c r="J79" s="2" t="n">
        <v>136</v>
      </c>
      <c r="K79" s="2" t="inlineStr">
        <is>
          <t>pieces</t>
        </is>
      </c>
      <c r="L79" s="2" t="inlineStr">
        <is>
          <t>2026-08-25</t>
        </is>
      </c>
      <c r="M79" s="2" t="inlineStr">
        <is>
          <t>94036001</t>
        </is>
      </c>
      <c r="N79" s="2" t="inlineStr">
        <is>
          <t>MYS</t>
        </is>
      </c>
      <c r="O79" s="2" t="inlineStr">
        <is>
          <t>Rubberwood dining chair</t>
        </is>
      </c>
      <c r="P79" s="2" t="n">
        <v>36</v>
      </c>
      <c r="Q79" s="35">
        <f>IF(E79=1,F79,"")</f>
        <v/>
      </c>
    </row>
    <row r="80">
      <c r="A80" s="2" t="inlineStr">
        <is>
          <t>V3</t>
        </is>
      </c>
      <c r="B80" s="2" t="n">
        <v>7</v>
      </c>
      <c r="C80" s="2" t="inlineStr">
        <is>
          <t>L0250180</t>
        </is>
      </c>
      <c r="D80" s="21" t="n">
        <v>0.968</v>
      </c>
      <c r="E80" s="2" t="n">
        <v>1</v>
      </c>
      <c r="F80" s="32" t="n">
        <v>28.73</v>
      </c>
      <c r="G80" s="32" t="n">
        <v>31.03</v>
      </c>
      <c r="H80" s="2" t="inlineStr">
        <is>
          <t>USD</t>
        </is>
      </c>
      <c r="I80" s="2" t="inlineStr">
        <is>
          <t>CIF</t>
        </is>
      </c>
      <c r="J80" s="2" t="n">
        <v>278</v>
      </c>
      <c r="K80" s="2" t="inlineStr">
        <is>
          <t>pieces</t>
        </is>
      </c>
      <c r="L80" s="2" t="inlineStr">
        <is>
          <t>2026-09-13</t>
        </is>
      </c>
      <c r="M80" s="2" t="inlineStr">
        <is>
          <t>94036001</t>
        </is>
      </c>
      <c r="N80" s="2" t="inlineStr">
        <is>
          <t>MYS</t>
        </is>
      </c>
      <c r="O80" s="2" t="inlineStr">
        <is>
          <t>Rubberwood dining chair</t>
        </is>
      </c>
      <c r="P80" s="2" t="n">
        <v>17</v>
      </c>
      <c r="Q80" s="35">
        <f>IF(E80=1,F80,"")</f>
        <v/>
      </c>
    </row>
    <row r="81">
      <c r="A81" s="2" t="inlineStr">
        <is>
          <t>V3</t>
        </is>
      </c>
      <c r="B81" s="2" t="n">
        <v>8</v>
      </c>
      <c r="C81" s="2" t="inlineStr">
        <is>
          <t>L0250204</t>
        </is>
      </c>
      <c r="D81" s="21" t="n">
        <v>0.968</v>
      </c>
      <c r="E81" s="2" t="n">
        <v>1</v>
      </c>
      <c r="F81" s="32" t="n">
        <v>31.76</v>
      </c>
      <c r="G81" s="32" t="n">
        <v>31.76</v>
      </c>
      <c r="H81" s="2" t="inlineStr">
        <is>
          <t>USD</t>
        </is>
      </c>
      <c r="I81" s="2" t="inlineStr">
        <is>
          <t>FOB</t>
        </is>
      </c>
      <c r="J81" s="2" t="n">
        <v>46</v>
      </c>
      <c r="K81" s="2" t="inlineStr">
        <is>
          <t>pieces</t>
        </is>
      </c>
      <c r="L81" s="2" t="inlineStr">
        <is>
          <t>2026-09-29</t>
        </is>
      </c>
      <c r="M81" s="2" t="inlineStr">
        <is>
          <t>94036001</t>
        </is>
      </c>
      <c r="N81" s="2" t="inlineStr">
        <is>
          <t>MYS</t>
        </is>
      </c>
      <c r="O81" s="2" t="inlineStr">
        <is>
          <t>Rubberwood dining chair</t>
        </is>
      </c>
      <c r="P81" s="2" t="n">
        <v>1</v>
      </c>
      <c r="Q81" s="35">
        <f>IF(E81=1,F81,"")</f>
        <v/>
      </c>
    </row>
    <row r="82">
      <c r="A82" s="2" t="inlineStr">
        <is>
          <t>V3</t>
        </is>
      </c>
      <c r="B82" s="2" t="n">
        <v>9</v>
      </c>
      <c r="C82" s="2" t="inlineStr">
        <is>
          <t>L0250189</t>
        </is>
      </c>
      <c r="D82" s="21" t="n">
        <v>0.945</v>
      </c>
      <c r="E82" s="2" t="n">
        <v>1</v>
      </c>
      <c r="F82" s="32" t="n">
        <v>26.24</v>
      </c>
      <c r="G82" s="32" t="n">
        <v>26.24</v>
      </c>
      <c r="H82" s="2" t="inlineStr">
        <is>
          <t>USD</t>
        </is>
      </c>
      <c r="I82" s="2" t="inlineStr">
        <is>
          <t>FOB</t>
        </is>
      </c>
      <c r="J82" s="2" t="n">
        <v>202</v>
      </c>
      <c r="K82" s="2" t="inlineStr">
        <is>
          <t>pieces</t>
        </is>
      </c>
      <c r="L82" s="2" t="inlineStr">
        <is>
          <t>2026-07-19</t>
        </is>
      </c>
      <c r="M82" s="2" t="inlineStr">
        <is>
          <t>94036001</t>
        </is>
      </c>
      <c r="N82" s="2" t="inlineStr">
        <is>
          <t>MYS</t>
        </is>
      </c>
      <c r="O82" s="2" t="inlineStr">
        <is>
          <t>Wooden dining chairs of rubberwood</t>
        </is>
      </c>
      <c r="P82" s="2" t="n">
        <v>73</v>
      </c>
      <c r="Q82" s="35">
        <f>IF(E82=1,F82,"")</f>
        <v/>
      </c>
    </row>
    <row r="83">
      <c r="A83" s="2" t="inlineStr">
        <is>
          <t>V3</t>
        </is>
      </c>
      <c r="B83" s="2" t="n">
        <v>10</v>
      </c>
      <c r="C83" s="2" t="inlineStr">
        <is>
          <t>L0250181</t>
        </is>
      </c>
      <c r="D83" s="21" t="n">
        <v>0.945</v>
      </c>
      <c r="E83" s="2" t="n">
        <v>1</v>
      </c>
      <c r="F83" s="32" t="n">
        <v>27.41</v>
      </c>
      <c r="G83" s="32" t="n">
        <v>27.41</v>
      </c>
      <c r="H83" s="2" t="inlineStr">
        <is>
          <t>USD</t>
        </is>
      </c>
      <c r="I83" s="2" t="inlineStr">
        <is>
          <t>FOB</t>
        </is>
      </c>
      <c r="J83" s="2" t="n">
        <v>166</v>
      </c>
      <c r="K83" s="2" t="inlineStr">
        <is>
          <t>pieces</t>
        </is>
      </c>
      <c r="L83" s="2" t="inlineStr">
        <is>
          <t>2026-08-04</t>
        </is>
      </c>
      <c r="M83" s="2" t="inlineStr">
        <is>
          <t>94036001</t>
        </is>
      </c>
      <c r="N83" s="2" t="inlineStr">
        <is>
          <t>MYS</t>
        </is>
      </c>
      <c r="O83" s="2" t="inlineStr">
        <is>
          <t>Wooden dining chairs of rubberwood</t>
        </is>
      </c>
      <c r="P83" s="2" t="n">
        <v>57</v>
      </c>
      <c r="Q83" s="35">
        <f>IF(E83=1,F83,"")</f>
        <v/>
      </c>
    </row>
    <row r="84">
      <c r="A84" s="2" t="inlineStr">
        <is>
          <t>V3</t>
        </is>
      </c>
      <c r="B84" s="2" t="n">
        <v>11</v>
      </c>
      <c r="C84" s="2" t="inlineStr">
        <is>
          <t>L0250197</t>
        </is>
      </c>
      <c r="D84" s="21" t="n">
        <v>0.945</v>
      </c>
      <c r="E84" s="2" t="n">
        <v>1</v>
      </c>
      <c r="F84" s="32" t="n">
        <v>30.38</v>
      </c>
      <c r="G84" s="32" t="n">
        <v>29.5</v>
      </c>
      <c r="H84" s="2" t="inlineStr">
        <is>
          <t>USD</t>
        </is>
      </c>
      <c r="I84" s="2" t="inlineStr">
        <is>
          <t>EXW</t>
        </is>
      </c>
      <c r="J84" s="2" t="n">
        <v>98</v>
      </c>
      <c r="K84" s="2" t="inlineStr">
        <is>
          <t>pieces</t>
        </is>
      </c>
      <c r="L84" s="2" t="inlineStr">
        <is>
          <t>2026-09-04</t>
        </is>
      </c>
      <c r="M84" s="2" t="inlineStr">
        <is>
          <t>94036001</t>
        </is>
      </c>
      <c r="N84" s="2" t="inlineStr">
        <is>
          <t>MYS</t>
        </is>
      </c>
      <c r="O84" s="2" t="inlineStr">
        <is>
          <t>Wooden dining chairs of rubberwood</t>
        </is>
      </c>
      <c r="P84" s="2" t="n">
        <v>26</v>
      </c>
      <c r="Q84" s="35">
        <f>IF(E84=1,F84,"")</f>
        <v/>
      </c>
    </row>
    <row r="85">
      <c r="A85" s="2" t="inlineStr">
        <is>
          <t>V3</t>
        </is>
      </c>
      <c r="B85" s="2" t="n">
        <v>12</v>
      </c>
      <c r="C85" s="2" t="inlineStr">
        <is>
          <t>L0250205</t>
        </is>
      </c>
      <c r="D85" s="21" t="n">
        <v>0.945</v>
      </c>
      <c r="E85" s="2" t="n">
        <v>1</v>
      </c>
      <c r="F85" s="32" t="n">
        <v>27.21</v>
      </c>
      <c r="G85" s="32" t="n">
        <v>29.06</v>
      </c>
      <c r="H85" s="2" t="inlineStr">
        <is>
          <t>USD</t>
        </is>
      </c>
      <c r="I85" s="2" t="inlineStr">
        <is>
          <t>CFR</t>
        </is>
      </c>
      <c r="J85" s="2" t="n">
        <v>131</v>
      </c>
      <c r="K85" s="2" t="inlineStr">
        <is>
          <t>pieces</t>
        </is>
      </c>
      <c r="L85" s="2" t="inlineStr">
        <is>
          <t>2026-09-24</t>
        </is>
      </c>
      <c r="M85" s="2" t="inlineStr">
        <is>
          <t>94036001</t>
        </is>
      </c>
      <c r="N85" s="2" t="inlineStr">
        <is>
          <t>MYS</t>
        </is>
      </c>
      <c r="O85" s="2" t="inlineStr">
        <is>
          <t>Wooden dining chairs of rubberwood</t>
        </is>
      </c>
      <c r="P85" s="2" t="n">
        <v>6</v>
      </c>
      <c r="Q85" s="35">
        <f>IF(E85=1,F85,"")</f>
        <v/>
      </c>
    </row>
    <row r="86">
      <c r="A86" s="2" t="inlineStr">
        <is>
          <t>V3</t>
        </is>
      </c>
      <c r="B86" s="2" t="n">
        <v>13</v>
      </c>
      <c r="C86" s="2" t="inlineStr">
        <is>
          <t>L0250206</t>
        </is>
      </c>
      <c r="D86" s="21" t="n">
        <v>0.928</v>
      </c>
      <c r="E86" s="2" t="n">
        <v>1</v>
      </c>
      <c r="F86" s="32" t="n">
        <v>32.99</v>
      </c>
      <c r="G86" s="32" t="n">
        <v>35.63</v>
      </c>
      <c r="H86" s="2" t="inlineStr">
        <is>
          <t>USD</t>
        </is>
      </c>
      <c r="I86" s="2" t="inlineStr">
        <is>
          <t>CIF</t>
        </is>
      </c>
      <c r="J86" s="2" t="n">
        <v>103</v>
      </c>
      <c r="K86" s="2" t="inlineStr">
        <is>
          <t>pieces</t>
        </is>
      </c>
      <c r="L86" s="2" t="inlineStr">
        <is>
          <t>2026-07-09</t>
        </is>
      </c>
      <c r="M86" s="2" t="inlineStr">
        <is>
          <t>94036001</t>
        </is>
      </c>
      <c r="N86" s="2" t="inlineStr">
        <is>
          <t>MYS</t>
        </is>
      </c>
      <c r="O86" s="2" t="inlineStr">
        <is>
          <t>Dining chair, solid rubberwood, natural finish</t>
        </is>
      </c>
      <c r="P86" s="2" t="n">
        <v>83</v>
      </c>
      <c r="Q86" s="35">
        <f>IF(E86=1,F86,"")</f>
        <v/>
      </c>
    </row>
    <row r="87">
      <c r="A87" s="2" t="inlineStr">
        <is>
          <t>V3</t>
        </is>
      </c>
      <c r="B87" s="2" t="n">
        <v>14</v>
      </c>
      <c r="C87" s="2" t="inlineStr">
        <is>
          <t>L0250190</t>
        </is>
      </c>
      <c r="D87" s="21" t="n">
        <v>0.928</v>
      </c>
      <c r="E87" s="2" t="n">
        <v>1</v>
      </c>
      <c r="F87" s="32" t="n">
        <v>28.21</v>
      </c>
      <c r="G87" s="32" t="n">
        <v>30.47</v>
      </c>
      <c r="H87" s="2" t="inlineStr">
        <is>
          <t>USD</t>
        </is>
      </c>
      <c r="I87" s="2" t="inlineStr">
        <is>
          <t>CIF</t>
        </is>
      </c>
      <c r="J87" s="2" t="n">
        <v>169</v>
      </c>
      <c r="K87" s="2" t="inlineStr">
        <is>
          <t>pieces</t>
        </is>
      </c>
      <c r="L87" s="2" t="inlineStr">
        <is>
          <t>2026-07-19</t>
        </is>
      </c>
      <c r="M87" s="2" t="inlineStr">
        <is>
          <t>94036001</t>
        </is>
      </c>
      <c r="N87" s="2" t="inlineStr">
        <is>
          <t>MYS</t>
        </is>
      </c>
      <c r="O87" s="2" t="inlineStr">
        <is>
          <t>Dining chair, solid rubberwood, natural finish</t>
        </is>
      </c>
      <c r="P87" s="2" t="n">
        <v>73</v>
      </c>
      <c r="Q87" s="35">
        <f>IF(E87=1,F87,"")</f>
        <v/>
      </c>
    </row>
    <row r="88">
      <c r="A88" s="2" t="inlineStr">
        <is>
          <t>V3</t>
        </is>
      </c>
      <c r="B88" s="2" t="n">
        <v>15</v>
      </c>
      <c r="C88" s="2" t="inlineStr">
        <is>
          <t>L0250182</t>
        </is>
      </c>
      <c r="D88" s="21" t="n">
        <v>0.928</v>
      </c>
      <c r="E88" s="2" t="n">
        <v>1</v>
      </c>
      <c r="F88" s="32" t="n">
        <v>29.13</v>
      </c>
      <c r="G88" s="32" t="n">
        <v>31.46</v>
      </c>
      <c r="H88" s="2" t="inlineStr">
        <is>
          <t>USD</t>
        </is>
      </c>
      <c r="I88" s="2" t="inlineStr">
        <is>
          <t>CIF</t>
        </is>
      </c>
      <c r="J88" s="2" t="n">
        <v>212</v>
      </c>
      <c r="K88" s="2" t="inlineStr">
        <is>
          <t>pieces</t>
        </is>
      </c>
      <c r="L88" s="2" t="inlineStr">
        <is>
          <t>2026-09-01</t>
        </is>
      </c>
      <c r="M88" s="2" t="inlineStr">
        <is>
          <t>94036001</t>
        </is>
      </c>
      <c r="N88" s="2" t="inlineStr">
        <is>
          <t>MYS</t>
        </is>
      </c>
      <c r="O88" s="2" t="inlineStr">
        <is>
          <t>Dining chair, solid rubberwood, natural finish</t>
        </is>
      </c>
      <c r="P88" s="2" t="n">
        <v>29</v>
      </c>
      <c r="Q88" s="35">
        <f>IF(E88=1,F88,"")</f>
        <v/>
      </c>
    </row>
    <row r="89">
      <c r="A89" s="2" t="inlineStr">
        <is>
          <t>V3</t>
        </is>
      </c>
      <c r="B89" s="2" t="n">
        <v>16</v>
      </c>
      <c r="C89" s="2" t="inlineStr">
        <is>
          <t>L0250198</t>
        </is>
      </c>
      <c r="D89" s="21" t="n">
        <v>0.928</v>
      </c>
      <c r="E89" s="2" t="n">
        <v>1</v>
      </c>
      <c r="F89" s="32" t="n">
        <v>28.71</v>
      </c>
      <c r="G89" s="32" t="n">
        <v>28.71</v>
      </c>
      <c r="H89" s="2" t="inlineStr">
        <is>
          <t>USD</t>
        </is>
      </c>
      <c r="I89" s="2" t="inlineStr">
        <is>
          <t>FOB</t>
        </is>
      </c>
      <c r="J89" s="2" t="n">
        <v>150</v>
      </c>
      <c r="K89" s="2" t="inlineStr">
        <is>
          <t>pieces</t>
        </is>
      </c>
      <c r="L89" s="2" t="inlineStr">
        <is>
          <t>2026-09-09</t>
        </is>
      </c>
      <c r="M89" s="2" t="inlineStr">
        <is>
          <t>94036001</t>
        </is>
      </c>
      <c r="N89" s="2" t="inlineStr">
        <is>
          <t>MYS</t>
        </is>
      </c>
      <c r="O89" s="2" t="inlineStr">
        <is>
          <t>Dining chair, solid rubberwood, natural finish</t>
        </is>
      </c>
      <c r="P89" s="2" t="n">
        <v>21</v>
      </c>
      <c r="Q89" s="35">
        <f>IF(E89=1,F89,"")</f>
        <v/>
      </c>
    </row>
    <row r="90">
      <c r="A90" s="2" t="inlineStr">
        <is>
          <t>V3</t>
        </is>
      </c>
      <c r="B90" s="2" t="n">
        <v>17</v>
      </c>
      <c r="C90" s="2" t="inlineStr">
        <is>
          <t>L0250199</t>
        </is>
      </c>
      <c r="D90" s="21" t="n">
        <v>0.917</v>
      </c>
      <c r="E90" s="2" t="n">
        <v>1</v>
      </c>
      <c r="F90" s="32" t="n">
        <v>41.47</v>
      </c>
      <c r="G90" s="32" t="n">
        <v>44.79</v>
      </c>
      <c r="H90" s="2" t="inlineStr">
        <is>
          <t>USD</t>
        </is>
      </c>
      <c r="I90" s="2" t="inlineStr">
        <is>
          <t>CIF</t>
        </is>
      </c>
      <c r="J90" s="2" t="n">
        <v>124</v>
      </c>
      <c r="K90" s="2" t="inlineStr">
        <is>
          <t>pieces</t>
        </is>
      </c>
      <c r="L90" s="2" t="inlineStr">
        <is>
          <t>2026-07-14</t>
        </is>
      </c>
      <c r="M90" s="2" t="inlineStr">
        <is>
          <t>94036001</t>
        </is>
      </c>
      <c r="N90" s="2" t="inlineStr">
        <is>
          <t>MYS</t>
        </is>
      </c>
      <c r="O90" s="2" t="inlineStr">
        <is>
          <t>Wooden dining chair, oak</t>
        </is>
      </c>
      <c r="P90" s="2" t="n">
        <v>78</v>
      </c>
      <c r="Q90" s="35">
        <f>IF(E90=1,F90,"")</f>
        <v/>
      </c>
    </row>
    <row r="91">
      <c r="A91" s="2" t="inlineStr">
        <is>
          <t>V3</t>
        </is>
      </c>
      <c r="B91" s="2" t="n">
        <v>18</v>
      </c>
      <c r="C91" s="2" t="inlineStr">
        <is>
          <t>L0250207</t>
        </is>
      </c>
      <c r="D91" s="21" t="n">
        <v>0.917</v>
      </c>
      <c r="E91" s="2" t="n">
        <v>1</v>
      </c>
      <c r="F91" s="32" t="n">
        <v>43.91</v>
      </c>
      <c r="G91" s="32" t="n">
        <v>43.91</v>
      </c>
      <c r="H91" s="2" t="inlineStr">
        <is>
          <t>USD</t>
        </is>
      </c>
      <c r="I91" s="2" t="inlineStr">
        <is>
          <t>FOB</t>
        </is>
      </c>
      <c r="J91" s="2" t="n">
        <v>417</v>
      </c>
      <c r="K91" s="2" t="inlineStr">
        <is>
          <t>pieces</t>
        </is>
      </c>
      <c r="L91" s="2" t="inlineStr">
        <is>
          <t>2026-09-01</t>
        </is>
      </c>
      <c r="M91" s="2" t="inlineStr">
        <is>
          <t>94036001</t>
        </is>
      </c>
      <c r="N91" s="2" t="inlineStr">
        <is>
          <t>MYS</t>
        </is>
      </c>
      <c r="O91" s="2" t="inlineStr">
        <is>
          <t>Wooden dining chair, oak</t>
        </is>
      </c>
      <c r="P91" s="2" t="n">
        <v>29</v>
      </c>
      <c r="Q91" s="35">
        <f>IF(E91=1,F91,"")</f>
        <v/>
      </c>
    </row>
    <row r="92">
      <c r="A92" s="2" t="inlineStr">
        <is>
          <t>V3</t>
        </is>
      </c>
      <c r="B92" s="2" t="n">
        <v>19</v>
      </c>
      <c r="C92" s="2" t="inlineStr">
        <is>
          <t>L0250183</t>
        </is>
      </c>
      <c r="D92" s="21" t="n">
        <v>0.917</v>
      </c>
      <c r="E92" s="2" t="n">
        <v>1</v>
      </c>
      <c r="F92" s="32" t="n">
        <v>39.29</v>
      </c>
      <c r="G92" s="32" t="n">
        <v>42.43</v>
      </c>
      <c r="H92" s="2" t="inlineStr">
        <is>
          <t>USD</t>
        </is>
      </c>
      <c r="I92" s="2" t="inlineStr">
        <is>
          <t>CIF</t>
        </is>
      </c>
      <c r="J92" s="2" t="n">
        <v>157</v>
      </c>
      <c r="K92" s="2" t="inlineStr">
        <is>
          <t>pieces</t>
        </is>
      </c>
      <c r="L92" s="2" t="inlineStr">
        <is>
          <t>2026-09-05</t>
        </is>
      </c>
      <c r="M92" s="2" t="inlineStr">
        <is>
          <t>94036001</t>
        </is>
      </c>
      <c r="N92" s="2" t="inlineStr">
        <is>
          <t>MYS</t>
        </is>
      </c>
      <c r="O92" s="2" t="inlineStr">
        <is>
          <t>Wooden dining chair, oak</t>
        </is>
      </c>
      <c r="P92" s="2" t="n">
        <v>25</v>
      </c>
      <c r="Q92" s="35">
        <f>IF(E92=1,F92,"")</f>
        <v/>
      </c>
    </row>
    <row r="93">
      <c r="A93" s="2" t="inlineStr">
        <is>
          <t>V3</t>
        </is>
      </c>
      <c r="B93" s="2" t="n">
        <v>20</v>
      </c>
      <c r="C93" s="2" t="inlineStr">
        <is>
          <t>L0250191</t>
        </is>
      </c>
      <c r="D93" s="21" t="n">
        <v>0.917</v>
      </c>
      <c r="E93" s="2" t="n">
        <v>1</v>
      </c>
      <c r="F93" s="32" t="n">
        <v>42.09</v>
      </c>
      <c r="G93" s="32" t="n">
        <v>42.09</v>
      </c>
      <c r="H93" s="2" t="inlineStr">
        <is>
          <t>USD</t>
        </is>
      </c>
      <c r="I93" s="2" t="inlineStr">
        <is>
          <t>FOB</t>
        </is>
      </c>
      <c r="J93" s="2" t="n">
        <v>160</v>
      </c>
      <c r="K93" s="2" t="inlineStr">
        <is>
          <t>pieces</t>
        </is>
      </c>
      <c r="L93" s="2" t="inlineStr">
        <is>
          <t>2026-09-08</t>
        </is>
      </c>
      <c r="M93" s="2" t="inlineStr">
        <is>
          <t>94036001</t>
        </is>
      </c>
      <c r="N93" s="2" t="inlineStr">
        <is>
          <t>MYS</t>
        </is>
      </c>
      <c r="O93" s="2" t="inlineStr">
        <is>
          <t>Wooden dining chair, oak</t>
        </is>
      </c>
      <c r="P93" s="2" t="n">
        <v>22</v>
      </c>
      <c r="Q93" s="35">
        <f>IF(E93=1,F93,"")</f>
        <v/>
      </c>
    </row>
    <row r="94">
      <c r="A94" s="2" t="inlineStr">
        <is>
          <t>V3</t>
        </is>
      </c>
      <c r="B94" s="2" t="n">
        <v>21</v>
      </c>
      <c r="C94" s="2" t="inlineStr">
        <is>
          <t>L0250192</t>
        </is>
      </c>
      <c r="D94" s="21" t="n">
        <v>0.883</v>
      </c>
      <c r="E94" s="2" t="n">
        <v>1</v>
      </c>
      <c r="F94" s="32" t="n">
        <v>9.039999999999999</v>
      </c>
      <c r="G94" s="32" t="n">
        <v>8.779999999999999</v>
      </c>
      <c r="H94" s="2" t="inlineStr">
        <is>
          <t>USD</t>
        </is>
      </c>
      <c r="I94" s="2" t="inlineStr">
        <is>
          <t>EXW</t>
        </is>
      </c>
      <c r="J94" s="2" t="n">
        <v>139</v>
      </c>
      <c r="K94" s="2" t="inlineStr">
        <is>
          <t>pieces</t>
        </is>
      </c>
      <c r="L94" s="2" t="inlineStr">
        <is>
          <t>2026-07-12</t>
        </is>
      </c>
      <c r="M94" s="2" t="inlineStr">
        <is>
          <t>94036001</t>
        </is>
      </c>
      <c r="N94" s="2" t="inlineStr">
        <is>
          <t>MYS</t>
        </is>
      </c>
      <c r="O94" s="2" t="inlineStr">
        <is>
          <t>Plastic dining chair</t>
        </is>
      </c>
      <c r="P94" s="2" t="n">
        <v>80</v>
      </c>
      <c r="Q94" s="35">
        <f>IF(E94=1,F94,"")</f>
        <v/>
      </c>
    </row>
    <row r="95">
      <c r="A95" s="2" t="inlineStr">
        <is>
          <t>V3</t>
        </is>
      </c>
      <c r="B95" s="2" t="n">
        <v>22</v>
      </c>
      <c r="C95" s="2" t="inlineStr">
        <is>
          <t>L0250200</t>
        </is>
      </c>
      <c r="D95" s="21" t="n">
        <v>0.883</v>
      </c>
      <c r="E95" s="2" t="n">
        <v>1</v>
      </c>
      <c r="F95" s="32" t="n">
        <v>9.960000000000001</v>
      </c>
      <c r="G95" s="32" t="n">
        <v>9.960000000000001</v>
      </c>
      <c r="H95" s="2" t="inlineStr">
        <is>
          <t>USD</t>
        </is>
      </c>
      <c r="I95" s="2" t="inlineStr">
        <is>
          <t>FOB</t>
        </is>
      </c>
      <c r="J95" s="2" t="n">
        <v>180</v>
      </c>
      <c r="K95" s="2" t="inlineStr">
        <is>
          <t>pieces</t>
        </is>
      </c>
      <c r="L95" s="2" t="inlineStr">
        <is>
          <t>2026-08-04</t>
        </is>
      </c>
      <c r="M95" s="2" t="inlineStr">
        <is>
          <t>94036001</t>
        </is>
      </c>
      <c r="N95" s="2" t="inlineStr">
        <is>
          <t>MYS</t>
        </is>
      </c>
      <c r="O95" s="2" t="inlineStr">
        <is>
          <t>Plastic dining chair</t>
        </is>
      </c>
      <c r="P95" s="2" t="n">
        <v>57</v>
      </c>
      <c r="Q95" s="35">
        <f>IF(E95=1,F95,"")</f>
        <v/>
      </c>
    </row>
    <row r="96">
      <c r="A96" s="2" t="inlineStr">
        <is>
          <t>V3</t>
        </is>
      </c>
      <c r="B96" s="2" t="n">
        <v>23</v>
      </c>
      <c r="C96" s="2" t="inlineStr">
        <is>
          <t>L0250184</t>
        </is>
      </c>
      <c r="D96" s="21" t="n">
        <v>0.883</v>
      </c>
      <c r="E96" s="2" t="n">
        <v>1</v>
      </c>
      <c r="F96" s="32" t="n">
        <v>9.34</v>
      </c>
      <c r="G96" s="32" t="n">
        <v>9.34</v>
      </c>
      <c r="H96" s="2" t="inlineStr">
        <is>
          <t>USD</t>
        </is>
      </c>
      <c r="I96" s="2" t="inlineStr">
        <is>
          <t>FOB</t>
        </is>
      </c>
      <c r="J96" s="2" t="n">
        <v>89</v>
      </c>
      <c r="K96" s="2" t="inlineStr">
        <is>
          <t>pieces</t>
        </is>
      </c>
      <c r="L96" s="2" t="inlineStr">
        <is>
          <t>2026-08-10</t>
        </is>
      </c>
      <c r="M96" s="2" t="inlineStr">
        <is>
          <t>94036001</t>
        </is>
      </c>
      <c r="N96" s="2" t="inlineStr">
        <is>
          <t>MYS</t>
        </is>
      </c>
      <c r="O96" s="2" t="inlineStr">
        <is>
          <t>Plastic dining chair</t>
        </is>
      </c>
      <c r="P96" s="2" t="n">
        <v>51</v>
      </c>
      <c r="Q96" s="35">
        <f>IF(E96=1,F96,"")</f>
        <v/>
      </c>
    </row>
    <row r="97">
      <c r="A97" s="2" t="inlineStr">
        <is>
          <t>V3</t>
        </is>
      </c>
      <c r="B97" s="2" t="n">
        <v>24</v>
      </c>
      <c r="C97" s="2" t="inlineStr">
        <is>
          <t>L0250208</t>
        </is>
      </c>
      <c r="D97" s="21" t="n">
        <v>0.883</v>
      </c>
      <c r="E97" s="2" t="n">
        <v>1</v>
      </c>
      <c r="F97" s="32" t="n">
        <v>7.86</v>
      </c>
      <c r="G97" s="32" t="n">
        <v>7.86</v>
      </c>
      <c r="H97" s="2" t="inlineStr">
        <is>
          <t>USD</t>
        </is>
      </c>
      <c r="I97" s="2" t="inlineStr">
        <is>
          <t>FOB</t>
        </is>
      </c>
      <c r="J97" s="2" t="n">
        <v>164</v>
      </c>
      <c r="K97" s="2" t="inlineStr">
        <is>
          <t>pieces</t>
        </is>
      </c>
      <c r="L97" s="2" t="inlineStr">
        <is>
          <t>2026-08-25</t>
        </is>
      </c>
      <c r="M97" s="2" t="inlineStr">
        <is>
          <t>94036001</t>
        </is>
      </c>
      <c r="N97" s="2" t="inlineStr">
        <is>
          <t>MYS</t>
        </is>
      </c>
      <c r="O97" s="2" t="inlineStr">
        <is>
          <t>Plastic dining chair</t>
        </is>
      </c>
      <c r="P97" s="2" t="n">
        <v>36</v>
      </c>
      <c r="Q97" s="35">
        <f>IF(E97=1,F97,"")</f>
        <v/>
      </c>
    </row>
    <row r="98">
      <c r="A98" s="2" t="inlineStr">
        <is>
          <t>V3</t>
        </is>
      </c>
      <c r="B98" s="2" t="n">
        <v>25</v>
      </c>
      <c r="C98" s="2" t="inlineStr">
        <is>
          <t>L0250201</t>
        </is>
      </c>
      <c r="D98" s="21" t="n">
        <v>0.869</v>
      </c>
      <c r="E98" s="2" t="n">
        <v>1</v>
      </c>
      <c r="F98" s="32" t="n">
        <v>60.45</v>
      </c>
      <c r="G98" s="32" t="n">
        <v>65.29000000000001</v>
      </c>
      <c r="H98" s="2" t="inlineStr">
        <is>
          <t>USD</t>
        </is>
      </c>
      <c r="I98" s="2" t="inlineStr">
        <is>
          <t>CIF</t>
        </is>
      </c>
      <c r="J98" s="2" t="n">
        <v>192</v>
      </c>
      <c r="K98" s="2" t="inlineStr">
        <is>
          <t>pieces</t>
        </is>
      </c>
      <c r="L98" s="2" t="inlineStr">
        <is>
          <t>2026-08-19</t>
        </is>
      </c>
      <c r="M98" s="2" t="inlineStr">
        <is>
          <t>94036001</t>
        </is>
      </c>
      <c r="N98" s="2" t="inlineStr">
        <is>
          <t>MYS</t>
        </is>
      </c>
      <c r="O98" s="2" t="inlineStr">
        <is>
          <t>Wooden dining table, rubberwood</t>
        </is>
      </c>
      <c r="P98" s="2" t="n">
        <v>42</v>
      </c>
      <c r="Q98" s="35">
        <f>IF(E98=1,F98,"")</f>
        <v/>
      </c>
    </row>
    <row r="99">
      <c r="A99" s="2" t="inlineStr">
        <is>
          <t>V3</t>
        </is>
      </c>
      <c r="B99" s="2" t="n">
        <v>26</v>
      </c>
      <c r="C99" s="2" t="inlineStr">
        <is>
          <t>L0250185</t>
        </is>
      </c>
      <c r="D99" s="21" t="n">
        <v>0.869</v>
      </c>
      <c r="E99" s="2" t="n">
        <v>1</v>
      </c>
      <c r="F99" s="32" t="n">
        <v>60.39</v>
      </c>
      <c r="G99" s="32" t="n">
        <v>60.39</v>
      </c>
      <c r="H99" s="2" t="inlineStr">
        <is>
          <t>USD</t>
        </is>
      </c>
      <c r="I99" s="2" t="inlineStr">
        <is>
          <t>FOB</t>
        </is>
      </c>
      <c r="J99" s="2" t="n">
        <v>99</v>
      </c>
      <c r="K99" s="2" t="inlineStr">
        <is>
          <t>pieces</t>
        </is>
      </c>
      <c r="L99" s="2" t="inlineStr">
        <is>
          <t>2026-09-21</t>
        </is>
      </c>
      <c r="M99" s="2" t="inlineStr">
        <is>
          <t>94036001</t>
        </is>
      </c>
      <c r="N99" s="2" t="inlineStr">
        <is>
          <t>MYS</t>
        </is>
      </c>
      <c r="O99" s="2" t="inlineStr">
        <is>
          <t>Wooden dining table, rubberwood</t>
        </is>
      </c>
      <c r="P99" s="2" t="n">
        <v>9</v>
      </c>
      <c r="Q99" s="35">
        <f>IF(E99=1,F99,"")</f>
        <v/>
      </c>
    </row>
    <row r="100">
      <c r="A100" s="2" t="inlineStr">
        <is>
          <t>V3</t>
        </is>
      </c>
      <c r="B100" s="2" t="n">
        <v>27</v>
      </c>
      <c r="C100" s="2" t="inlineStr">
        <is>
          <t>L0250193</t>
        </is>
      </c>
      <c r="D100" s="21" t="n">
        <v>0.869</v>
      </c>
      <c r="E100" s="2" t="n">
        <v>1</v>
      </c>
      <c r="F100" s="32" t="n">
        <v>58.96</v>
      </c>
      <c r="G100" s="32" t="n">
        <v>58.96</v>
      </c>
      <c r="H100" s="2" t="inlineStr">
        <is>
          <t>USD</t>
        </is>
      </c>
      <c r="I100" s="2" t="inlineStr">
        <is>
          <t>FOB</t>
        </is>
      </c>
      <c r="J100" s="2" t="n">
        <v>152</v>
      </c>
      <c r="K100" s="2" t="inlineStr">
        <is>
          <t>pieces</t>
        </is>
      </c>
      <c r="L100" s="2" t="inlineStr">
        <is>
          <t>2026-09-30</t>
        </is>
      </c>
      <c r="M100" s="2" t="inlineStr">
        <is>
          <t>94036001</t>
        </is>
      </c>
      <c r="N100" s="2" t="inlineStr">
        <is>
          <t>MYS</t>
        </is>
      </c>
      <c r="O100" s="2" t="inlineStr">
        <is>
          <t>Wooden dining table, rubberwood</t>
        </is>
      </c>
      <c r="P100" s="2" t="n">
        <v>0</v>
      </c>
      <c r="Q100" s="35">
        <f>IF(E100=1,F100,"")</f>
        <v/>
      </c>
    </row>
    <row r="101">
      <c r="A101" s="2" t="inlineStr">
        <is>
          <t>V3</t>
        </is>
      </c>
      <c r="B101" s="2" t="n">
        <v>28</v>
      </c>
      <c r="C101" s="2" t="inlineStr">
        <is>
          <t>L0250186</t>
        </is>
      </c>
      <c r="D101" s="21" t="n">
        <v>0.855</v>
      </c>
      <c r="E101" s="2" t="n">
        <v>1</v>
      </c>
      <c r="F101" s="32" t="n">
        <v>36.95</v>
      </c>
      <c r="G101" s="32" t="n">
        <v>36.95</v>
      </c>
      <c r="H101" s="2" t="inlineStr">
        <is>
          <t>USD</t>
        </is>
      </c>
      <c r="I101" s="2" t="inlineStr">
        <is>
          <t>FOB</t>
        </is>
      </c>
      <c r="J101" s="2" t="n">
        <v>115</v>
      </c>
      <c r="K101" s="2" t="inlineStr">
        <is>
          <t>pieces</t>
        </is>
      </c>
      <c r="L101" s="2" t="inlineStr">
        <is>
          <t>2026-07-26</t>
        </is>
      </c>
      <c r="M101" s="2" t="inlineStr">
        <is>
          <t>94036001</t>
        </is>
      </c>
      <c r="N101" s="2" t="inlineStr">
        <is>
          <t>MYS</t>
        </is>
      </c>
      <c r="O101" s="2" t="inlineStr">
        <is>
          <t>Upholstered dining chair, wooden legs</t>
        </is>
      </c>
      <c r="P101" s="2" t="n">
        <v>66</v>
      </c>
      <c r="Q101" s="35">
        <f>IF(E101=1,F101,"")</f>
        <v/>
      </c>
    </row>
    <row r="102">
      <c r="A102" s="2" t="inlineStr">
        <is>
          <t>V3</t>
        </is>
      </c>
      <c r="B102" s="2" t="n">
        <v>29</v>
      </c>
      <c r="C102" s="2" t="inlineStr">
        <is>
          <t>L0250202</t>
        </is>
      </c>
      <c r="D102" s="21" t="n">
        <v>0.855</v>
      </c>
      <c r="E102" s="2" t="n">
        <v>1</v>
      </c>
      <c r="F102" s="32" t="n">
        <v>34.4</v>
      </c>
      <c r="G102" s="32" t="n">
        <v>34.4</v>
      </c>
      <c r="H102" s="2" t="inlineStr">
        <is>
          <t>USD</t>
        </is>
      </c>
      <c r="I102" s="2" t="inlineStr">
        <is>
          <t>FOB</t>
        </is>
      </c>
      <c r="J102" s="2" t="n">
        <v>39</v>
      </c>
      <c r="K102" s="2" t="inlineStr">
        <is>
          <t>pieces</t>
        </is>
      </c>
      <c r="L102" s="2" t="inlineStr">
        <is>
          <t>2026-09-19</t>
        </is>
      </c>
      <c r="M102" s="2" t="inlineStr">
        <is>
          <t>94036001</t>
        </is>
      </c>
      <c r="N102" s="2" t="inlineStr">
        <is>
          <t>MYS</t>
        </is>
      </c>
      <c r="O102" s="2" t="inlineStr">
        <is>
          <t>Upholstered dining chair, wooden legs</t>
        </is>
      </c>
      <c r="P102" s="2" t="n">
        <v>11</v>
      </c>
      <c r="Q102" s="35">
        <f>IF(E102=1,F102,"")</f>
        <v/>
      </c>
    </row>
    <row r="103">
      <c r="A103" s="2" t="inlineStr">
        <is>
          <t>V3</t>
        </is>
      </c>
      <c r="B103" s="2" t="n">
        <v>30</v>
      </c>
      <c r="C103" s="2" t="inlineStr">
        <is>
          <t>L0250194</t>
        </is>
      </c>
      <c r="D103" s="21" t="n">
        <v>0.855</v>
      </c>
      <c r="E103" s="2" t="n">
        <v>1</v>
      </c>
      <c r="F103" s="32" t="n">
        <v>38.48</v>
      </c>
      <c r="G103" s="32" t="n">
        <v>38.48</v>
      </c>
      <c r="H103" s="2" t="inlineStr">
        <is>
          <t>USD</t>
        </is>
      </c>
      <c r="I103" s="2" t="inlineStr">
        <is>
          <t>FOB</t>
        </is>
      </c>
      <c r="J103" s="2" t="n">
        <v>184</v>
      </c>
      <c r="K103" s="2" t="inlineStr">
        <is>
          <t>pieces</t>
        </is>
      </c>
      <c r="L103" s="2" t="inlineStr">
        <is>
          <t>2026-09-20</t>
        </is>
      </c>
      <c r="M103" s="2" t="inlineStr">
        <is>
          <t>94036001</t>
        </is>
      </c>
      <c r="N103" s="2" t="inlineStr">
        <is>
          <t>MYS</t>
        </is>
      </c>
      <c r="O103" s="2" t="inlineStr">
        <is>
          <t>Upholstered dining chair, wooden legs</t>
        </is>
      </c>
      <c r="P103" s="2" t="n">
        <v>10</v>
      </c>
      <c r="Q103" s="35">
        <f>IF(E103=1,F103,"")</f>
        <v/>
      </c>
    </row>
    <row r="104">
      <c r="A104" s="2" t="inlineStr">
        <is>
          <t>V4</t>
        </is>
      </c>
      <c r="B104" s="2" t="n">
        <v>1</v>
      </c>
      <c r="C104" s="2" t="inlineStr">
        <is>
          <t>L0250214</t>
        </is>
      </c>
      <c r="D104" s="21" t="n">
        <v>0.984</v>
      </c>
      <c r="E104" s="2" t="n">
        <v>1</v>
      </c>
      <c r="F104" s="32" t="n">
        <v>16.3</v>
      </c>
      <c r="G104" s="32" t="n">
        <v>16.79</v>
      </c>
      <c r="H104" s="2" t="inlineStr">
        <is>
          <t>USD</t>
        </is>
      </c>
      <c r="I104" s="2" t="inlineStr">
        <is>
          <t>CIF</t>
        </is>
      </c>
      <c r="J104" s="2" t="n">
        <v>1796</v>
      </c>
      <c r="K104" s="2" t="inlineStr">
        <is>
          <t>pieces</t>
        </is>
      </c>
      <c r="L104" s="2" t="inlineStr">
        <is>
          <t>2026-07-06</t>
        </is>
      </c>
      <c r="M104" s="2" t="inlineStr">
        <is>
          <t>90181901</t>
        </is>
      </c>
      <c r="N104" s="2" t="inlineStr">
        <is>
          <t>CHN</t>
        </is>
      </c>
      <c r="O104" s="2" t="inlineStr">
        <is>
          <t>Automatic upper arm blood pressure monitor</t>
        </is>
      </c>
      <c r="P104" s="2" t="n">
        <v>86</v>
      </c>
      <c r="Q104" s="35">
        <f>IF(E104=1,F104,"")</f>
        <v/>
      </c>
    </row>
    <row r="105">
      <c r="A105" s="2" t="inlineStr">
        <is>
          <t>V4</t>
        </is>
      </c>
      <c r="B105" s="2" t="n">
        <v>2</v>
      </c>
      <c r="C105" s="2" t="inlineStr">
        <is>
          <t>L0250218</t>
        </is>
      </c>
      <c r="D105" s="21" t="n">
        <v>0.984</v>
      </c>
      <c r="E105" s="2" t="n">
        <v>1</v>
      </c>
      <c r="F105" s="32" t="n">
        <v>18.11</v>
      </c>
      <c r="G105" s="32" t="n">
        <v>18.11</v>
      </c>
      <c r="H105" s="2" t="inlineStr">
        <is>
          <t>USD</t>
        </is>
      </c>
      <c r="I105" s="2" t="inlineStr">
        <is>
          <t>FOB</t>
        </is>
      </c>
      <c r="J105" s="2" t="n">
        <v>1091</v>
      </c>
      <c r="K105" s="2" t="inlineStr">
        <is>
          <t>pieces</t>
        </is>
      </c>
      <c r="L105" s="2" t="inlineStr">
        <is>
          <t>2026-07-23</t>
        </is>
      </c>
      <c r="M105" s="2" t="inlineStr">
        <is>
          <t>90181901</t>
        </is>
      </c>
      <c r="N105" s="2" t="inlineStr">
        <is>
          <t>CHN</t>
        </is>
      </c>
      <c r="O105" s="2" t="inlineStr">
        <is>
          <t>Automatic upper arm blood pressure monitor</t>
        </is>
      </c>
      <c r="P105" s="2" t="n">
        <v>69</v>
      </c>
      <c r="Q105" s="35">
        <f>IF(E105=1,F105,"")</f>
        <v/>
      </c>
    </row>
    <row r="106">
      <c r="A106" s="2" t="inlineStr">
        <is>
          <t>V4</t>
        </is>
      </c>
      <c r="B106" s="2" t="n">
        <v>3</v>
      </c>
      <c r="C106" s="2" t="inlineStr">
        <is>
          <t>L0250210</t>
        </is>
      </c>
      <c r="D106" s="21" t="n">
        <v>0.984</v>
      </c>
      <c r="E106" s="2" t="n">
        <v>1</v>
      </c>
      <c r="F106" s="32" t="n">
        <v>16.33</v>
      </c>
      <c r="G106" s="32" t="n">
        <v>114.89</v>
      </c>
      <c r="H106" s="2" t="inlineStr">
        <is>
          <t>CNY</t>
        </is>
      </c>
      <c r="I106" s="2" t="inlineStr">
        <is>
          <t>EXW</t>
        </is>
      </c>
      <c r="J106" s="2" t="n">
        <v>678</v>
      </c>
      <c r="K106" s="2" t="inlineStr">
        <is>
          <t>pieces</t>
        </is>
      </c>
      <c r="L106" s="2" t="inlineStr">
        <is>
          <t>2026-08-04</t>
        </is>
      </c>
      <c r="M106" s="2" t="inlineStr">
        <is>
          <t>90181901</t>
        </is>
      </c>
      <c r="N106" s="2" t="inlineStr">
        <is>
          <t>CHN</t>
        </is>
      </c>
      <c r="O106" s="2" t="inlineStr">
        <is>
          <t>Automatic upper arm blood pressure monitor</t>
        </is>
      </c>
      <c r="P106" s="2" t="n">
        <v>57</v>
      </c>
      <c r="Q106" s="35">
        <f>IF(E106=1,F106,"")</f>
        <v/>
      </c>
    </row>
    <row r="107">
      <c r="A107" s="2" t="inlineStr">
        <is>
          <t>V4</t>
        </is>
      </c>
      <c r="B107" s="2" t="n">
        <v>4</v>
      </c>
      <c r="C107" s="2" t="inlineStr">
        <is>
          <t>L0250230</t>
        </is>
      </c>
      <c r="D107" s="21" t="n">
        <v>0.984</v>
      </c>
      <c r="E107" s="2" t="n">
        <v>1</v>
      </c>
      <c r="F107" s="32" t="n">
        <v>16.44</v>
      </c>
      <c r="G107" s="32" t="n">
        <v>16.44</v>
      </c>
      <c r="H107" s="2" t="inlineStr">
        <is>
          <t>USD</t>
        </is>
      </c>
      <c r="I107" s="2" t="inlineStr">
        <is>
          <t>FOB</t>
        </is>
      </c>
      <c r="J107" s="2" t="n">
        <v>618</v>
      </c>
      <c r="K107" s="2" t="inlineStr">
        <is>
          <t>pieces</t>
        </is>
      </c>
      <c r="L107" s="2" t="inlineStr">
        <is>
          <t>2026-08-06</t>
        </is>
      </c>
      <c r="M107" s="2" t="inlineStr">
        <is>
          <t>90181901</t>
        </is>
      </c>
      <c r="N107" s="2" t="inlineStr">
        <is>
          <t>CHN</t>
        </is>
      </c>
      <c r="O107" s="2" t="inlineStr">
        <is>
          <t>Automatic upper arm blood pressure monitor</t>
        </is>
      </c>
      <c r="P107" s="2" t="n">
        <v>55</v>
      </c>
      <c r="Q107" s="35">
        <f>IF(E107=1,F107,"")</f>
        <v/>
      </c>
    </row>
    <row r="108">
      <c r="A108" s="2" t="inlineStr">
        <is>
          <t>V4</t>
        </is>
      </c>
      <c r="B108" s="2" t="n">
        <v>5</v>
      </c>
      <c r="C108" s="2" t="inlineStr">
        <is>
          <t>L0250226</t>
        </is>
      </c>
      <c r="D108" s="21" t="n">
        <v>0.984</v>
      </c>
      <c r="E108" s="2" t="n">
        <v>1</v>
      </c>
      <c r="F108" s="32" t="n">
        <v>15.36</v>
      </c>
      <c r="G108" s="32" t="n">
        <v>14.91</v>
      </c>
      <c r="H108" s="2" t="inlineStr">
        <is>
          <t>USD</t>
        </is>
      </c>
      <c r="I108" s="2" t="inlineStr">
        <is>
          <t>EXW</t>
        </is>
      </c>
      <c r="J108" s="2" t="n">
        <v>1315</v>
      </c>
      <c r="K108" s="2" t="inlineStr">
        <is>
          <t>pieces</t>
        </is>
      </c>
      <c r="L108" s="2" t="inlineStr">
        <is>
          <t>2026-08-21</t>
        </is>
      </c>
      <c r="M108" s="2" t="inlineStr">
        <is>
          <t>90181901</t>
        </is>
      </c>
      <c r="N108" s="2" t="inlineStr">
        <is>
          <t>CHN</t>
        </is>
      </c>
      <c r="O108" s="2" t="inlineStr">
        <is>
          <t>Automatic upper arm blood pressure monitor</t>
        </is>
      </c>
      <c r="P108" s="2" t="n">
        <v>40</v>
      </c>
      <c r="Q108" s="35">
        <f>IF(E108=1,F108,"")</f>
        <v/>
      </c>
    </row>
    <row r="109">
      <c r="A109" s="2" t="inlineStr">
        <is>
          <t>V4</t>
        </is>
      </c>
      <c r="B109" s="2" t="n">
        <v>6</v>
      </c>
      <c r="C109" s="2" t="inlineStr">
        <is>
          <t>L0250234</t>
        </is>
      </c>
      <c r="D109" s="21" t="n">
        <v>0.984</v>
      </c>
      <c r="E109" s="2" t="n">
        <v>1</v>
      </c>
      <c r="F109" s="32" t="n">
        <v>15.59</v>
      </c>
      <c r="G109" s="32" t="n">
        <v>16.06</v>
      </c>
      <c r="H109" s="2" t="inlineStr">
        <is>
          <t>USD</t>
        </is>
      </c>
      <c r="I109" s="2" t="inlineStr">
        <is>
          <t>CIF</t>
        </is>
      </c>
      <c r="J109" s="2" t="n">
        <v>1202</v>
      </c>
      <c r="K109" s="2" t="inlineStr">
        <is>
          <t>pieces</t>
        </is>
      </c>
      <c r="L109" s="2" t="inlineStr">
        <is>
          <t>2026-09-09</t>
        </is>
      </c>
      <c r="M109" s="2" t="inlineStr">
        <is>
          <t>90181901</t>
        </is>
      </c>
      <c r="N109" s="2" t="inlineStr">
        <is>
          <t>CHN</t>
        </is>
      </c>
      <c r="O109" s="2" t="inlineStr">
        <is>
          <t>Automatic upper arm blood pressure monitor</t>
        </is>
      </c>
      <c r="P109" s="2" t="n">
        <v>21</v>
      </c>
      <c r="Q109" s="35">
        <f>IF(E109=1,F109,"")</f>
        <v/>
      </c>
    </row>
    <row r="110">
      <c r="A110" s="2" t="inlineStr">
        <is>
          <t>V4</t>
        </is>
      </c>
      <c r="B110" s="2" t="n">
        <v>7</v>
      </c>
      <c r="C110" s="2" t="inlineStr">
        <is>
          <t>L0250222</t>
        </is>
      </c>
      <c r="D110" s="21" t="n">
        <v>0.984</v>
      </c>
      <c r="E110" s="2" t="n">
        <v>1</v>
      </c>
      <c r="F110" s="32" t="n">
        <v>15</v>
      </c>
      <c r="G110" s="32" t="n">
        <v>15</v>
      </c>
      <c r="H110" s="2" t="inlineStr">
        <is>
          <t>USD</t>
        </is>
      </c>
      <c r="I110" s="2" t="inlineStr">
        <is>
          <t>FOB</t>
        </is>
      </c>
      <c r="J110" s="2" t="n">
        <v>533</v>
      </c>
      <c r="K110" s="2" t="inlineStr">
        <is>
          <t>pieces</t>
        </is>
      </c>
      <c r="L110" s="2" t="inlineStr">
        <is>
          <t>2026-09-14</t>
        </is>
      </c>
      <c r="M110" s="2" t="inlineStr">
        <is>
          <t>90181901</t>
        </is>
      </c>
      <c r="N110" s="2" t="inlineStr">
        <is>
          <t>CHN</t>
        </is>
      </c>
      <c r="O110" s="2" t="inlineStr">
        <is>
          <t>Automatic upper arm blood pressure monitor</t>
        </is>
      </c>
      <c r="P110" s="2" t="n">
        <v>16</v>
      </c>
      <c r="Q110" s="35">
        <f>IF(E110=1,F110,"")</f>
        <v/>
      </c>
    </row>
    <row r="111">
      <c r="A111" s="2" t="inlineStr">
        <is>
          <t>V4</t>
        </is>
      </c>
      <c r="B111" s="2" t="n">
        <v>8</v>
      </c>
      <c r="C111" s="2" t="inlineStr">
        <is>
          <t>L0250211</t>
        </is>
      </c>
      <c r="D111" s="21" t="n">
        <v>0.969</v>
      </c>
      <c r="E111" s="2" t="n">
        <v>1</v>
      </c>
      <c r="F111" s="32" t="n">
        <v>15.99</v>
      </c>
      <c r="G111" s="32" t="n">
        <v>112.49</v>
      </c>
      <c r="H111" s="2" t="inlineStr">
        <is>
          <t>CNY</t>
        </is>
      </c>
      <c r="I111" s="2" t="inlineStr">
        <is>
          <t>EXW</t>
        </is>
      </c>
      <c r="J111" s="2" t="n">
        <v>740</v>
      </c>
      <c r="K111" s="2" t="inlineStr">
        <is>
          <t>pieces</t>
        </is>
      </c>
      <c r="L111" s="2" t="inlineStr">
        <is>
          <t>2026-07-31</t>
        </is>
      </c>
      <c r="M111" s="2" t="inlineStr">
        <is>
          <t>90181901</t>
        </is>
      </c>
      <c r="N111" s="2" t="inlineStr">
        <is>
          <t>CHN</t>
        </is>
      </c>
      <c r="O111" s="2" t="inlineStr">
        <is>
          <t>Blood pressure monitor, upper arm, automatic</t>
        </is>
      </c>
      <c r="P111" s="2" t="n">
        <v>61</v>
      </c>
      <c r="Q111" s="35">
        <f>IF(E111=1,F111,"")</f>
        <v/>
      </c>
    </row>
    <row r="112">
      <c r="A112" s="2" t="inlineStr">
        <is>
          <t>V4</t>
        </is>
      </c>
      <c r="B112" s="2" t="n">
        <v>9</v>
      </c>
      <c r="C112" s="2" t="inlineStr">
        <is>
          <t>L0250223</t>
        </is>
      </c>
      <c r="D112" s="21" t="n">
        <v>0.969</v>
      </c>
      <c r="E112" s="2" t="n">
        <v>1</v>
      </c>
      <c r="F112" s="32" t="n">
        <v>13.69</v>
      </c>
      <c r="G112" s="32" t="n">
        <v>102.18</v>
      </c>
      <c r="H112" s="2" t="inlineStr">
        <is>
          <t>CNY</t>
        </is>
      </c>
      <c r="I112" s="2" t="inlineStr">
        <is>
          <t>CIF</t>
        </is>
      </c>
      <c r="J112" s="2" t="n">
        <v>1015</v>
      </c>
      <c r="K112" s="2" t="inlineStr">
        <is>
          <t>pieces</t>
        </is>
      </c>
      <c r="L112" s="2" t="inlineStr">
        <is>
          <t>2026-08-03</t>
        </is>
      </c>
      <c r="M112" s="2" t="inlineStr">
        <is>
          <t>90181901</t>
        </is>
      </c>
      <c r="N112" s="2" t="inlineStr">
        <is>
          <t>CHN</t>
        </is>
      </c>
      <c r="O112" s="2" t="inlineStr">
        <is>
          <t>Blood pressure monitor, upper arm, automatic</t>
        </is>
      </c>
      <c r="P112" s="2" t="n">
        <v>58</v>
      </c>
      <c r="Q112" s="35">
        <f>IF(E112=1,F112,"")</f>
        <v/>
      </c>
    </row>
    <row r="113">
      <c r="A113" s="2" t="inlineStr">
        <is>
          <t>V4</t>
        </is>
      </c>
      <c r="B113" s="2" t="n">
        <v>10</v>
      </c>
      <c r="C113" s="2" t="inlineStr">
        <is>
          <t>L0250219</t>
        </is>
      </c>
      <c r="D113" s="21" t="n">
        <v>0.969</v>
      </c>
      <c r="E113" s="2" t="n">
        <v>1</v>
      </c>
      <c r="F113" s="32" t="n">
        <v>14.42</v>
      </c>
      <c r="G113" s="32" t="n">
        <v>14.79</v>
      </c>
      <c r="H113" s="2" t="inlineStr">
        <is>
          <t>USD</t>
        </is>
      </c>
      <c r="I113" s="2" t="inlineStr">
        <is>
          <t>CFR</t>
        </is>
      </c>
      <c r="J113" s="2" t="n">
        <v>692</v>
      </c>
      <c r="K113" s="2" t="inlineStr">
        <is>
          <t>pieces</t>
        </is>
      </c>
      <c r="L113" s="2" t="inlineStr">
        <is>
          <t>2026-08-04</t>
        </is>
      </c>
      <c r="M113" s="2" t="inlineStr">
        <is>
          <t>90181901</t>
        </is>
      </c>
      <c r="N113" s="2" t="inlineStr">
        <is>
          <t>CHN</t>
        </is>
      </c>
      <c r="O113" s="2" t="inlineStr">
        <is>
          <t>Blood pressure monitor, upper arm, automatic</t>
        </is>
      </c>
      <c r="P113" s="2" t="n">
        <v>57</v>
      </c>
      <c r="Q113" s="35">
        <f>IF(E113=1,F113,"")</f>
        <v/>
      </c>
    </row>
    <row r="114">
      <c r="A114" s="2" t="inlineStr">
        <is>
          <t>V4</t>
        </is>
      </c>
      <c r="B114" s="2" t="n">
        <v>11</v>
      </c>
      <c r="C114" s="2" t="inlineStr">
        <is>
          <t>L0250235</t>
        </is>
      </c>
      <c r="D114" s="21" t="n">
        <v>0.969</v>
      </c>
      <c r="E114" s="2" t="n">
        <v>1</v>
      </c>
      <c r="F114" s="32" t="n">
        <v>15.47</v>
      </c>
      <c r="G114" s="32" t="n">
        <v>15.47</v>
      </c>
      <c r="H114" s="2" t="inlineStr">
        <is>
          <t>USD</t>
        </is>
      </c>
      <c r="I114" s="2" t="inlineStr">
        <is>
          <t>FOB</t>
        </is>
      </c>
      <c r="J114" s="2" t="n">
        <v>317</v>
      </c>
      <c r="K114" s="2" t="inlineStr">
        <is>
          <t>pieces</t>
        </is>
      </c>
      <c r="L114" s="2" t="inlineStr">
        <is>
          <t>2026-08-13</t>
        </is>
      </c>
      <c r="M114" s="2" t="inlineStr">
        <is>
          <t>90181901</t>
        </is>
      </c>
      <c r="N114" s="2" t="inlineStr">
        <is>
          <t>CHN</t>
        </is>
      </c>
      <c r="O114" s="2" t="inlineStr">
        <is>
          <t>Blood pressure monitor, upper arm, automatic</t>
        </is>
      </c>
      <c r="P114" s="2" t="n">
        <v>48</v>
      </c>
      <c r="Q114" s="35">
        <f>IF(E114=1,F114,"")</f>
        <v/>
      </c>
    </row>
    <row r="115">
      <c r="A115" s="2" t="inlineStr">
        <is>
          <t>V4</t>
        </is>
      </c>
      <c r="B115" s="2" t="n">
        <v>12</v>
      </c>
      <c r="C115" s="2" t="inlineStr">
        <is>
          <t>L0250215</t>
        </is>
      </c>
      <c r="D115" s="21" t="n">
        <v>0.969</v>
      </c>
      <c r="E115" s="2" t="n">
        <v>1</v>
      </c>
      <c r="F115" s="32" t="n">
        <v>18.36</v>
      </c>
      <c r="G115" s="32" t="n">
        <v>137.03</v>
      </c>
      <c r="H115" s="2" t="inlineStr">
        <is>
          <t>CNY</t>
        </is>
      </c>
      <c r="I115" s="2" t="inlineStr">
        <is>
          <t>CIF</t>
        </is>
      </c>
      <c r="J115" s="2" t="n">
        <v>1236</v>
      </c>
      <c r="K115" s="2" t="inlineStr">
        <is>
          <t>pieces</t>
        </is>
      </c>
      <c r="L115" s="2" t="inlineStr">
        <is>
          <t>2026-08-23</t>
        </is>
      </c>
      <c r="M115" s="2" t="inlineStr">
        <is>
          <t>90181901</t>
        </is>
      </c>
      <c r="N115" s="2" t="inlineStr">
        <is>
          <t>CHN</t>
        </is>
      </c>
      <c r="O115" s="2" t="inlineStr">
        <is>
          <t>Blood pressure monitor, upper arm, automatic</t>
        </is>
      </c>
      <c r="P115" s="2" t="n">
        <v>38</v>
      </c>
      <c r="Q115" s="35">
        <f>IF(E115=1,F115,"")</f>
        <v/>
      </c>
    </row>
    <row r="116">
      <c r="A116" s="2" t="inlineStr">
        <is>
          <t>V4</t>
        </is>
      </c>
      <c r="B116" s="2" t="n">
        <v>13</v>
      </c>
      <c r="C116" s="2" t="inlineStr">
        <is>
          <t>L0250231</t>
        </is>
      </c>
      <c r="D116" s="21" t="n">
        <v>0.969</v>
      </c>
      <c r="E116" s="2" t="n">
        <v>1</v>
      </c>
      <c r="F116" s="32" t="n">
        <v>16.69</v>
      </c>
      <c r="G116" s="32" t="n">
        <v>120.94</v>
      </c>
      <c r="H116" s="2" t="inlineStr">
        <is>
          <t>CNY</t>
        </is>
      </c>
      <c r="I116" s="2" t="inlineStr">
        <is>
          <t>FOB</t>
        </is>
      </c>
      <c r="J116" s="2" t="n">
        <v>1085</v>
      </c>
      <c r="K116" s="2" t="inlineStr">
        <is>
          <t>pieces</t>
        </is>
      </c>
      <c r="L116" s="2" t="inlineStr">
        <is>
          <t>2026-09-02</t>
        </is>
      </c>
      <c r="M116" s="2" t="inlineStr">
        <is>
          <t>90181901</t>
        </is>
      </c>
      <c r="N116" s="2" t="inlineStr">
        <is>
          <t>CHN</t>
        </is>
      </c>
      <c r="O116" s="2" t="inlineStr">
        <is>
          <t>Blood pressure monitor, upper arm, automatic</t>
        </is>
      </c>
      <c r="P116" s="2" t="n">
        <v>28</v>
      </c>
      <c r="Q116" s="35">
        <f>IF(E116=1,F116,"")</f>
        <v/>
      </c>
    </row>
    <row r="117">
      <c r="A117" s="2" t="inlineStr">
        <is>
          <t>V4</t>
        </is>
      </c>
      <c r="B117" s="2" t="n">
        <v>14</v>
      </c>
      <c r="C117" s="2" t="inlineStr">
        <is>
          <t>L0250227</t>
        </is>
      </c>
      <c r="D117" s="21" t="n">
        <v>0.969</v>
      </c>
      <c r="E117" s="2" t="n">
        <v>1</v>
      </c>
      <c r="F117" s="32" t="n">
        <v>15.63</v>
      </c>
      <c r="G117" s="32" t="n">
        <v>116.66</v>
      </c>
      <c r="H117" s="2" t="inlineStr">
        <is>
          <t>CNY</t>
        </is>
      </c>
      <c r="I117" s="2" t="inlineStr">
        <is>
          <t>CIF</t>
        </is>
      </c>
      <c r="J117" s="2" t="n">
        <v>973</v>
      </c>
      <c r="K117" s="2" t="inlineStr">
        <is>
          <t>pieces</t>
        </is>
      </c>
      <c r="L117" s="2" t="inlineStr">
        <is>
          <t>2026-09-24</t>
        </is>
      </c>
      <c r="M117" s="2" t="inlineStr">
        <is>
          <t>90181901</t>
        </is>
      </c>
      <c r="N117" s="2" t="inlineStr">
        <is>
          <t>CHN</t>
        </is>
      </c>
      <c r="O117" s="2" t="inlineStr">
        <is>
          <t>Blood pressure monitor, upper arm, automatic</t>
        </is>
      </c>
      <c r="P117" s="2" t="n">
        <v>6</v>
      </c>
      <c r="Q117" s="35">
        <f>IF(E117=1,F117,"")</f>
        <v/>
      </c>
    </row>
    <row r="118">
      <c r="A118" s="2" t="inlineStr">
        <is>
          <t>V4</t>
        </is>
      </c>
      <c r="B118" s="2" t="n">
        <v>15</v>
      </c>
      <c r="C118" s="2" t="inlineStr">
        <is>
          <t>L0250216</t>
        </is>
      </c>
      <c r="D118" s="21" t="n">
        <v>0.927</v>
      </c>
      <c r="E118" s="2" t="n">
        <v>1</v>
      </c>
      <c r="F118" s="32" t="n">
        <v>15.75</v>
      </c>
      <c r="G118" s="32" t="n">
        <v>114.13</v>
      </c>
      <c r="H118" s="2" t="inlineStr">
        <is>
          <t>CNY</t>
        </is>
      </c>
      <c r="I118" s="2" t="inlineStr">
        <is>
          <t>FOB</t>
        </is>
      </c>
      <c r="J118" s="2" t="n">
        <v>953</v>
      </c>
      <c r="K118" s="2" t="inlineStr">
        <is>
          <t>pieces</t>
        </is>
      </c>
      <c r="L118" s="2" t="inlineStr">
        <is>
          <t>2026-08-19</t>
        </is>
      </c>
      <c r="M118" s="2" t="inlineStr">
        <is>
          <t>90181901</t>
        </is>
      </c>
      <c r="N118" s="2" t="inlineStr">
        <is>
          <t>CHN</t>
        </is>
      </c>
      <c r="O118" s="2" t="inlineStr">
        <is>
          <t>Digital blood pressure monitor (upper arm)</t>
        </is>
      </c>
      <c r="P118" s="2" t="n">
        <v>42</v>
      </c>
      <c r="Q118" s="35">
        <f>IF(E118=1,F118,"")</f>
        <v/>
      </c>
    </row>
    <row r="119">
      <c r="A119" s="2" t="inlineStr">
        <is>
          <t>V4</t>
        </is>
      </c>
      <c r="B119" s="2" t="n">
        <v>16</v>
      </c>
      <c r="C119" s="2" t="inlineStr">
        <is>
          <t>L0250220</t>
        </is>
      </c>
      <c r="D119" s="21" t="n">
        <v>0.927</v>
      </c>
      <c r="E119" s="2" t="n">
        <v>1</v>
      </c>
      <c r="F119" s="32" t="n">
        <v>17.11</v>
      </c>
      <c r="G119" s="32" t="n">
        <v>123.99</v>
      </c>
      <c r="H119" s="2" t="inlineStr">
        <is>
          <t>CNY</t>
        </is>
      </c>
      <c r="I119" s="2" t="inlineStr">
        <is>
          <t>FOB</t>
        </is>
      </c>
      <c r="J119" s="2" t="n">
        <v>1840</v>
      </c>
      <c r="K119" s="2" t="inlineStr">
        <is>
          <t>pieces</t>
        </is>
      </c>
      <c r="L119" s="2" t="inlineStr">
        <is>
          <t>2026-08-21</t>
        </is>
      </c>
      <c r="M119" s="2" t="inlineStr">
        <is>
          <t>90181901</t>
        </is>
      </c>
      <c r="N119" s="2" t="inlineStr">
        <is>
          <t>CHN</t>
        </is>
      </c>
      <c r="O119" s="2" t="inlineStr">
        <is>
          <t>Digital blood pressure monitor (upper arm)</t>
        </is>
      </c>
      <c r="P119" s="2" t="n">
        <v>40</v>
      </c>
      <c r="Q119" s="35">
        <f>IF(E119=1,F119,"")</f>
        <v/>
      </c>
    </row>
    <row r="120">
      <c r="A120" s="2" t="inlineStr">
        <is>
          <t>V4</t>
        </is>
      </c>
      <c r="B120" s="2" t="n">
        <v>17</v>
      </c>
      <c r="C120" s="2" t="inlineStr">
        <is>
          <t>L0250212</t>
        </is>
      </c>
      <c r="D120" s="21" t="n">
        <v>0.927</v>
      </c>
      <c r="E120" s="2" t="n">
        <v>1</v>
      </c>
      <c r="F120" s="32" t="n">
        <v>15.63</v>
      </c>
      <c r="G120" s="32" t="n">
        <v>113.26</v>
      </c>
      <c r="H120" s="2" t="inlineStr">
        <is>
          <t>CNY</t>
        </is>
      </c>
      <c r="I120" s="2" t="inlineStr">
        <is>
          <t>FOB</t>
        </is>
      </c>
      <c r="J120" s="2" t="n">
        <v>661</v>
      </c>
      <c r="K120" s="2" t="inlineStr">
        <is>
          <t>pieces</t>
        </is>
      </c>
      <c r="L120" s="2" t="inlineStr">
        <is>
          <t>2026-08-29</t>
        </is>
      </c>
      <c r="M120" s="2" t="inlineStr">
        <is>
          <t>90181901</t>
        </is>
      </c>
      <c r="N120" s="2" t="inlineStr">
        <is>
          <t>CHN</t>
        </is>
      </c>
      <c r="O120" s="2" t="inlineStr">
        <is>
          <t>Digital blood pressure monitor (upper arm)</t>
        </is>
      </c>
      <c r="P120" s="2" t="n">
        <v>32</v>
      </c>
      <c r="Q120" s="35">
        <f>IF(E120=1,F120,"")</f>
        <v/>
      </c>
    </row>
    <row r="121">
      <c r="A121" s="2" t="inlineStr">
        <is>
          <t>V4</t>
        </is>
      </c>
      <c r="B121" s="2" t="n">
        <v>18</v>
      </c>
      <c r="C121" s="2" t="inlineStr">
        <is>
          <t>L0250224</t>
        </is>
      </c>
      <c r="D121" s="21" t="n">
        <v>0.927</v>
      </c>
      <c r="E121" s="2" t="n">
        <v>1</v>
      </c>
      <c r="F121" s="32" t="n">
        <v>17.38</v>
      </c>
      <c r="G121" s="32" t="n">
        <v>129.72</v>
      </c>
      <c r="H121" s="2" t="inlineStr">
        <is>
          <t>CNY</t>
        </is>
      </c>
      <c r="I121" s="2" t="inlineStr">
        <is>
          <t>CIF</t>
        </is>
      </c>
      <c r="J121" s="2" t="n">
        <v>442</v>
      </c>
      <c r="K121" s="2" t="inlineStr">
        <is>
          <t>pieces</t>
        </is>
      </c>
      <c r="L121" s="2" t="inlineStr">
        <is>
          <t>2026-08-29</t>
        </is>
      </c>
      <c r="M121" s="2" t="inlineStr">
        <is>
          <t>90181901</t>
        </is>
      </c>
      <c r="N121" s="2" t="inlineStr">
        <is>
          <t>CHN</t>
        </is>
      </c>
      <c r="O121" s="2" t="inlineStr">
        <is>
          <t>Digital blood pressure monitor (upper arm)</t>
        </is>
      </c>
      <c r="P121" s="2" t="n">
        <v>32</v>
      </c>
      <c r="Q121" s="35">
        <f>IF(E121=1,F121,"")</f>
        <v/>
      </c>
    </row>
    <row r="122">
      <c r="A122" s="2" t="inlineStr">
        <is>
          <t>V4</t>
        </is>
      </c>
      <c r="B122" s="2" t="n">
        <v>19</v>
      </c>
      <c r="C122" s="2" t="inlineStr">
        <is>
          <t>L0250228</t>
        </is>
      </c>
      <c r="D122" s="21" t="n">
        <v>0.927</v>
      </c>
      <c r="E122" s="2" t="n">
        <v>1</v>
      </c>
      <c r="F122" s="32" t="n">
        <v>14.28</v>
      </c>
      <c r="G122" s="32" t="n">
        <v>100.46</v>
      </c>
      <c r="H122" s="2" t="inlineStr">
        <is>
          <t>CNY</t>
        </is>
      </c>
      <c r="I122" s="2" t="inlineStr">
        <is>
          <t>EXW</t>
        </is>
      </c>
      <c r="J122" s="2" t="n">
        <v>737</v>
      </c>
      <c r="K122" s="2" t="inlineStr">
        <is>
          <t>pieces</t>
        </is>
      </c>
      <c r="L122" s="2" t="inlineStr">
        <is>
          <t>2026-09-12</t>
        </is>
      </c>
      <c r="M122" s="2" t="inlineStr">
        <is>
          <t>90181901</t>
        </is>
      </c>
      <c r="N122" s="2" t="inlineStr">
        <is>
          <t>CHN</t>
        </is>
      </c>
      <c r="O122" s="2" t="inlineStr">
        <is>
          <t>Digital blood pressure monitor (upper arm)</t>
        </is>
      </c>
      <c r="P122" s="2" t="n">
        <v>18</v>
      </c>
      <c r="Q122" s="35">
        <f>IF(E122=1,F122,"")</f>
        <v/>
      </c>
    </row>
    <row r="123">
      <c r="A123" s="2" t="inlineStr">
        <is>
          <t>V4</t>
        </is>
      </c>
      <c r="B123" s="2" t="n">
        <v>20</v>
      </c>
      <c r="C123" s="2" t="inlineStr">
        <is>
          <t>L0250232</t>
        </is>
      </c>
      <c r="D123" s="21" t="n">
        <v>0.927</v>
      </c>
      <c r="E123" s="2" t="n">
        <v>1</v>
      </c>
      <c r="F123" s="32" t="n">
        <v>14.57</v>
      </c>
      <c r="G123" s="32" t="n">
        <v>14.15</v>
      </c>
      <c r="H123" s="2" t="inlineStr">
        <is>
          <t>USD</t>
        </is>
      </c>
      <c r="I123" s="2" t="inlineStr">
        <is>
          <t>EXW</t>
        </is>
      </c>
      <c r="J123" s="2" t="n">
        <v>627</v>
      </c>
      <c r="K123" s="2" t="inlineStr">
        <is>
          <t>pieces</t>
        </is>
      </c>
      <c r="L123" s="2" t="inlineStr">
        <is>
          <t>2026-09-20</t>
        </is>
      </c>
      <c r="M123" s="2" t="inlineStr">
        <is>
          <t>90181901</t>
        </is>
      </c>
      <c r="N123" s="2" t="inlineStr">
        <is>
          <t>CHN</t>
        </is>
      </c>
      <c r="O123" s="2" t="inlineStr">
        <is>
          <t>Digital blood pressure monitor (upper arm)</t>
        </is>
      </c>
      <c r="P123" s="2" t="n">
        <v>10</v>
      </c>
      <c r="Q123" s="35">
        <f>IF(E123=1,F123,"")</f>
        <v/>
      </c>
    </row>
    <row r="124">
      <c r="A124" s="2" t="inlineStr">
        <is>
          <t>V4</t>
        </is>
      </c>
      <c r="B124" s="2" t="n">
        <v>21</v>
      </c>
      <c r="C124" s="2" t="inlineStr">
        <is>
          <t>L0250229</t>
        </is>
      </c>
      <c r="D124" s="21" t="n">
        <v>0.901</v>
      </c>
      <c r="E124" s="2" t="n">
        <v>1</v>
      </c>
      <c r="F124" s="32" t="n">
        <v>12.9</v>
      </c>
      <c r="G124" s="32" t="n">
        <v>12.9</v>
      </c>
      <c r="H124" s="2" t="inlineStr">
        <is>
          <t>USD</t>
        </is>
      </c>
      <c r="I124" s="2" t="inlineStr">
        <is>
          <t>FOB</t>
        </is>
      </c>
      <c r="J124" s="2" t="n">
        <v>720</v>
      </c>
      <c r="K124" s="2" t="inlineStr">
        <is>
          <t>pieces</t>
        </is>
      </c>
      <c r="L124" s="2" t="inlineStr">
        <is>
          <t>2026-08-05</t>
        </is>
      </c>
      <c r="M124" s="2" t="inlineStr">
        <is>
          <t>90181901</t>
        </is>
      </c>
      <c r="N124" s="2" t="inlineStr">
        <is>
          <t>CHN</t>
        </is>
      </c>
      <c r="O124" s="2" t="inlineStr">
        <is>
          <t>Wrist blood pressure monitor, automatic</t>
        </is>
      </c>
      <c r="P124" s="2" t="n">
        <v>56</v>
      </c>
      <c r="Q124" s="35">
        <f>IF(E124=1,F124,"")</f>
        <v/>
      </c>
    </row>
    <row r="125">
      <c r="A125" s="2" t="inlineStr">
        <is>
          <t>V4</t>
        </is>
      </c>
      <c r="B125" s="2" t="n">
        <v>22</v>
      </c>
      <c r="C125" s="2" t="inlineStr">
        <is>
          <t>L0250213</t>
        </is>
      </c>
      <c r="D125" s="21" t="n">
        <v>0.901</v>
      </c>
      <c r="E125" s="2" t="n">
        <v>1</v>
      </c>
      <c r="F125" s="32" t="n">
        <v>12.34</v>
      </c>
      <c r="G125" s="32" t="n">
        <v>86.81999999999999</v>
      </c>
      <c r="H125" s="2" t="inlineStr">
        <is>
          <t>CNY</t>
        </is>
      </c>
      <c r="I125" s="2" t="inlineStr">
        <is>
          <t>EXW</t>
        </is>
      </c>
      <c r="J125" s="2" t="n">
        <v>922</v>
      </c>
      <c r="K125" s="2" t="inlineStr">
        <is>
          <t>pieces</t>
        </is>
      </c>
      <c r="L125" s="2" t="inlineStr">
        <is>
          <t>2026-08-07</t>
        </is>
      </c>
      <c r="M125" s="2" t="inlineStr">
        <is>
          <t>90181901</t>
        </is>
      </c>
      <c r="N125" s="2" t="inlineStr">
        <is>
          <t>CHN</t>
        </is>
      </c>
      <c r="O125" s="2" t="inlineStr">
        <is>
          <t>Wrist blood pressure monitor, automatic</t>
        </is>
      </c>
      <c r="P125" s="2" t="n">
        <v>54</v>
      </c>
      <c r="Q125" s="35">
        <f>IF(E125=1,F125,"")</f>
        <v/>
      </c>
    </row>
    <row r="126">
      <c r="A126" s="2" t="inlineStr">
        <is>
          <t>V4</t>
        </is>
      </c>
      <c r="B126" s="2" t="n">
        <v>23</v>
      </c>
      <c r="C126" s="2" t="inlineStr">
        <is>
          <t>L0250217</t>
        </is>
      </c>
      <c r="D126" s="21" t="n">
        <v>0.901</v>
      </c>
      <c r="E126" s="2" t="n">
        <v>1</v>
      </c>
      <c r="F126" s="32" t="n">
        <v>9.82</v>
      </c>
      <c r="G126" s="32" t="n">
        <v>9.82</v>
      </c>
      <c r="H126" s="2" t="inlineStr">
        <is>
          <t>USD</t>
        </is>
      </c>
      <c r="I126" s="2" t="inlineStr">
        <is>
          <t>FOB</t>
        </is>
      </c>
      <c r="J126" s="2" t="n">
        <v>793</v>
      </c>
      <c r="K126" s="2" t="inlineStr">
        <is>
          <t>pieces</t>
        </is>
      </c>
      <c r="L126" s="2" t="inlineStr">
        <is>
          <t>2026-08-15</t>
        </is>
      </c>
      <c r="M126" s="2" t="inlineStr">
        <is>
          <t>90181901</t>
        </is>
      </c>
      <c r="N126" s="2" t="inlineStr">
        <is>
          <t>CHN</t>
        </is>
      </c>
      <c r="O126" s="2" t="inlineStr">
        <is>
          <t>Wrist blood pressure monitor, automatic</t>
        </is>
      </c>
      <c r="P126" s="2" t="n">
        <v>46</v>
      </c>
      <c r="Q126" s="35">
        <f>IF(E126=1,F126,"")</f>
        <v/>
      </c>
    </row>
    <row r="127">
      <c r="A127" s="2" t="inlineStr">
        <is>
          <t>V4</t>
        </is>
      </c>
      <c r="B127" s="2" t="n">
        <v>24</v>
      </c>
      <c r="C127" s="2" t="inlineStr">
        <is>
          <t>L0250225</t>
        </is>
      </c>
      <c r="D127" s="21" t="n">
        <v>0.901</v>
      </c>
      <c r="E127" s="2" t="n">
        <v>1</v>
      </c>
      <c r="F127" s="32" t="n">
        <v>11.4</v>
      </c>
      <c r="G127" s="32" t="n">
        <v>11.4</v>
      </c>
      <c r="H127" s="2" t="inlineStr">
        <is>
          <t>USD</t>
        </is>
      </c>
      <c r="I127" s="2" t="inlineStr">
        <is>
          <t>FOB</t>
        </is>
      </c>
      <c r="J127" s="2" t="n">
        <v>456</v>
      </c>
      <c r="K127" s="2" t="inlineStr">
        <is>
          <t>pieces</t>
        </is>
      </c>
      <c r="L127" s="2" t="inlineStr">
        <is>
          <t>2026-09-07</t>
        </is>
      </c>
      <c r="M127" s="2" t="inlineStr">
        <is>
          <t>90181901</t>
        </is>
      </c>
      <c r="N127" s="2" t="inlineStr">
        <is>
          <t>CHN</t>
        </is>
      </c>
      <c r="O127" s="2" t="inlineStr">
        <is>
          <t>Wrist blood pressure monitor, automatic</t>
        </is>
      </c>
      <c r="P127" s="2" t="n">
        <v>23</v>
      </c>
      <c r="Q127" s="35">
        <f>IF(E127=1,F127,"")</f>
        <v/>
      </c>
    </row>
    <row r="128">
      <c r="A128" s="2" t="inlineStr">
        <is>
          <t>V4</t>
        </is>
      </c>
      <c r="B128" s="2" t="n">
        <v>25</v>
      </c>
      <c r="C128" s="2" t="inlineStr">
        <is>
          <t>L0250221</t>
        </is>
      </c>
      <c r="D128" s="21" t="n">
        <v>0.901</v>
      </c>
      <c r="E128" s="2" t="n">
        <v>1</v>
      </c>
      <c r="F128" s="32" t="n">
        <v>11.59</v>
      </c>
      <c r="G128" s="32" t="n">
        <v>83.98999999999999</v>
      </c>
      <c r="H128" s="2" t="inlineStr">
        <is>
          <t>CNY</t>
        </is>
      </c>
      <c r="I128" s="2" t="inlineStr">
        <is>
          <t>FOB</t>
        </is>
      </c>
      <c r="J128" s="2" t="n">
        <v>1349</v>
      </c>
      <c r="K128" s="2" t="inlineStr">
        <is>
          <t>pieces</t>
        </is>
      </c>
      <c r="L128" s="2" t="inlineStr">
        <is>
          <t>2026-09-18</t>
        </is>
      </c>
      <c r="M128" s="2" t="inlineStr">
        <is>
          <t>90181901</t>
        </is>
      </c>
      <c r="N128" s="2" t="inlineStr">
        <is>
          <t>CHN</t>
        </is>
      </c>
      <c r="O128" s="2" t="inlineStr">
        <is>
          <t>Wrist blood pressure monitor, automatic</t>
        </is>
      </c>
      <c r="P128" s="2" t="n">
        <v>12</v>
      </c>
      <c r="Q128" s="35">
        <f>IF(E128=1,F128,"")</f>
        <v/>
      </c>
    </row>
    <row r="129">
      <c r="A129" s="2" t="inlineStr">
        <is>
          <t>V4</t>
        </is>
      </c>
      <c r="B129" s="2" t="n">
        <v>26</v>
      </c>
      <c r="C129" s="2" t="inlineStr">
        <is>
          <t>L0250233</t>
        </is>
      </c>
      <c r="D129" s="21" t="n">
        <v>0.901</v>
      </c>
      <c r="E129" s="2" t="n">
        <v>1</v>
      </c>
      <c r="F129" s="32" t="n">
        <v>10.12</v>
      </c>
      <c r="G129" s="32" t="n">
        <v>75.2</v>
      </c>
      <c r="H129" s="2" t="inlineStr">
        <is>
          <t>CNY</t>
        </is>
      </c>
      <c r="I129" s="2" t="inlineStr">
        <is>
          <t>CFR</t>
        </is>
      </c>
      <c r="J129" s="2" t="n">
        <v>1246</v>
      </c>
      <c r="K129" s="2" t="inlineStr">
        <is>
          <t>pieces</t>
        </is>
      </c>
      <c r="L129" s="2" t="inlineStr">
        <is>
          <t>2026-09-23</t>
        </is>
      </c>
      <c r="M129" s="2" t="inlineStr">
        <is>
          <t>90181901</t>
        </is>
      </c>
      <c r="N129" s="2" t="inlineStr">
        <is>
          <t>CHN</t>
        </is>
      </c>
      <c r="O129" s="2" t="inlineStr">
        <is>
          <t>Wrist blood pressure monitor, automatic</t>
        </is>
      </c>
      <c r="P129" s="2" t="n">
        <v>7</v>
      </c>
      <c r="Q129" s="35">
        <f>IF(E129=1,F129,"")</f>
        <v/>
      </c>
    </row>
    <row r="130">
      <c r="A130" s="2" t="inlineStr">
        <is>
          <t>V4</t>
        </is>
      </c>
      <c r="B130" s="2" t="n">
        <v>27</v>
      </c>
      <c r="C130" s="2" t="inlineStr">
        <is>
          <t>L0250237</t>
        </is>
      </c>
      <c r="D130" s="21" t="n">
        <v>0.831</v>
      </c>
      <c r="E130" s="2" t="n">
        <v>0</v>
      </c>
      <c r="F130" s="32" t="n">
        <v>21.53</v>
      </c>
      <c r="G130" s="32" t="n">
        <v>21.53</v>
      </c>
      <c r="H130" s="2" t="inlineStr">
        <is>
          <t>USD</t>
        </is>
      </c>
      <c r="I130" s="2" t="inlineStr">
        <is>
          <t>FOB</t>
        </is>
      </c>
      <c r="J130" s="2" t="n">
        <v>711</v>
      </c>
      <c r="K130" s="2" t="inlineStr">
        <is>
          <t>pieces</t>
        </is>
      </c>
      <c r="L130" s="2" t="inlineStr">
        <is>
          <t>2026-07-15</t>
        </is>
      </c>
      <c r="M130" s="2" t="inlineStr">
        <is>
          <t>90181901</t>
        </is>
      </c>
      <c r="N130" s="2" t="inlineStr">
        <is>
          <t>CHN</t>
        </is>
      </c>
      <c r="O130" s="2" t="inlineStr">
        <is>
          <t>Upper-arm blood pressure monitor with Bluetooth</t>
        </is>
      </c>
      <c r="P130" s="2" t="n">
        <v>77</v>
      </c>
      <c r="Q130" s="35">
        <f>IF(E130=1,F130,"")</f>
        <v/>
      </c>
    </row>
    <row r="131">
      <c r="A131" s="2" t="inlineStr">
        <is>
          <t>V4</t>
        </is>
      </c>
      <c r="B131" s="2" t="n">
        <v>28</v>
      </c>
      <c r="C131" s="2" t="inlineStr">
        <is>
          <t>L0250236</t>
        </is>
      </c>
      <c r="D131" s="21" t="n">
        <v>0.831</v>
      </c>
      <c r="E131" s="2" t="n">
        <v>0</v>
      </c>
      <c r="F131" s="32" t="n">
        <v>19.89</v>
      </c>
      <c r="G131" s="32" t="n">
        <v>19.89</v>
      </c>
      <c r="H131" s="2" t="inlineStr">
        <is>
          <t>USD</t>
        </is>
      </c>
      <c r="I131" s="2" t="inlineStr">
        <is>
          <t>FOB</t>
        </is>
      </c>
      <c r="J131" s="2" t="n">
        <v>666</v>
      </c>
      <c r="K131" s="2" t="inlineStr">
        <is>
          <t>pieces</t>
        </is>
      </c>
      <c r="L131" s="2" t="inlineStr">
        <is>
          <t>2026-07-20</t>
        </is>
      </c>
      <c r="M131" s="2" t="inlineStr">
        <is>
          <t>90181901</t>
        </is>
      </c>
      <c r="N131" s="2" t="inlineStr">
        <is>
          <t>CHN</t>
        </is>
      </c>
      <c r="O131" s="2" t="inlineStr">
        <is>
          <t>Upper-arm blood pressure monitor with Bluetooth</t>
        </is>
      </c>
      <c r="P131" s="2" t="n">
        <v>72</v>
      </c>
      <c r="Q131" s="35">
        <f>IF(E131=1,F131,"")</f>
        <v/>
      </c>
    </row>
    <row r="132">
      <c r="A132" s="2" t="inlineStr">
        <is>
          <t>V4</t>
        </is>
      </c>
      <c r="B132" s="2" t="n">
        <v>29</v>
      </c>
      <c r="C132" s="2" t="inlineStr">
        <is>
          <t>L0250238</t>
        </is>
      </c>
      <c r="D132" s="21" t="n">
        <v>0.831</v>
      </c>
      <c r="E132" s="2" t="n">
        <v>0</v>
      </c>
      <c r="F132" s="32" t="n">
        <v>19.49</v>
      </c>
      <c r="G132" s="32" t="n">
        <v>141.23</v>
      </c>
      <c r="H132" s="2" t="inlineStr">
        <is>
          <t>CNY</t>
        </is>
      </c>
      <c r="I132" s="2" t="inlineStr">
        <is>
          <t>FOB</t>
        </is>
      </c>
      <c r="J132" s="2" t="n">
        <v>1097</v>
      </c>
      <c r="K132" s="2" t="inlineStr">
        <is>
          <t>pieces</t>
        </is>
      </c>
      <c r="L132" s="2" t="inlineStr">
        <is>
          <t>2026-08-24</t>
        </is>
      </c>
      <c r="M132" s="2" t="inlineStr">
        <is>
          <t>90181901</t>
        </is>
      </c>
      <c r="N132" s="2" t="inlineStr">
        <is>
          <t>CHN</t>
        </is>
      </c>
      <c r="O132" s="2" t="inlineStr">
        <is>
          <t>Upper-arm blood pressure monitor with Bluetooth</t>
        </is>
      </c>
      <c r="P132" s="2" t="n">
        <v>37</v>
      </c>
      <c r="Q132" s="35">
        <f>IF(E132=1,F132,"")</f>
        <v/>
      </c>
    </row>
    <row r="133">
      <c r="A133" s="2" t="inlineStr">
        <is>
          <t>V4</t>
        </is>
      </c>
      <c r="B133" s="2" t="n">
        <v>30</v>
      </c>
      <c r="C133" s="2" t="inlineStr">
        <is>
          <t>L0250240</t>
        </is>
      </c>
      <c r="D133" s="21" t="n">
        <v>0.756</v>
      </c>
      <c r="E133" s="2" t="n">
        <v>0</v>
      </c>
      <c r="F133" s="32" t="n">
        <v>14.71</v>
      </c>
      <c r="G133" s="32" t="n">
        <v>109.79</v>
      </c>
      <c r="H133" s="2" t="inlineStr">
        <is>
          <t>CNY</t>
        </is>
      </c>
      <c r="I133" s="2" t="inlineStr">
        <is>
          <t>CIF</t>
        </is>
      </c>
      <c r="J133" s="2" t="n">
        <v>2047</v>
      </c>
      <c r="K133" s="2" t="inlineStr">
        <is>
          <t>pieces</t>
        </is>
      </c>
      <c r="L133" s="2" t="inlineStr">
        <is>
          <t>2026-07-20</t>
        </is>
      </c>
      <c r="M133" s="2" t="inlineStr">
        <is>
          <t>90181901</t>
        </is>
      </c>
      <c r="N133" s="2" t="inlineStr">
        <is>
          <t>CHN</t>
        </is>
      </c>
      <c r="O133" s="2" t="inlineStr">
        <is>
          <t>Upper arm automatic BP monitor</t>
        </is>
      </c>
      <c r="P133" s="2" t="n">
        <v>72</v>
      </c>
      <c r="Q133" s="35">
        <f>IF(E133=1,F133,"")</f>
        <v/>
      </c>
    </row>
    <row r="134">
      <c r="A134" s="2" t="inlineStr">
        <is>
          <t>V5</t>
        </is>
      </c>
      <c r="B134" s="2" t="n">
        <v>1</v>
      </c>
      <c r="C134" s="2" t="inlineStr">
        <is>
          <t>L0250247</t>
        </is>
      </c>
      <c r="D134" s="21" t="n">
        <v>0.976</v>
      </c>
      <c r="E134" s="2" t="n">
        <v>1</v>
      </c>
      <c r="F134" s="32" t="n">
        <v>7971.83</v>
      </c>
      <c r="G134" s="32" t="n">
        <v>7971.83</v>
      </c>
      <c r="H134" s="2" t="inlineStr">
        <is>
          <t>USD</t>
        </is>
      </c>
      <c r="I134" s="2" t="inlineStr">
        <is>
          <t>FOB</t>
        </is>
      </c>
      <c r="J134" s="2" t="n">
        <v>1</v>
      </c>
      <c r="K134" s="2" t="inlineStr">
        <is>
          <t>pieces</t>
        </is>
      </c>
      <c r="L134" s="2" t="inlineStr">
        <is>
          <t>2026-08-23</t>
        </is>
      </c>
      <c r="M134" s="2" t="inlineStr">
        <is>
          <t>90221401</t>
        </is>
      </c>
      <c r="N134" s="2" t="inlineStr">
        <is>
          <t>DEU</t>
        </is>
      </c>
      <c r="O134" s="2" t="inlineStr">
        <is>
          <t>Handheld dental X-ray unit</t>
        </is>
      </c>
      <c r="P134" s="2" t="n">
        <v>38</v>
      </c>
      <c r="Q134" s="35">
        <f>IF(E134=1,F134,"")</f>
        <v/>
      </c>
    </row>
    <row r="135">
      <c r="A135" s="2" t="inlineStr">
        <is>
          <t>V5</t>
        </is>
      </c>
      <c r="B135" s="2" t="n">
        <v>2</v>
      </c>
      <c r="C135" s="2" t="inlineStr">
        <is>
          <t>L0250248</t>
        </is>
      </c>
      <c r="D135" s="21" t="n">
        <v>0.969</v>
      </c>
      <c r="E135" s="2" t="n">
        <v>1</v>
      </c>
      <c r="F135" s="32" t="n">
        <v>8460.25</v>
      </c>
      <c r="G135" s="32" t="n">
        <v>7804.66</v>
      </c>
      <c r="H135" s="2" t="inlineStr">
        <is>
          <t>EUR</t>
        </is>
      </c>
      <c r="I135" s="2" t="inlineStr">
        <is>
          <t>FOB</t>
        </is>
      </c>
      <c r="J135" s="2" t="n">
        <v>1</v>
      </c>
      <c r="K135" s="2" t="inlineStr">
        <is>
          <t>pieces</t>
        </is>
      </c>
      <c r="L135" s="2" t="inlineStr">
        <is>
          <t>2026-08-18</t>
        </is>
      </c>
      <c r="M135" s="2" t="inlineStr">
        <is>
          <t>90221401</t>
        </is>
      </c>
      <c r="N135" s="2" t="inlineStr">
        <is>
          <t>DEU</t>
        </is>
      </c>
      <c r="O135" s="2" t="inlineStr">
        <is>
          <t>Dental X-ray unit, portable</t>
        </is>
      </c>
      <c r="P135" s="2" t="n">
        <v>43</v>
      </c>
      <c r="Q135" s="35">
        <f>IF(E135=1,F135,"")</f>
        <v/>
      </c>
    </row>
    <row r="136">
      <c r="A136" s="2" t="inlineStr">
        <is>
          <t>V5</t>
        </is>
      </c>
      <c r="B136" s="2" t="n">
        <v>3</v>
      </c>
      <c r="C136" s="2" t="inlineStr">
        <is>
          <t>L0250246</t>
        </is>
      </c>
      <c r="D136" s="21" t="n">
        <v>0.958</v>
      </c>
      <c r="E136" s="2" t="n">
        <v>1</v>
      </c>
      <c r="F136" s="32" t="n">
        <v>8833.6</v>
      </c>
      <c r="G136" s="32" t="n">
        <v>8356.879999999999</v>
      </c>
      <c r="H136" s="2" t="inlineStr">
        <is>
          <t>EUR</t>
        </is>
      </c>
      <c r="I136" s="2" t="inlineStr">
        <is>
          <t>CFR</t>
        </is>
      </c>
      <c r="J136" s="2" t="n">
        <v>1</v>
      </c>
      <c r="K136" s="2" t="inlineStr">
        <is>
          <t>pieces</t>
        </is>
      </c>
      <c r="L136" s="2" t="inlineStr">
        <is>
          <t>2026-09-27</t>
        </is>
      </c>
      <c r="M136" s="2" t="inlineStr">
        <is>
          <t>90221401</t>
        </is>
      </c>
      <c r="N136" s="2" t="inlineStr">
        <is>
          <t>DEU</t>
        </is>
      </c>
      <c r="O136" s="2" t="inlineStr">
        <is>
          <t>Portable dental x-ray device</t>
        </is>
      </c>
      <c r="P136" s="2" t="n">
        <v>3</v>
      </c>
      <c r="Q136" s="35">
        <f>IF(E136=1,F136,"")</f>
        <v/>
      </c>
    </row>
    <row r="137">
      <c r="A137" s="2" t="inlineStr">
        <is>
          <t>V5</t>
        </is>
      </c>
      <c r="B137" s="2" t="n">
        <v>4</v>
      </c>
      <c r="C137" s="2" t="inlineStr">
        <is>
          <t>L0250249</t>
        </is>
      </c>
      <c r="D137" s="21" t="n">
        <v>0.861</v>
      </c>
      <c r="E137" s="2" t="n">
        <v>1</v>
      </c>
      <c r="F137" s="32" t="n">
        <v>22868.06</v>
      </c>
      <c r="G137" s="32" t="n">
        <v>22202</v>
      </c>
      <c r="H137" s="2" t="inlineStr">
        <is>
          <t>USD</t>
        </is>
      </c>
      <c r="I137" s="2" t="inlineStr">
        <is>
          <t>EXW</t>
        </is>
      </c>
      <c r="J137" s="2" t="n">
        <v>1</v>
      </c>
      <c r="K137" s="2" t="inlineStr">
        <is>
          <t>pieces</t>
        </is>
      </c>
      <c r="L137" s="2" t="inlineStr">
        <is>
          <t>2026-09-18</t>
        </is>
      </c>
      <c r="M137" s="2" t="inlineStr">
        <is>
          <t>90221401</t>
        </is>
      </c>
      <c r="N137" s="2" t="inlineStr">
        <is>
          <t>DEU</t>
        </is>
      </c>
      <c r="O137" s="2" t="inlineStr">
        <is>
          <t>Panoramic dental X-ray system</t>
        </is>
      </c>
      <c r="P137" s="2" t="n">
        <v>12</v>
      </c>
      <c r="Q137" s="35">
        <f>IF(E137=1,F137,"")</f>
        <v/>
      </c>
    </row>
    <row r="138">
      <c r="A138" s="2" t="inlineStr">
        <is>
          <t>V5</t>
        </is>
      </c>
      <c r="B138" s="2" t="n">
        <v>5</v>
      </c>
      <c r="C138" s="2" t="inlineStr">
        <is>
          <t>L0250250</t>
        </is>
      </c>
      <c r="D138" s="21" t="n">
        <v>0.751</v>
      </c>
      <c r="E138" s="2" t="n">
        <v>0</v>
      </c>
      <c r="F138" s="32" t="n">
        <v>8595.65</v>
      </c>
      <c r="G138" s="32" t="n">
        <v>8853.52</v>
      </c>
      <c r="H138" s="2" t="inlineStr">
        <is>
          <t>USD</t>
        </is>
      </c>
      <c r="I138" s="2" t="inlineStr">
        <is>
          <t>CIF</t>
        </is>
      </c>
      <c r="J138" s="2" t="n">
        <v>1</v>
      </c>
      <c r="K138" s="2" t="inlineStr">
        <is>
          <t>pieces</t>
        </is>
      </c>
      <c r="L138" s="2" t="inlineStr">
        <is>
          <t>2026-09-15</t>
        </is>
      </c>
      <c r="M138" s="2" t="inlineStr">
        <is>
          <t>90221401</t>
        </is>
      </c>
      <c r="N138" s="2" t="inlineStr">
        <is>
          <t>DEU</t>
        </is>
      </c>
      <c r="O138" s="2" t="inlineStr">
        <is>
          <t>Tragbares Dental-Röntgengerät</t>
        </is>
      </c>
      <c r="P138" s="2" t="n">
        <v>15</v>
      </c>
      <c r="Q138" s="35">
        <f>IF(E138=1,F138,"")</f>
        <v/>
      </c>
    </row>
    <row r="139">
      <c r="A139" s="2" t="inlineStr">
        <is>
          <t>V5</t>
        </is>
      </c>
      <c r="B139" s="2" t="n">
        <v>6</v>
      </c>
      <c r="C139" s="2" t="inlineStr">
        <is>
          <t>L0250251</t>
        </is>
      </c>
      <c r="D139" s="21" t="n">
        <v>0.71</v>
      </c>
      <c r="E139" s="2" t="n">
        <v>0</v>
      </c>
      <c r="F139" s="32" t="n">
        <v>55182.13</v>
      </c>
      <c r="G139" s="32" t="n">
        <v>56837.59</v>
      </c>
      <c r="H139" s="2" t="inlineStr">
        <is>
          <t>USD</t>
        </is>
      </c>
      <c r="I139" s="2" t="inlineStr">
        <is>
          <t>CIF</t>
        </is>
      </c>
      <c r="J139" s="2" t="n">
        <v>1</v>
      </c>
      <c r="K139" s="2" t="inlineStr">
        <is>
          <t>pieces</t>
        </is>
      </c>
      <c r="L139" s="2" t="inlineStr">
        <is>
          <t>2026-09-09</t>
        </is>
      </c>
      <c r="M139" s="2" t="inlineStr">
        <is>
          <t>90221401</t>
        </is>
      </c>
      <c r="N139" s="2" t="inlineStr">
        <is>
          <t>DEU</t>
        </is>
      </c>
      <c r="O139" s="2" t="inlineStr">
        <is>
          <t>Medical X-ray apparatus, fixed</t>
        </is>
      </c>
      <c r="P139" s="2" t="n">
        <v>21</v>
      </c>
      <c r="Q139" s="35">
        <f>IF(E139=1,F139,"")</f>
        <v/>
      </c>
    </row>
    <row r="140">
      <c r="A140" s="2" t="inlineStr">
        <is>
          <t>V5</t>
        </is>
      </c>
      <c r="B140" s="2" t="n">
        <v>7</v>
      </c>
      <c r="C140" s="2" t="inlineStr">
        <is>
          <t>L0250254</t>
        </is>
      </c>
      <c r="D140" s="21" t="n">
        <v>0.6820000000000001</v>
      </c>
      <c r="E140" s="2" t="n">
        <v>0</v>
      </c>
      <c r="F140" s="32" t="n">
        <v>1840.53</v>
      </c>
      <c r="G140" s="32" t="n">
        <v>1697.91</v>
      </c>
      <c r="H140" s="2" t="inlineStr">
        <is>
          <t>EUR</t>
        </is>
      </c>
      <c r="I140" s="2" t="inlineStr">
        <is>
          <t>FOB</t>
        </is>
      </c>
      <c r="J140" s="2" t="n">
        <v>1</v>
      </c>
      <c r="K140" s="2" t="inlineStr">
        <is>
          <t>pieces</t>
        </is>
      </c>
      <c r="L140" s="2" t="inlineStr">
        <is>
          <t>2026-07-09</t>
        </is>
      </c>
      <c r="M140" s="2" t="inlineStr">
        <is>
          <t>90221401</t>
        </is>
      </c>
      <c r="N140" s="2" t="inlineStr">
        <is>
          <t>DEU</t>
        </is>
      </c>
      <c r="O140" s="2" t="inlineStr">
        <is>
          <t>X-ray tube</t>
        </is>
      </c>
      <c r="P140" s="2" t="n">
        <v>83</v>
      </c>
      <c r="Q140" s="35">
        <f>IF(E140=1,F140,"")</f>
        <v/>
      </c>
    </row>
    <row r="141">
      <c r="A141" s="2" t="inlineStr">
        <is>
          <t>V5</t>
        </is>
      </c>
      <c r="B141" s="2" t="n">
        <v>8</v>
      </c>
      <c r="C141" s="2" t="inlineStr">
        <is>
          <t>L0250252</t>
        </is>
      </c>
      <c r="D141" s="21" t="n">
        <v>0.6820000000000001</v>
      </c>
      <c r="E141" s="2" t="n">
        <v>0</v>
      </c>
      <c r="F141" s="32" t="n">
        <v>2099.41</v>
      </c>
      <c r="G141" s="32" t="n">
        <v>1994.83</v>
      </c>
      <c r="H141" s="2" t="inlineStr">
        <is>
          <t>EUR</t>
        </is>
      </c>
      <c r="I141" s="2" t="inlineStr">
        <is>
          <t>CIF</t>
        </is>
      </c>
      <c r="J141" s="2" t="n">
        <v>1</v>
      </c>
      <c r="K141" s="2" t="inlineStr">
        <is>
          <t>pieces</t>
        </is>
      </c>
      <c r="L141" s="2" t="inlineStr">
        <is>
          <t>2026-08-03</t>
        </is>
      </c>
      <c r="M141" s="2" t="inlineStr">
        <is>
          <t>90221401</t>
        </is>
      </c>
      <c r="N141" s="2" t="inlineStr">
        <is>
          <t>DEU</t>
        </is>
      </c>
      <c r="O141" s="2" t="inlineStr">
        <is>
          <t>X-ray tube</t>
        </is>
      </c>
      <c r="P141" s="2" t="n">
        <v>58</v>
      </c>
      <c r="Q141" s="35">
        <f>IF(E141=1,F141,"")</f>
        <v/>
      </c>
    </row>
    <row r="142">
      <c r="A142" s="2" t="inlineStr">
        <is>
          <t>V5</t>
        </is>
      </c>
      <c r="B142" s="2" t="n">
        <v>9</v>
      </c>
      <c r="C142" s="2" t="inlineStr">
        <is>
          <t>L0250253</t>
        </is>
      </c>
      <c r="D142" s="21" t="n">
        <v>0.6820000000000001</v>
      </c>
      <c r="E142" s="2" t="n">
        <v>0</v>
      </c>
      <c r="F142" s="32" t="n">
        <v>2302.41</v>
      </c>
      <c r="G142" s="32" t="n">
        <v>2302.41</v>
      </c>
      <c r="H142" s="2" t="inlineStr">
        <is>
          <t>USD</t>
        </is>
      </c>
      <c r="I142" s="2" t="inlineStr">
        <is>
          <t>FOB</t>
        </is>
      </c>
      <c r="J142" s="2" t="n">
        <v>1</v>
      </c>
      <c r="K142" s="2" t="inlineStr">
        <is>
          <t>pieces</t>
        </is>
      </c>
      <c r="L142" s="2" t="inlineStr">
        <is>
          <t>2026-09-03</t>
        </is>
      </c>
      <c r="M142" s="2" t="inlineStr">
        <is>
          <t>90221401</t>
        </is>
      </c>
      <c r="N142" s="2" t="inlineStr">
        <is>
          <t>DEU</t>
        </is>
      </c>
      <c r="O142" s="2" t="inlineStr">
        <is>
          <t>X-ray tube</t>
        </is>
      </c>
      <c r="P142" s="2" t="n">
        <v>27</v>
      </c>
      <c r="Q142" s="35">
        <f>IF(E142=1,F142,"")</f>
        <v/>
      </c>
    </row>
    <row r="143">
      <c r="A143" s="2" t="inlineStr">
        <is>
          <t>V5</t>
        </is>
      </c>
      <c r="B143" s="2" t="n">
        <v>10</v>
      </c>
      <c r="C143" s="2" t="inlineStr">
        <is>
          <t>L0250255</t>
        </is>
      </c>
      <c r="D143" s="21" t="n">
        <v>0.512</v>
      </c>
      <c r="E143" s="2" t="n">
        <v>0</v>
      </c>
      <c r="F143" s="32" t="n">
        <v>29031.17</v>
      </c>
      <c r="G143" s="32" t="n">
        <v>29031.17</v>
      </c>
      <c r="H143" s="2" t="inlineStr">
        <is>
          <t>USD</t>
        </is>
      </c>
      <c r="I143" s="2" t="inlineStr">
        <is>
          <t>FOB</t>
        </is>
      </c>
      <c r="J143" s="2" t="n">
        <v>1</v>
      </c>
      <c r="K143" s="2" t="inlineStr">
        <is>
          <t>pieces</t>
        </is>
      </c>
      <c r="L143" s="2" t="inlineStr">
        <is>
          <t>2026-08-09</t>
        </is>
      </c>
      <c r="M143" s="2" t="inlineStr">
        <is>
          <t>90221401</t>
        </is>
      </c>
      <c r="N143" s="2" t="inlineStr">
        <is>
          <t>DEU</t>
        </is>
      </c>
      <c r="O143" s="2" t="inlineStr">
        <is>
          <t>Mobile radiography unit</t>
        </is>
      </c>
      <c r="P143" s="2" t="n">
        <v>52</v>
      </c>
      <c r="Q143" s="35">
        <f>IF(E143=1,F143,"")</f>
        <v/>
      </c>
    </row>
    <row r="144">
      <c r="A144" s="2" t="inlineStr">
        <is>
          <t>V5</t>
        </is>
      </c>
      <c r="B144" s="2" t="n">
        <v>11</v>
      </c>
      <c r="C144" s="2" t="inlineStr">
        <is>
          <t>L0250256</t>
        </is>
      </c>
      <c r="D144" s="21" t="n">
        <v>0.512</v>
      </c>
      <c r="E144" s="2" t="n">
        <v>0</v>
      </c>
      <c r="F144" s="32" t="n">
        <v>31128.45</v>
      </c>
      <c r="G144" s="32" t="n">
        <v>29448.55</v>
      </c>
      <c r="H144" s="2" t="inlineStr">
        <is>
          <t>EUR</t>
        </is>
      </c>
      <c r="I144" s="2" t="inlineStr">
        <is>
          <t>CFR</t>
        </is>
      </c>
      <c r="J144" s="2" t="n">
        <v>1</v>
      </c>
      <c r="K144" s="2" t="inlineStr">
        <is>
          <t>pieces</t>
        </is>
      </c>
      <c r="L144" s="2" t="inlineStr">
        <is>
          <t>2026-08-22</t>
        </is>
      </c>
      <c r="M144" s="2" t="inlineStr">
        <is>
          <t>90221401</t>
        </is>
      </c>
      <c r="N144" s="2" t="inlineStr">
        <is>
          <t>DEU</t>
        </is>
      </c>
      <c r="O144" s="2" t="inlineStr">
        <is>
          <t>Mobile radiography unit</t>
        </is>
      </c>
      <c r="P144" s="2" t="n">
        <v>39</v>
      </c>
      <c r="Q144" s="35">
        <f>IF(E144=1,F144,"")</f>
        <v/>
      </c>
    </row>
    <row r="145">
      <c r="A145" s="2" t="inlineStr">
        <is>
          <t>V5</t>
        </is>
      </c>
      <c r="B145" s="2" t="n">
        <v>12</v>
      </c>
      <c r="C145" s="2" t="inlineStr">
        <is>
          <t>L0250259</t>
        </is>
      </c>
      <c r="D145" s="21" t="n">
        <v>0.503</v>
      </c>
      <c r="E145" s="2" t="n">
        <v>0</v>
      </c>
      <c r="F145" s="32" t="n">
        <v>10061.07</v>
      </c>
      <c r="G145" s="32" t="n">
        <v>9559.870000000001</v>
      </c>
      <c r="H145" s="2" t="inlineStr">
        <is>
          <t>EUR</t>
        </is>
      </c>
      <c r="I145" s="2" t="inlineStr">
        <is>
          <t>CIF</t>
        </is>
      </c>
      <c r="J145" s="2" t="n">
        <v>1</v>
      </c>
      <c r="K145" s="2" t="inlineStr">
        <is>
          <t>pieces</t>
        </is>
      </c>
      <c r="L145" s="2" t="inlineStr">
        <is>
          <t>2026-07-20</t>
        </is>
      </c>
      <c r="M145" s="2" t="inlineStr">
        <is>
          <t>90221401</t>
        </is>
      </c>
      <c r="N145" s="2" t="inlineStr">
        <is>
          <t>DEU</t>
        </is>
      </c>
      <c r="O145" s="2" t="inlineStr">
        <is>
          <t>Dental chair unit</t>
        </is>
      </c>
      <c r="P145" s="2" t="n">
        <v>72</v>
      </c>
      <c r="Q145" s="35">
        <f>IF(E145=1,F145,"")</f>
        <v/>
      </c>
    </row>
    <row r="146">
      <c r="A146" s="2" t="inlineStr">
        <is>
          <t>V5</t>
        </is>
      </c>
      <c r="B146" s="2" t="n">
        <v>13</v>
      </c>
      <c r="C146" s="2" t="inlineStr">
        <is>
          <t>L0250257</t>
        </is>
      </c>
      <c r="D146" s="21" t="n">
        <v>0.503</v>
      </c>
      <c r="E146" s="2" t="n">
        <v>0</v>
      </c>
      <c r="F146" s="32" t="n">
        <v>10835.71</v>
      </c>
      <c r="G146" s="32" t="n">
        <v>10295.92</v>
      </c>
      <c r="H146" s="2" t="inlineStr">
        <is>
          <t>EUR</t>
        </is>
      </c>
      <c r="I146" s="2" t="inlineStr">
        <is>
          <t>CIF</t>
        </is>
      </c>
      <c r="J146" s="2" t="n">
        <v>1</v>
      </c>
      <c r="K146" s="2" t="inlineStr">
        <is>
          <t>pieces</t>
        </is>
      </c>
      <c r="L146" s="2" t="inlineStr">
        <is>
          <t>2026-08-05</t>
        </is>
      </c>
      <c r="M146" s="2" t="inlineStr">
        <is>
          <t>90221401</t>
        </is>
      </c>
      <c r="N146" s="2" t="inlineStr">
        <is>
          <t>DEU</t>
        </is>
      </c>
      <c r="O146" s="2" t="inlineStr">
        <is>
          <t>Dental chair unit</t>
        </is>
      </c>
      <c r="P146" s="2" t="n">
        <v>56</v>
      </c>
      <c r="Q146" s="35">
        <f>IF(E146=1,F146,"")</f>
        <v/>
      </c>
    </row>
    <row r="147">
      <c r="A147" s="2" t="inlineStr">
        <is>
          <t>V5</t>
        </is>
      </c>
      <c r="B147" s="2" t="n">
        <v>14</v>
      </c>
      <c r="C147" s="2" t="inlineStr">
        <is>
          <t>L0250258</t>
        </is>
      </c>
      <c r="D147" s="21" t="n">
        <v>0.503</v>
      </c>
      <c r="E147" s="2" t="n">
        <v>0</v>
      </c>
      <c r="F147" s="32" t="n">
        <v>10292.27</v>
      </c>
      <c r="G147" s="32" t="n">
        <v>9779.559999999999</v>
      </c>
      <c r="H147" s="2" t="inlineStr">
        <is>
          <t>EUR</t>
        </is>
      </c>
      <c r="I147" s="2" t="inlineStr">
        <is>
          <t>CIF</t>
        </is>
      </c>
      <c r="J147" s="2" t="n">
        <v>1</v>
      </c>
      <c r="K147" s="2" t="inlineStr">
        <is>
          <t>pieces</t>
        </is>
      </c>
      <c r="L147" s="2" t="inlineStr">
        <is>
          <t>2026-08-08</t>
        </is>
      </c>
      <c r="M147" s="2" t="inlineStr">
        <is>
          <t>90221401</t>
        </is>
      </c>
      <c r="N147" s="2" t="inlineStr">
        <is>
          <t>DEU</t>
        </is>
      </c>
      <c r="O147" s="2" t="inlineStr">
        <is>
          <t>Dental chair unit</t>
        </is>
      </c>
      <c r="P147" s="2" t="n">
        <v>53</v>
      </c>
      <c r="Q147" s="35">
        <f>IF(E147=1,F147,"")</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there are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the home country recorded against what the partner says it shipped</t>
        </is>
      </c>
      <c r="C17" s="2" t="inlineStr">
        <is>
          <t>Mirror statistics, discrepancy ratio</t>
        </is>
      </c>
    </row>
    <row r="18">
      <c r="A18" s="7" t="inlineStr">
        <is>
          <t>Shipping and insurance</t>
        </is>
      </c>
      <c r="B18" s="37" t="inlineStr">
        <is>
          <t>Why the home country's imports (CIF) sit above the partner's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Bucket</t>
        </is>
      </c>
      <c r="B23" s="37" t="inlineStr">
        <is>
          <t>The group an importer falls in: unregistered, not filing, under-reporting, consistent</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